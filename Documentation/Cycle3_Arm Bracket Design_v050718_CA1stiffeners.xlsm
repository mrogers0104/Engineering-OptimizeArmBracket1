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Engineering AI\OptimizeArmBracket1\Documentation\"/>
    </mc:Choice>
  </mc:AlternateContent>
  <xr:revisionPtr revIDLastSave="0" documentId="8_{A4F9F215-DE5C-48D3-8534-583B99C3D3BF}" xr6:coauthVersionLast="47" xr6:coauthVersionMax="47" xr10:uidLastSave="{00000000-0000-0000-0000-000000000000}"/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19090" yWindow="-2790" windowWidth="25820" windowHeight="13900" xr2:uid="{00000000-000D-0000-FFFF-FFFF00000000}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B28" i="15" s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AK39" i="15" s="1"/>
  <c r="BG38" i="15"/>
  <c r="BH38" i="15" s="1"/>
  <c r="BF38" i="15"/>
  <c r="AV38" i="15"/>
  <c r="AU38" i="15"/>
  <c r="AO38" i="15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S34" i="15"/>
  <c r="BN34" i="15"/>
  <c r="BM34" i="15"/>
  <c r="BP34" i="15" s="1"/>
  <c r="BG34" i="15"/>
  <c r="BH34" i="15" s="1"/>
  <c r="BF34" i="15"/>
  <c r="BI34" i="15" s="1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AV28" i="15"/>
  <c r="AU28" i="15"/>
  <c r="AO28" i="15"/>
  <c r="AF28" i="15"/>
  <c r="Y28" i="15"/>
  <c r="W28" i="15"/>
  <c r="U28" i="15"/>
  <c r="S28" i="15"/>
  <c r="T28" i="15" s="1"/>
  <c r="P28" i="15"/>
  <c r="O28" i="15"/>
  <c r="AG28" i="15" s="1"/>
  <c r="L28" i="15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K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J11" i="15" s="1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I24" i="15" l="1"/>
  <c r="AL20" i="15"/>
  <c r="BK24" i="15"/>
  <c r="BJ38" i="15"/>
  <c r="AL15" i="15"/>
  <c r="BQ26" i="15"/>
  <c r="AY15" i="15"/>
  <c r="AK28" i="15"/>
  <c r="AZ28" i="15"/>
  <c r="BA28" i="15"/>
  <c r="BK2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AT35" i="15" s="1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AX39" i="15" s="1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AT15" i="15" s="1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AP39" i="15" l="1"/>
  <c r="AW39" i="15"/>
  <c r="AQ33" i="15"/>
  <c r="AX10" i="15"/>
  <c r="AR10" i="15" s="1"/>
  <c r="BC18" i="15"/>
  <c r="AX28" i="15"/>
  <c r="AR28" i="15" s="1"/>
  <c r="AP24" i="15"/>
  <c r="BC19" i="15"/>
  <c r="BC21" i="15"/>
  <c r="AW28" i="15"/>
  <c r="BC15" i="15"/>
  <c r="AW26" i="15"/>
  <c r="AQ26" i="15" s="1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R40" i="15" s="1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S18" i="14"/>
  <c r="BS17" i="14"/>
  <c r="BR17" i="14"/>
  <c r="BT11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G27" i="14" s="1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24" i="14" l="1"/>
  <c r="BO25" i="14"/>
  <c r="BO7" i="14"/>
  <c r="BQ16" i="14"/>
  <c r="BR18" i="14"/>
  <c r="BT22" i="14"/>
  <c r="AX18" i="14"/>
  <c r="BQ24" i="14"/>
  <c r="BR25" i="14"/>
  <c r="BR23" i="14"/>
  <c r="BT25" i="14"/>
  <c r="BJ34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BB20" i="14" s="1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20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M20" i="13" s="1"/>
  <c r="AN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M31" i="13" s="1"/>
  <c r="AN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L19" i="13"/>
  <c r="AM19" i="13"/>
  <c r="AN19" i="13" s="1"/>
  <c r="AL20" i="13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Q32" i="13" l="1"/>
  <c r="AM32" i="13" s="1"/>
  <c r="AN32" i="13" s="1"/>
  <c r="AL29" i="13"/>
  <c r="AQ29" i="13"/>
  <c r="AM29" i="13" s="1"/>
  <c r="AN29" i="13" s="1"/>
  <c r="AL21" i="13"/>
  <c r="AQ21" i="13"/>
  <c r="AM21" i="13" s="1"/>
  <c r="AN21" i="13" s="1"/>
  <c r="AL28" i="13"/>
  <c r="AQ28" i="13"/>
  <c r="AM24" i="13"/>
  <c r="AN24" i="13" s="1"/>
  <c r="AQ24" i="13"/>
  <c r="AL14" i="13"/>
  <c r="AQ14" i="13"/>
  <c r="AL33" i="13"/>
  <c r="AQ33" i="13"/>
  <c r="AM33" i="13" s="1"/>
  <c r="AN33" i="13" s="1"/>
  <c r="AL24" i="13"/>
  <c r="AQ23" i="13"/>
  <c r="AM23" i="13" s="1"/>
  <c r="AN23" i="13" s="1"/>
  <c r="AL25" i="13"/>
  <c r="AQ25" i="13"/>
  <c r="AL17" i="13"/>
  <c r="AQ17" i="13"/>
  <c r="AM17" i="13" s="1"/>
  <c r="AN17" i="13" s="1"/>
  <c r="AL16" i="13"/>
  <c r="AQ16" i="13"/>
  <c r="AM16" i="13" s="1"/>
  <c r="AN16" i="13" s="1"/>
  <c r="AL18" i="13"/>
  <c r="AQ18" i="13"/>
  <c r="AL32" i="13"/>
  <c r="AL34" i="13"/>
  <c r="AQ34" i="13"/>
  <c r="AL26" i="13"/>
  <c r="AQ26" i="13"/>
  <c r="AM26" i="13" s="1"/>
  <c r="AN26" i="13" s="1"/>
  <c r="AL27" i="13"/>
  <c r="AQ30" i="13"/>
  <c r="AM30" i="13" s="1"/>
  <c r="AN30" i="13" s="1"/>
  <c r="AQ15" i="13"/>
  <c r="AM15" i="13" s="1"/>
  <c r="AN15" i="13" s="1"/>
  <c r="AL8" i="13"/>
  <c r="AL7" i="13"/>
  <c r="AQ7" i="13"/>
  <c r="AM7" i="13" s="1"/>
  <c r="AN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<sst xmlns="http://schemas.openxmlformats.org/spreadsheetml/2006/main" count="1921" uniqueCount="790">
  <si>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</si>
  <si>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</si>
  <si>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</si>
  <si>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</si>
  <si>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</si>
  <si>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</si>
  <si>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</si>
  <si>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</si>
  <si>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</si>
  <si>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</si>
  <si>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</si>
  <si>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</si>
  <si>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</si>
  <si>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</si>
  <si>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</si>
  <si>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</si>
  <si>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</si>
  <si>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</si>
  <si>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</si>
  <si>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</si>
  <si>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</si>
  <si>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</si>
  <si>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</si>
  <si>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</si>
  <si>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</si>
  <si>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</si>
  <si>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</si>
  <si>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</si>
  <si>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</si>
  <si>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</si>
  <si>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</si>
  <si>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</si>
  <si>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</si>
  <si>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</si>
  <si>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</si>
  <si>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</si>
  <si>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</si>
  <si>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</si>
  <si>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</si>
  <si>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</si>
  <si>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</si>
  <si>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</si>
  <si>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</si>
  <si>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</si>
  <si>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</si>
  <si>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</si>
  <si>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</si>
  <si>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</si>
  <si>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</si>
  <si>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</si>
  <si>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</si>
  <si>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</si>
  <si>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</si>
  <si>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</si>
  <si>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</si>
  <si>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</si>
  <si>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</si>
  <si>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</si>
  <si>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</si>
  <si>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</si>
  <si>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</si>
  <si>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</si>
  <si>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</si>
  <si>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</si>
  <si>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</si>
  <si>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</si>
  <si>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</si>
  <si>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</si>
  <si>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</si>
  <si>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</si>
  <si>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</si>
  <si>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</si>
  <si>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</si>
  <si>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</si>
  <si>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</si>
  <si>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</si>
  <si>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</si>
  <si>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</si>
  <si>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</si>
  <si>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</si>
  <si>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</si>
  <si>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</si>
  <si>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</si>
  <si>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</si>
  <si>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</si>
  <si>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</si>
  <si>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</si>
  <si>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</si>
  <si>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</si>
  <si>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</si>
  <si>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</si>
  <si>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</si>
  <si>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</si>
  <si>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</si>
  <si>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</si>
  <si>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</si>
  <si>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</si>
  <si>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</si>
  <si>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</si>
  <si>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</si>
  <si>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</si>
  <si>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</si>
  <si>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</si>
  <si>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</si>
  <si>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</si>
  <si>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</si>
  <si>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</si>
  <si>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</si>
  <si>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</si>
  <si>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</si>
  <si>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</si>
  <si>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</si>
  <si>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</si>
  <si>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</si>
  <si>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</si>
  <si>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</si>
  <si>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</si>
  <si>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</si>
  <si>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</si>
  <si>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</si>
  <si>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</si>
  <si>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</si>
  <si>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</si>
  <si>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</si>
  <si>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</si>
  <si>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</si>
  <si>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</si>
  <si>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</si>
  <si>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</si>
  <si>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</si>
  <si>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</si>
  <si>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</si>
  <si>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</si>
  <si>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</si>
  <si>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</si>
  <si>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</si>
  <si>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</si>
  <si>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</si>
  <si>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</si>
  <si>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</si>
  <si>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</si>
  <si>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</si>
  <si>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</si>
  <si>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</si>
  <si>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</si>
  <si>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</si>
  <si>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</si>
  <si>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</si>
  <si>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</si>
  <si>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</si>
  <si>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</si>
  <si>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</si>
  <si>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</si>
  <si>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</si>
  <si>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</si>
  <si>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</si>
  <si>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</si>
  <si>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</si>
  <si>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</si>
  <si>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</si>
  <si>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</si>
  <si>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</si>
  <si>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</si>
  <si>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</si>
  <si>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</si>
  <si>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</si>
  <si>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</si>
  <si>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</si>
  <si>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</si>
  <si>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</si>
  <si>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</si>
  <si>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</si>
  <si>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</si>
  <si>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</si>
  <si>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</si>
  <si>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</si>
  <si>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</si>
  <si>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</si>
  <si>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</si>
  <si>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</si>
  <si>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</si>
  <si>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</si>
  <si>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</si>
  <si>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</si>
  <si>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</si>
  <si>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</si>
  <si>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</si>
  <si>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</si>
  <si>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</si>
  <si>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</si>
  <si>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</si>
  <si>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</si>
  <si>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</si>
  <si>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</si>
  <si>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</si>
  <si>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</si>
  <si>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</si>
  <si>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</si>
  <si>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</si>
  <si>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</si>
  <si>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</si>
  <si>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</si>
  <si>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</si>
  <si>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</si>
  <si>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</si>
  <si>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</si>
  <si>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</si>
  <si>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</si>
  <si>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</si>
  <si>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</si>
  <si>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</si>
  <si>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</si>
  <si>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</si>
  <si>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</si>
  <si>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</si>
  <si>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</si>
  <si>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</si>
  <si>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</si>
  <si>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</si>
  <si>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</si>
  <si>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</si>
  <si>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</si>
  <si>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</si>
  <si>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</si>
  <si>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</si>
  <si>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</si>
  <si>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</si>
  <si>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</si>
  <si>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</si>
  <si>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</si>
  <si>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</si>
  <si>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</si>
  <si>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</si>
  <si>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</si>
  <si>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</si>
  <si>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</si>
  <si>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</si>
  <si>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</si>
  <si>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</si>
  <si>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</si>
  <si>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</si>
  <si>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</si>
  <si>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</si>
  <si>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</si>
  <si>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</si>
  <si>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</si>
  <si>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</si>
  <si>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</si>
  <si>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</si>
  <si>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</si>
  <si>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</si>
  <si>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</si>
  <si>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</si>
  <si>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</si>
  <si>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</si>
  <si>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</si>
  <si>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</si>
  <si>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</si>
  <si>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</si>
  <si>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</si>
  <si>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</si>
  <si>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</si>
  <si>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</si>
  <si>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</si>
  <si>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</si>
  <si>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</si>
  <si>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</si>
  <si>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</si>
  <si>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</si>
  <si>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</si>
  <si>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</si>
  <si>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</si>
  <si>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</si>
  <si>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</si>
  <si>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</si>
  <si>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</si>
  <si>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</si>
  <si>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</si>
  <si>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</si>
  <si>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</si>
  <si>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</si>
  <si>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</si>
  <si>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</si>
  <si>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</si>
  <si>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</si>
  <si>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</si>
  <si>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</si>
  <si>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</si>
  <si>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</si>
  <si>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</si>
  <si>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</si>
  <si>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</si>
  <si>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</si>
  <si>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</si>
  <si>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</si>
  <si>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</si>
  <si>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</si>
  <si>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</si>
  <si>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</si>
  <si>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</si>
  <si>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</si>
  <si>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</si>
  <si>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</si>
  <si>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</si>
  <si>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</si>
  <si>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</si>
  <si>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</si>
  <si>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</si>
  <si>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</si>
  <si>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</si>
  <si>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</si>
  <si>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</si>
  <si>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</si>
  <si>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</si>
  <si>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</si>
  <si>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</si>
  <si>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</si>
  <si>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</si>
  <si>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</si>
  <si>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</si>
  <si>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</si>
  <si>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</si>
  <si>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</si>
  <si>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</si>
  <si>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</si>
  <si>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</si>
  <si>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</si>
  <si>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</si>
  <si>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</si>
  <si>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</si>
  <si>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</si>
  <si>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</si>
  <si>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</si>
  <si>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</si>
  <si>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</si>
  <si>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</si>
  <si>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</si>
  <si>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</si>
  <si>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</si>
  <si>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</si>
  <si>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</si>
  <si>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</si>
  <si>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</si>
  <si>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</si>
  <si>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</si>
  <si>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</si>
  <si>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</si>
  <si>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</si>
  <si>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</si>
  <si>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</si>
  <si>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</si>
  <si>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</si>
  <si>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</si>
  <si>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</si>
  <si>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</si>
  <si>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</si>
  <si>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</si>
  <si>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</si>
  <si>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</si>
  <si>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</si>
  <si>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</si>
  <si>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</si>
  <si>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</si>
  <si>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</si>
  <si>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</si>
  <si>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</si>
  <si>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</si>
  <si>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</si>
  <si>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</si>
  <si>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</si>
  <si>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</si>
  <si>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</si>
  <si>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</si>
  <si>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</si>
  <si>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</si>
  <si>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</si>
  <si>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</si>
  <si>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</si>
  <si>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</si>
  <si>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</si>
  <si>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</si>
  <si>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</si>
  <si>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</si>
  <si>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</si>
  <si>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</si>
  <si>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</si>
  <si>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</si>
  <si>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</si>
  <si>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</si>
  <si>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</si>
  <si>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</si>
  <si>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</si>
  <si>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</si>
  <si>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</si>
  <si>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</si>
  <si>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</si>
  <si>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</si>
  <si>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</si>
  <si>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</si>
  <si>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</si>
  <si>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</si>
  <si>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</si>
  <si>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</si>
  <si>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</si>
  <si>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</si>
  <si>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</si>
  <si>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</si>
  <si>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</si>
  <si>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</si>
  <si>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</si>
  <si>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</si>
  <si>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</si>
  <si>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</si>
  <si>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</si>
  <si>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</si>
  <si>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</si>
  <si>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</si>
  <si>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</si>
  <si>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</si>
  <si>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</si>
  <si>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</si>
  <si>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</si>
  <si>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</si>
  <si>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</si>
  <si>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</si>
  <si>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</si>
  <si>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</si>
  <si>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</si>
  <si>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</si>
  <si>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</si>
  <si>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</si>
  <si>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</si>
  <si>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</si>
  <si>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</si>
  <si>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</si>
  <si>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</si>
  <si>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</si>
  <si>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</si>
  <si>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</si>
  <si>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</si>
  <si>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</si>
  <si>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</si>
  <si>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</si>
  <si>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</si>
  <si>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</si>
  <si>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</si>
  <si>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</si>
  <si>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</si>
  <si>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</si>
  <si>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</si>
  <si>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</si>
  <si>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</si>
  <si>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</si>
  <si>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</si>
  <si>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</si>
  <si>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</si>
  <si>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</si>
  <si>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</si>
  <si>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</si>
  <si>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</si>
  <si>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</si>
  <si>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</si>
  <si>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</si>
  <si>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</si>
  <si>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</si>
  <si>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</si>
  <si>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</si>
  <si>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</si>
  <si>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</si>
  <si>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</si>
  <si>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</si>
  <si>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</si>
  <si>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</si>
  <si>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</si>
  <si>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</si>
  <si>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</si>
  <si>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</si>
  <si>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</si>
  <si>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</si>
  <si>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</si>
  <si>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</si>
  <si>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</si>
  <si>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</si>
  <si>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</si>
  <si>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</si>
  <si>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</si>
  <si>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</si>
  <si>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</si>
  <si>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</si>
  <si>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</si>
  <si>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</si>
  <si>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</si>
  <si>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</si>
  <si>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</si>
  <si>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</si>
  <si>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</si>
  <si>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</si>
  <si>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</si>
  <si>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</si>
  <si>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</si>
  <si>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</si>
  <si>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</si>
  <si>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</si>
  <si>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</si>
  <si>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</si>
  <si>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</si>
  <si>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</si>
  <si>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</si>
  <si>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</si>
  <si>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</si>
  <si>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</si>
  <si>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</si>
  <si>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</si>
  <si>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</si>
  <si>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</si>
  <si>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</si>
  <si>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</si>
  <si>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</si>
  <si>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</si>
  <si>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</si>
  <si>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</si>
  <si>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</si>
  <si>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</si>
  <si>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</si>
  <si>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</si>
  <si>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</si>
  <si>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</si>
  <si>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</si>
  <si>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</si>
  <si>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</si>
  <si>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</si>
  <si>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</si>
  <si>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</si>
  <si>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</si>
  <si>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</si>
  <si>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</si>
  <si>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</si>
  <si>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</si>
  <si>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</si>
  <si>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</si>
  <si>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</si>
  <si>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</si>
  <si>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</si>
  <si>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</si>
  <si>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</si>
  <si>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</si>
  <si>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</si>
  <si>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</si>
  <si>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</si>
  <si>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</si>
  <si>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</si>
  <si>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</si>
  <si>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</si>
  <si>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</si>
  <si>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</si>
  <si>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</si>
  <si>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</si>
  <si>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</si>
  <si>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</si>
  <si>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</si>
  <si>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</si>
  <si>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</si>
  <si>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</si>
  <si>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</si>
  <si>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</si>
  <si>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</si>
  <si>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</si>
  <si>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</si>
  <si>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</si>
  <si>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</si>
  <si>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</si>
  <si>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</si>
  <si>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</si>
  <si>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</si>
  <si>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</si>
  <si>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</si>
  <si>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</si>
  <si>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</si>
  <si>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</si>
  <si>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</si>
  <si>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</si>
  <si>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</si>
  <si>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</si>
  <si>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</si>
  <si>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</si>
  <si>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</si>
  <si>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</si>
  <si>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</si>
  <si>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</si>
  <si>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</si>
  <si>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</si>
  <si>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</si>
  <si>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</si>
  <si>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</si>
  <si>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</si>
  <si>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</si>
  <si>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</si>
  <si>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</si>
  <si>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</si>
  <si>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</si>
  <si>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</si>
  <si>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</si>
  <si>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</si>
  <si>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</si>
  <si>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</si>
  <si>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</si>
  <si>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</si>
  <si>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</si>
  <si>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</si>
  <si>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</si>
  <si>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</si>
  <si>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</si>
  <si>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</si>
  <si>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</si>
  <si>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</si>
  <si>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</si>
  <si>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</si>
  <si>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</si>
  <si>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</si>
  <si>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</si>
  <si>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</si>
  <si>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</si>
  <si>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</si>
  <si>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</si>
  <si>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</si>
  <si>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</si>
  <si>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</si>
  <si>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</si>
  <si>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</si>
  <si>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</si>
  <si>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</si>
  <si>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</si>
  <si>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</si>
  <si>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</si>
  <si>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</si>
  <si>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</si>
  <si>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</si>
  <si>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</si>
  <si>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</si>
  <si>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</si>
  <si>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</si>
  <si>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</si>
  <si>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</si>
  <si>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</si>
  <si>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</si>
  <si>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</si>
  <si>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</si>
  <si>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</si>
  <si>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</si>
  <si>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</si>
  <si>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</si>
  <si>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</si>
  <si>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</si>
  <si>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</si>
  <si>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</si>
  <si>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</si>
  <si>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</si>
  <si>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</si>
  <si>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</si>
  <si>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</si>
  <si>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</si>
  <si>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</si>
  <si>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</si>
  <si>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</si>
  <si>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</si>
  <si>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</si>
  <si>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</si>
  <si>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</si>
  <si>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</si>
  <si>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</si>
  <si>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</si>
  <si>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</si>
  <si>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</si>
  <si>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</si>
  <si>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</si>
  <si>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</si>
  <si>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</si>
  <si>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</si>
  <si>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</si>
  <si>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</si>
  <si>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</si>
  <si>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</si>
  <si>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</si>
  <si>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</si>
  <si>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</si>
  <si>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</si>
  <si>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</si>
  <si>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</si>
  <si>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</si>
  <si>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</si>
  <si>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</si>
  <si>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</si>
  <si>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</si>
  <si>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</si>
  <si>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</si>
  <si>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</si>
  <si>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</si>
  <si>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</si>
  <si>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</si>
  <si>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</si>
  <si>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</si>
  <si>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</si>
  <si>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</si>
  <si>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</si>
  <si>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</si>
  <si>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</si>
  <si>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</si>
  <si>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</si>
  <si>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</si>
  <si>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</si>
  <si>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</si>
  <si>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</si>
  <si>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</si>
  <si>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</si>
  <si>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</si>
  <si>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</si>
  <si>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</si>
  <si>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</si>
  <si>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</si>
  <si>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</si>
  <si>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</si>
  <si>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</si>
  <si>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</si>
  <si>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</si>
  <si>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</si>
  <si>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</si>
  <si>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</si>
  <si>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</si>
  <si>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</si>
  <si>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</si>
  <si>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</si>
  <si>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</si>
  <si>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</si>
  <si>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</si>
  <si>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</si>
  <si>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</si>
  <si>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</si>
  <si>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</si>
  <si>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</si>
  <si>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</si>
  <si>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</si>
  <si>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</si>
  <si>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</si>
  <si>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</si>
  <si>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</si>
  <si>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</si>
  <si>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</si>
  <si>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</si>
  <si>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</si>
  <si>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</si>
  <si>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</si>
  <si>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</si>
  <si>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</si>
  <si>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</si>
  <si>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</si>
  <si>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</si>
  <si>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</si>
  <si>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</si>
  <si>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</si>
  <si>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</si>
  <si>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</si>
  <si>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</si>
  <si>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</si>
  <si>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</si>
  <si>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</si>
  <si>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</si>
  <si>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</si>
  <si>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</si>
  <si>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</si>
  <si>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</si>
  <si>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</si>
  <si>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</si>
  <si>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</si>
  <si>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</si>
  <si>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</si>
  <si>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</si>
  <si>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</si>
  <si>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</si>
  <si>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</si>
  <si>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</si>
  <si>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</si>
  <si>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</si>
  <si>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</si>
  <si>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</si>
  <si>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</si>
  <si>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</si>
  <si>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</si>
  <si>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</si>
  <si>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Sabre Software Development</t>
  </si>
  <si>
    <t>Bracket C3-60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</si>
</sst>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33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Font="1" applyFill="1" applyBorder="1" applyAlignment="1">
      <alignment horizontal="center" vertical="center" wrapText="1"/>
    </xf>
    <xf numFmtId="0" fontId="66" fillId="6" borderId="3" xfId="0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166804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262356</xdr:colOff>
      <xdr:row>60</xdr:row>
      <xdr:rowOff>354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169210</xdr:colOff>
      <xdr:row>69</xdr:row>
      <xdr:rowOff>167041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17182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605118</xdr:colOff>
      <xdr:row>57</xdr:row>
      <xdr:rowOff>52647</xdr:rowOff>
    </xdr:to>
    <xdr:pic>
      <xdr:nvPicPr>
        <xdr:cNvPr id="103" name="Picture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168828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33941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166735</xdr:colOff>
      <xdr:row>27</xdr:row>
      <xdr:rowOff>14475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14475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168828</xdr:colOff>
      <xdr:row>27</xdr:row>
      <xdr:rowOff>36152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168892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52447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531700</xdr:colOff>
      <xdr:row>1</xdr:row>
      <xdr:rowOff>73642</xdr:rowOff>
    </xdr:from>
    <xdr:to>
      <xdr:col>12</xdr:col>
      <xdr:colOff>154781</xdr:colOff>
      <xdr:row>3</xdr:row>
      <xdr:rowOff>185951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282575</xdr:colOff>
          <xdr:row>19</xdr:row>
          <xdr:rowOff>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33340</xdr:colOff>
      <xdr:row>67</xdr:row>
      <xdr:rowOff>95252</xdr:rowOff>
    </xdr:from>
    <xdr:to>
      <xdr:col>108</xdr:col>
      <xdr:colOff>186533</xdr:colOff>
      <xdr:row>101</xdr:row>
      <xdr:rowOff>15083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2085352" y="13166959"/>
          <a:ext cx="6882644" cy="6308551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149452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54761</xdr:rowOff>
    </xdr:from>
    <xdr:to>
      <xdr:col>11</xdr:col>
      <xdr:colOff>35720</xdr:colOff>
      <xdr:row>34</xdr:row>
      <xdr:rowOff>55555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434975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73025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92075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73025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587375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223838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54605" y="4098850"/>
          <a:ext cx="2730635" cy="1709290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166736</xdr:colOff>
      <xdr:row>26</xdr:row>
      <xdr:rowOff>16388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16855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816349</xdr:colOff>
      <xdr:row>18</xdr:row>
      <xdr:rowOff>112104</xdr:rowOff>
    </xdr:from>
    <xdr:to>
      <xdr:col>12</xdr:col>
      <xdr:colOff>167809</xdr:colOff>
      <xdr:row>26</xdr:row>
      <xdr:rowOff>52573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147686</xdr:colOff>
      <xdr:row>26</xdr:row>
      <xdr:rowOff>16154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167809</xdr:colOff>
      <xdr:row>26</xdr:row>
      <xdr:rowOff>15827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167809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167809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166736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167809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166736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147686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168892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149076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110379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169139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605775</xdr:colOff>
      <xdr:row>17</xdr:row>
      <xdr:rowOff>169139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264086</xdr:colOff>
      <xdr:row>7</xdr:row>
      <xdr:rowOff>188819</xdr:rowOff>
    </xdr:from>
    <xdr:to>
      <xdr:col>9</xdr:col>
      <xdr:colOff>1102099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167060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15875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282575</xdr:colOff>
          <xdr:row>25</xdr:row>
          <xdr:rowOff>34925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282575</xdr:colOff>
          <xdr:row>27</xdr:row>
          <xdr:rowOff>53975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244475</xdr:colOff>
          <xdr:row>44</xdr:row>
          <xdr:rowOff>92075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71438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71441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92079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15063</xdr:colOff>
      <xdr:row>35</xdr:row>
      <xdr:rowOff>80943</xdr:rowOff>
    </xdr:to>
    <xdr:pic>
      <xdr:nvPicPr>
        <xdr:cNvPr id="7" name="Picture 10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96026" y="6264301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7261"/>
          <a:ext cx="2067718" cy="1637557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1150" y="1185862"/>
          <a:ext cx="3983039" cy="3822700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121359" y="1062828"/>
          <a:ext cx="2832099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909925" y="1058065"/>
          <a:ext cx="2643187" cy="3954463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201526" y="6737346"/>
          <a:ext cx="2882899" cy="3954463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940882" y="6743696"/>
          <a:ext cx="2826543" cy="3960813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99938" y="12349159"/>
          <a:ext cx="2833687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9009520" y="1100931"/>
          <a:ext cx="2790031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ngineering\Brackets\Arm%20Connectio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" zoomScale="82" zoomScaleNormal="82" zoomScaleSheetLayoutView="82" workbookViewId="0">
      <selection activeCell="D56" sqref="D56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65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31" t="s">
        <v>0</v>
      </c>
      <c r="C2" s="2131"/>
      <c r="D2" s="2131"/>
      <c r="E2" s="2131"/>
      <c r="F2" s="2131"/>
      <c r="G2" s="2131"/>
      <c r="H2" s="2131"/>
      <c r="I2" s="2131"/>
      <c r="O2" s="2131" t="s">
        <v>0</v>
      </c>
      <c r="P2" s="2131"/>
      <c r="Q2" s="2131"/>
      <c r="R2" s="2131"/>
      <c r="S2" s="2131"/>
      <c r="T2" s="2131"/>
      <c r="U2" s="2131"/>
      <c r="V2" s="2131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2</v>
      </c>
      <c r="AM3" s="49" t="s">
        <v>90</v>
      </c>
      <c r="AN3" s="37">
        <f>MOD(D32,4)</f>
        <v>0</v>
      </c>
      <c r="AO3" s="37">
        <f>INT(D32/4)</f>
        <v>2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22.5</v>
      </c>
      <c r="BU3" s="65">
        <f t="shared" si="0"/>
        <v>67.5</v>
      </c>
      <c r="BV3" s="65">
        <f t="shared" si="0"/>
        <v>112.5</v>
      </c>
      <c r="BW3" s="65">
        <f t="shared" si="0"/>
        <v>157.5</v>
      </c>
      <c r="BX3" s="65">
        <f t="shared" si="0"/>
        <v>202.49999999999997</v>
      </c>
      <c r="BY3" s="65">
        <f t="shared" si="0"/>
        <v>247.49999999999997</v>
      </c>
      <c r="BZ3" s="65">
        <f t="shared" si="0"/>
        <v>292.50000000000006</v>
      </c>
      <c r="CA3" s="65">
        <f t="shared" si="0"/>
        <v>337.49999999999994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32" t="s">
        <v>1</v>
      </c>
      <c r="E4" s="2132"/>
      <c r="F4" s="137"/>
      <c r="G4" s="36" t="s">
        <v>6</v>
      </c>
      <c r="H4" s="2133">
        <v>45462</v>
      </c>
      <c r="I4" s="2121"/>
      <c r="O4" s="36" t="s">
        <v>2</v>
      </c>
      <c r="P4" s="106">
        <f>C4</f>
        <v>0</v>
      </c>
      <c r="Q4" s="2132" t="s">
        <v>1</v>
      </c>
      <c r="R4" s="2132"/>
      <c r="S4" s="107">
        <f>F4</f>
        <v>0</v>
      </c>
      <c r="T4" s="36" t="s">
        <v>6</v>
      </c>
      <c r="U4" s="2123">
        <f>H4</f>
        <v>45462</v>
      </c>
      <c r="V4" s="2123"/>
      <c r="W4" s="108"/>
      <c r="X4" s="108"/>
      <c r="Y4" s="108"/>
      <c r="Z4" s="108"/>
      <c r="AJ4" s="52"/>
      <c r="BH4" s="51"/>
      <c r="BT4" s="65">
        <f>IF(G9="Flat-Flat",0,1)+1</f>
        <v>1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21" t="s">
        <v>788</v>
      </c>
      <c r="D5" s="2121"/>
      <c r="E5" s="2121"/>
      <c r="F5" s="2121"/>
      <c r="G5" s="36" t="s">
        <v>4</v>
      </c>
      <c r="H5" s="2121" t="s">
        <v>636</v>
      </c>
      <c r="I5" s="2121"/>
      <c r="J5" s="2121"/>
      <c r="K5" s="2121"/>
      <c r="L5" s="2121"/>
      <c r="M5" s="2121"/>
      <c r="N5" s="43"/>
      <c r="O5" s="36" t="s">
        <v>3</v>
      </c>
      <c r="P5" s="2123" t="str">
        <f>C5</f>
        <v>Sabre Software Development</v>
      </c>
      <c r="Q5" s="2123"/>
      <c r="R5" s="2123"/>
      <c r="S5" s="2123"/>
      <c r="T5" s="109" t="s">
        <v>4</v>
      </c>
      <c r="U5" s="2123" t="str">
        <f>H5</f>
        <v>PT ARM TO POLE CONNECTION</v>
      </c>
      <c r="V5" s="2123"/>
      <c r="W5" s="2123"/>
      <c r="X5" s="2123"/>
      <c r="Y5" s="2123"/>
      <c r="Z5" s="2123"/>
      <c r="AJ5" s="2117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20" t="s">
        <v>789</v>
      </c>
      <c r="D6" s="2120"/>
      <c r="E6" s="2120"/>
      <c r="F6" s="2120"/>
      <c r="G6" s="2121"/>
      <c r="H6" s="2121"/>
      <c r="I6" s="2121"/>
      <c r="O6" s="36" t="s">
        <v>5</v>
      </c>
      <c r="P6" s="2122" t="str">
        <f>C6</f>
        <v>Bracket C3-60</v>
      </c>
      <c r="Q6" s="2122"/>
      <c r="R6" s="2122"/>
      <c r="S6" s="2122"/>
      <c r="T6" s="2123"/>
      <c r="U6" s="2123"/>
      <c r="V6" s="2123"/>
      <c r="W6" s="108"/>
      <c r="X6" s="108"/>
      <c r="Y6" s="108"/>
      <c r="Z6" s="108"/>
      <c r="AI6" s="11"/>
      <c r="AJ6" s="2117"/>
      <c r="AK6" s="54">
        <f>D32*G32*(D63/2)^2</f>
        <v>39.295999999999999</v>
      </c>
      <c r="AL6" s="54">
        <f>4*G32*AL18</f>
        <v>41.752000000000002</v>
      </c>
      <c r="AM6" s="54">
        <f>D32*G32*(D63/2)^2</f>
        <v>39.295999999999999</v>
      </c>
      <c r="AN6" s="54">
        <f>D32*G32</f>
        <v>2.456</v>
      </c>
      <c r="AO6" s="55">
        <f>IF(AP6=99,D47+D62+D31+0.75,D47+D62+AP6)</f>
        <v>2.25</v>
      </c>
      <c r="AP6" s="11">
        <f>VLOOKUP(D31,BoltDim,8,FALSE)</f>
        <v>1.25</v>
      </c>
      <c r="AQ6" s="11">
        <f>IF(AP6=99,D31+1,AP6)</f>
        <v>1.25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0.39269908169872414</v>
      </c>
      <c r="BU6" s="65">
        <f t="shared" si="1"/>
        <v>1.1780972450961724</v>
      </c>
      <c r="BV6" s="65">
        <f t="shared" si="1"/>
        <v>1.9634954084936207</v>
      </c>
      <c r="BW6" s="65">
        <f t="shared" si="1"/>
        <v>2.748893571891069</v>
      </c>
      <c r="BX6" s="65">
        <f t="shared" si="1"/>
        <v>3.5342917352885173</v>
      </c>
      <c r="BY6" s="65">
        <f t="shared" si="1"/>
        <v>4.3196898986859651</v>
      </c>
      <c r="BZ6" s="65">
        <f t="shared" si="1"/>
        <v>5.1050880620834143</v>
      </c>
      <c r="CA6" s="65">
        <f t="shared" si="1"/>
        <v>5.8904862254808616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0.40309446254071662</v>
      </c>
      <c r="AN8" s="11">
        <f>BA32/AN6</f>
        <v>1.9991856677524431</v>
      </c>
      <c r="AQ8" s="11">
        <f>MAX((D50+D47)/2,3)</f>
        <v>3</v>
      </c>
      <c r="AR8" s="11">
        <f>MAX((D50+D47)/2,3.5)</f>
        <v>3.5</v>
      </c>
      <c r="AU8" s="59"/>
      <c r="AV8" s="59"/>
      <c r="AW8" s="60" t="s">
        <v>106</v>
      </c>
      <c r="AX8" s="61">
        <f>IF(D9="Hexagonal",IF(G9="Flat-Flat",G11,D11), IF(G9="Flat-Flat",D11,G11))</f>
        <v>7</v>
      </c>
      <c r="BH8" s="56"/>
      <c r="BI8" s="2136" t="s">
        <v>464</v>
      </c>
      <c r="BJ8" s="2137"/>
      <c r="BK8" s="2137"/>
      <c r="BL8" s="2137"/>
      <c r="BM8" s="2137"/>
      <c r="BN8" s="2137"/>
      <c r="BO8" s="2137"/>
      <c r="BP8" s="2137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15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3.5</v>
      </c>
      <c r="BU9" s="947">
        <f t="shared" ref="BU9:CE9" si="2">IF(BU8&gt;$AX$9,0,$G$11*COS(BU6)/2)</f>
        <v>1.4497474683058329</v>
      </c>
      <c r="BV9" s="947">
        <f t="shared" si="2"/>
        <v>-1.4497474683058325</v>
      </c>
      <c r="BW9" s="947">
        <f t="shared" si="2"/>
        <v>-3.5</v>
      </c>
      <c r="BX9" s="947">
        <f t="shared" si="2"/>
        <v>-3.5000000000000004</v>
      </c>
      <c r="BY9" s="947">
        <f t="shared" si="2"/>
        <v>-1.4497474683058347</v>
      </c>
      <c r="BZ9" s="947">
        <f t="shared" si="2"/>
        <v>1.4497474683058336</v>
      </c>
      <c r="CA9" s="947">
        <f t="shared" si="2"/>
        <v>3.4999999999999991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Flat-Flat</v>
      </c>
      <c r="AA10" s="69"/>
      <c r="AJ10" s="48">
        <v>1</v>
      </c>
      <c r="AK10" s="11">
        <f>IF(AO3&gt;0,D36,0)</f>
        <v>3</v>
      </c>
      <c r="AL10" s="11">
        <f>AK10^2</f>
        <v>9</v>
      </c>
      <c r="AM10" s="70">
        <f>IF(D32=2,($BE$34*12*$D$63/2)/$AM$6+$AM$8,IF(AK10=0,0,($BE$32*12*AK10)/$AL$6+($BE$34*12*$D$63/2)/$AM$6+$AM$8))</f>
        <v>36.124018011113236</v>
      </c>
      <c r="AN10" s="70">
        <f>IF(D32=2,($BE$33*12*$D$63/2)/$AK$6+$AN$8,IF(AK10=0,0,($BE$33*12*$D$63/2)/$AK$6+$AN$8))</f>
        <v>2.1213355048859937</v>
      </c>
      <c r="AO10" s="70">
        <f t="shared" ref="AO10:AO17" si="3">SQRT(AM10^2+AN10^2)</f>
        <v>36.186250725814681</v>
      </c>
      <c r="AP10" s="71">
        <f t="shared" ref="AP10:AP17" si="4">AM10*$G$32</f>
        <v>11.090073529411763</v>
      </c>
      <c r="AQ10" s="11">
        <f>AP10*$AQ$30*(3*$AQ$30+2*$AQ$8)/(2*(3*$AQ$30+$AQ$8))</f>
        <v>6.5352219012605035</v>
      </c>
      <c r="AR10" s="11">
        <f>AP10*$AQ$30/2</f>
        <v>4.1587775735294112</v>
      </c>
      <c r="AS10" s="11">
        <f>3*AP10*$AQ$30*$AQ$30/(2*(3*$AQ$30+$AQ$8))</f>
        <v>1.7823332457983192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1.4497474683058327</v>
      </c>
      <c r="BU10" s="947">
        <f t="shared" ref="BU10:CE10" si="5">IF(BU8&gt;$AX$9,0,$G$11*SIN(BU6)/2)</f>
        <v>3.5</v>
      </c>
      <c r="BV10" s="947">
        <f t="shared" si="5"/>
        <v>3.5</v>
      </c>
      <c r="BW10" s="947">
        <f t="shared" si="5"/>
        <v>1.4497474683058331</v>
      </c>
      <c r="BX10" s="947">
        <f t="shared" si="5"/>
        <v>-1.4497474683058322</v>
      </c>
      <c r="BY10" s="947">
        <f t="shared" si="5"/>
        <v>-3.4999999999999991</v>
      </c>
      <c r="BZ10" s="947">
        <f t="shared" si="5"/>
        <v>-3.4999999999999996</v>
      </c>
      <c r="CA10" s="947">
        <f t="shared" si="5"/>
        <v>-1.4497474683058349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5</v>
      </c>
      <c r="AL11" s="11">
        <f t="shared" ref="AL11:AL17" si="6">AK11^2</f>
        <v>25</v>
      </c>
      <c r="AM11" s="70">
        <f t="shared" ref="AM11:AM17" si="7">IF(AK11=0,0,($BE$32*12*AK11)/$AL$6+($BE$34*12*$D$63/2)/$AM$6+$AM$8)</f>
        <v>52.152950756849968</v>
      </c>
      <c r="AN11" s="70">
        <f t="shared" ref="AN11:AN17" si="8">IF(AK11=0,0,($BE$33*12*$D$63/2)/$AK$6+$AN$8)</f>
        <v>2.1213355048859937</v>
      </c>
      <c r="AO11" s="70">
        <f t="shared" si="3"/>
        <v>52.19607587712612</v>
      </c>
      <c r="AP11" s="71">
        <f t="shared" si="4"/>
        <v>16.010955882352938</v>
      </c>
      <c r="AQ11" s="11">
        <f t="shared" ref="AQ11:AQ17" si="9">AP11*$AQ$30*(3*$AQ$30+2*$AQ$8)/(2*(3*$AQ$30+$AQ$8))</f>
        <v>9.4350275735294105</v>
      </c>
      <c r="AR11" s="11">
        <f t="shared" ref="AR11:AR17" si="10">AP11*$AQ$30/2</f>
        <v>6.0041084558823519</v>
      </c>
      <c r="AS11" s="11">
        <f t="shared" ref="AS11:AS17" si="11">3*AP11*$AQ$30*$AQ$30/(2*(3*$AQ$30+$AQ$8))</f>
        <v>2.5731893382352937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4</v>
      </c>
      <c r="BC12" s="77" t="s">
        <v>123</v>
      </c>
      <c r="BD12" s="11">
        <f>D52+D47</f>
        <v>1.5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6</v>
      </c>
      <c r="BC13" s="77" t="s">
        <v>124</v>
      </c>
      <c r="BD13" s="11">
        <f>ACOS((BD12-BD11)/BD12)</f>
        <v>0.41113786232234784</v>
      </c>
      <c r="BH13" s="56"/>
      <c r="BK13" s="926" t="s">
        <v>456</v>
      </c>
      <c r="BL13" s="950">
        <f>BL9*BO13/12</f>
        <v>40.184539391653878</v>
      </c>
      <c r="BM13"/>
      <c r="BN13" s="926" t="s">
        <v>453</v>
      </c>
      <c r="BO13" s="949">
        <f>2*BP15*BO12/D11</f>
        <v>7.4186841953822551</v>
      </c>
      <c r="BP13"/>
      <c r="BS13" s="77" t="s">
        <v>466</v>
      </c>
      <c r="BT13" s="65">
        <f>BL33/BL10</f>
        <v>0.23344755167458828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5.375</v>
      </c>
      <c r="T14" s="78" t="s">
        <v>37</v>
      </c>
      <c r="U14" s="64"/>
      <c r="V14" s="79" t="s">
        <v>215</v>
      </c>
      <c r="W14" s="81">
        <f>D16</f>
        <v>-0.5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8.7540499510637762E-2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v>1</v>
      </c>
      <c r="BS15" s="77" t="s">
        <v>476</v>
      </c>
      <c r="BT15" s="65">
        <f>BL32/BL10</f>
        <v>1.157805534062857</v>
      </c>
    </row>
    <row r="16" spans="2:83" ht="15.75" x14ac:dyDescent="0.25">
      <c r="B16" s="24"/>
      <c r="C16" s="20" t="s">
        <v>34</v>
      </c>
      <c r="D16" s="136">
        <f>IF(F16="",(D11-D10)/2,F16)</f>
        <v>-0.5</v>
      </c>
      <c r="E16" s="10" t="s">
        <v>31</v>
      </c>
      <c r="F16" s="131">
        <v>-0.5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0.74430427854623837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0.59947894041409011</v>
      </c>
      <c r="BH16" s="56"/>
      <c r="BM16"/>
      <c r="BN16" s="929"/>
      <c r="BO16" s="930"/>
      <c r="BP16"/>
      <c r="BS16" s="77" t="s">
        <v>477</v>
      </c>
      <c r="BT16" s="65">
        <f>BL34/BL10</f>
        <v>0.41030175748867032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12.5</v>
      </c>
      <c r="BC17" s="77" t="s">
        <v>125</v>
      </c>
      <c r="BD17" s="11">
        <f>IF(AX8+2*(D52-BD16-D12)&gt;AX8+0.125,AX8+2*(D52-BD16-D12),AX8+0.125)</f>
        <v>7.4260421191718198</v>
      </c>
      <c r="BE17" s="11">
        <f>AX8+0.125</f>
        <v>7.125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5</v>
      </c>
      <c r="AL18" s="66">
        <f>SUM(AL10:AL17)</f>
        <v>34</v>
      </c>
      <c r="AO18" s="87">
        <f>MAX(AO10:AO17)</f>
        <v>52.19607587712612</v>
      </c>
      <c r="AP18" s="88">
        <f>SUM(AP10:AP17)</f>
        <v>27.101029411764699</v>
      </c>
      <c r="AQ18" s="11">
        <f>SUM(AQ10:AQ17)</f>
        <v>15.970249474789913</v>
      </c>
      <c r="AR18" s="11">
        <f>SUM(AR10:AR17)</f>
        <v>10.162886029411762</v>
      </c>
      <c r="AS18" s="11">
        <f>SUM(AS10:AS17)</f>
        <v>4.3555225840336131</v>
      </c>
      <c r="AU18" s="66"/>
      <c r="AV18" s="68"/>
      <c r="AW18" s="67" t="s">
        <v>131</v>
      </c>
      <c r="AX18" s="68">
        <f>CEILING(MAX(VLOOKUP(D31,BoltDim,2,FALSE),D47+D31/2, D55+D31/2),0.125)</f>
        <v>1.25</v>
      </c>
      <c r="AY18" s="65"/>
      <c r="BC18" s="77" t="s">
        <v>126</v>
      </c>
      <c r="BD18" s="11">
        <f>CEILING(BD17-0.15625,1)</f>
        <v>8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25" t="s">
        <v>216</v>
      </c>
      <c r="W19" s="2126"/>
      <c r="X19" s="2126"/>
      <c r="Y19" s="2126"/>
      <c r="Z19" s="2127"/>
      <c r="AA19" s="56"/>
      <c r="AJ19" s="48"/>
      <c r="AU19" s="66"/>
      <c r="AV19" s="66"/>
      <c r="AW19" s="67" t="s">
        <v>132</v>
      </c>
      <c r="AX19" s="68">
        <f>VLOOKUP(D31,BoltDim,3,FALSE)</f>
        <v>2</v>
      </c>
      <c r="AY19" s="70"/>
      <c r="BC19" s="77" t="s">
        <v>122</v>
      </c>
      <c r="BD19" s="11">
        <f>((D11-2*D12)-(BD18-2*D52))/2</f>
        <v>0.3125</v>
      </c>
      <c r="BH19" s="56"/>
      <c r="BK19" s="77" t="s">
        <v>146</v>
      </c>
      <c r="BL19" s="11">
        <f>D25*(BO19+BO20)+D26*(BP19+BP20)+BO21*BG67*D21</f>
        <v>0.17855057773967004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48.328268450527474</v>
      </c>
      <c r="BU19" s="65">
        <f t="shared" ref="BU19:CE19" si="12">12*($BP$32*BU9+$BP$34*BU10)/$BO$12+$BT$13</f>
        <v>32.091131118763499</v>
      </c>
      <c r="BV19" s="65">
        <f t="shared" si="12"/>
        <v>-2.8078051808106759</v>
      </c>
      <c r="BW19" s="65">
        <f t="shared" si="12"/>
        <v>-35.925216876299224</v>
      </c>
      <c r="BX19" s="65">
        <f t="shared" si="12"/>
        <v>-47.861373347178301</v>
      </c>
      <c r="BY19" s="65">
        <f t="shared" si="12"/>
        <v>-31.624236015414347</v>
      </c>
      <c r="BZ19" s="65">
        <f t="shared" si="12"/>
        <v>3.2747002841598669</v>
      </c>
      <c r="CA19" s="65">
        <f t="shared" si="12"/>
        <v>36.392111979648377</v>
      </c>
      <c r="CB19" s="65">
        <f t="shared" si="12"/>
        <v>0.23344755167458828</v>
      </c>
      <c r="CC19" s="65">
        <f t="shared" si="12"/>
        <v>0.23344755167458828</v>
      </c>
      <c r="CD19" s="65">
        <f t="shared" si="12"/>
        <v>0.23344755167458828</v>
      </c>
      <c r="CE19" s="65">
        <f t="shared" si="12"/>
        <v>0.23344755167458828</v>
      </c>
    </row>
    <row r="20" spans="2:83" ht="18" customHeight="1" x14ac:dyDescent="0.25">
      <c r="B20" s="938"/>
      <c r="C20" s="1202"/>
      <c r="D20" s="1202"/>
      <c r="E20" s="1202"/>
      <c r="F20" s="2138" t="s">
        <v>458</v>
      </c>
      <c r="G20" s="2138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28" t="str">
        <f>IF(D34="Include Threads","Note: Threads are included in shear plane!","")</f>
        <v/>
      </c>
      <c r="W20" s="2129"/>
      <c r="X20" s="2129"/>
      <c r="Y20" s="2129"/>
      <c r="Z20" s="2130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3.2913175711812181E-2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1.1913058328865422</v>
      </c>
      <c r="BU20" s="65">
        <f t="shared" ref="BU20:CE20" si="13">$BT$15+BU14*BU10/($G$11/2)</f>
        <v>1.157805534062857</v>
      </c>
      <c r="BV20" s="65">
        <f t="shared" si="13"/>
        <v>1.157805534062857</v>
      </c>
      <c r="BW20" s="65">
        <f t="shared" si="13"/>
        <v>1.157805534062857</v>
      </c>
      <c r="BX20" s="65">
        <f t="shared" si="13"/>
        <v>1.157805534062857</v>
      </c>
      <c r="BY20" s="65">
        <f t="shared" si="13"/>
        <v>1.157805534062857</v>
      </c>
      <c r="BZ20" s="65">
        <f t="shared" si="13"/>
        <v>1.157805534062857</v>
      </c>
      <c r="CA20" s="65">
        <f t="shared" si="13"/>
        <v>1.157805534062857</v>
      </c>
      <c r="CB20" s="65">
        <f t="shared" si="13"/>
        <v>1.157805534062857</v>
      </c>
      <c r="CC20" s="65">
        <f t="shared" si="13"/>
        <v>1.157805534062857</v>
      </c>
      <c r="CD20" s="65">
        <f t="shared" si="13"/>
        <v>1.157805534062857</v>
      </c>
      <c r="CE20" s="65">
        <f t="shared" si="13"/>
        <v>1.157805534062857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28" t="str">
        <f>IF(D37=AX19,"", "Warning: Non-standard bolt spacing!")</f>
        <v/>
      </c>
      <c r="W21" s="2129"/>
      <c r="X21" s="2129"/>
      <c r="Y21" s="2129"/>
      <c r="Z21" s="2130"/>
      <c r="AA21" s="56"/>
      <c r="AJ21" s="48" t="s">
        <v>107</v>
      </c>
      <c r="AK21" s="11">
        <f>IF(D54&gt;1,D55,0)</f>
        <v>0.5</v>
      </c>
      <c r="AL21" s="11">
        <f>IF(D54&gt;1,D56,0)</f>
        <v>2.25</v>
      </c>
      <c r="AM21" s="11">
        <f>(D62*D49/2*D62/2+AK21*AL21*(D62+AL21/2))/(D49/2*D62+AK21*AL21)</f>
        <v>0.55182926829268297</v>
      </c>
      <c r="AN21" s="11">
        <f>D62+AL21-AM21</f>
        <v>2.1981707317073171</v>
      </c>
      <c r="AO21" s="11">
        <f>AT26*D62^3/12+AK21*AL21^3/12+AT26*D62*(D62/2-AM21)^2+AK21*AL21*(D62+AL21/2-AM21)^2+IF(D32=2,AK21*AL21^3/12+AK21*AL21*(D62+AL21/2-AM21)^2,0)</f>
        <v>2.2180036839430901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1.4756246094187606</v>
      </c>
      <c r="BS21" s="77" t="s">
        <v>481</v>
      </c>
      <c r="BT21" s="65">
        <f>$BT$16+BT14*BT9/($G$11/2)</f>
        <v>0.49117863325236288</v>
      </c>
      <c r="BU21" s="65">
        <f t="shared" ref="BU21:CE21" si="14">$BT$16+BU14*BU9/($G$11/2)</f>
        <v>0.41030175748867032</v>
      </c>
      <c r="BV21" s="65">
        <f t="shared" si="14"/>
        <v>0.41030175748867032</v>
      </c>
      <c r="BW21" s="65">
        <f t="shared" si="14"/>
        <v>0.41030175748867032</v>
      </c>
      <c r="BX21" s="65">
        <f t="shared" si="14"/>
        <v>0.41030175748867032</v>
      </c>
      <c r="BY21" s="65">
        <f t="shared" si="14"/>
        <v>0.41030175748867032</v>
      </c>
      <c r="BZ21" s="65">
        <f t="shared" si="14"/>
        <v>0.41030175748867032</v>
      </c>
      <c r="CA21" s="65">
        <f t="shared" si="14"/>
        <v>0.41030175748867032</v>
      </c>
      <c r="CB21" s="65">
        <f t="shared" si="14"/>
        <v>0.41030175748867032</v>
      </c>
      <c r="CC21" s="65">
        <f t="shared" si="14"/>
        <v>0.41030175748867032</v>
      </c>
      <c r="CD21" s="65">
        <f t="shared" si="14"/>
        <v>0.41030175748867032</v>
      </c>
      <c r="CE21" s="65">
        <f t="shared" si="14"/>
        <v>0.41030175748867032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28" t="str">
        <f>IF(OR(D38&lt;AX18,D39&lt;AX18),"Warning: Edge distance not meet minimum!","")</f>
        <v/>
      </c>
      <c r="W22" s="2129"/>
      <c r="X22" s="2129"/>
      <c r="Y22" s="2129"/>
      <c r="Z22" s="2130"/>
      <c r="AA22" s="56"/>
      <c r="AJ22" s="163">
        <v>2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48.379778105505494</v>
      </c>
      <c r="BU22" s="65">
        <f t="shared" ref="BU22:CE22" si="15">SQRT(BU19^2+3*(BU20^2+BU21^2))</f>
        <v>32.161580807578254</v>
      </c>
      <c r="BV22" s="65">
        <f t="shared" si="15"/>
        <v>3.522833162967256</v>
      </c>
      <c r="BW22" s="65">
        <f t="shared" si="15"/>
        <v>35.988161819824157</v>
      </c>
      <c r="BX22" s="65">
        <f t="shared" si="15"/>
        <v>47.908638492851203</v>
      </c>
      <c r="BY22" s="65">
        <f t="shared" si="15"/>
        <v>31.695723483134824</v>
      </c>
      <c r="BZ22" s="65">
        <f t="shared" si="15"/>
        <v>3.9051562723905584</v>
      </c>
      <c r="CA22" s="65">
        <f t="shared" si="15"/>
        <v>36.454250752141121</v>
      </c>
      <c r="CB22" s="65">
        <f t="shared" si="15"/>
        <v>2.1403460748433809</v>
      </c>
      <c r="CC22" s="65">
        <f t="shared" si="15"/>
        <v>2.1403460748433809</v>
      </c>
      <c r="CD22" s="65">
        <f t="shared" si="15"/>
        <v>2.1403460748433809</v>
      </c>
      <c r="CE22" s="65">
        <f t="shared" si="15"/>
        <v>2.1403460748433809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28" t="str">
        <f>IF(OR(D31=0.875, D31=1.125,D31=1.375),"Warning: Non-standard bolt size!","")</f>
        <v/>
      </c>
      <c r="W23" s="2129"/>
      <c r="X23" s="2129"/>
      <c r="Y23" s="2129"/>
      <c r="Z23" s="2130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0.74430427854623837</v>
      </c>
      <c r="BU23" s="65">
        <f t="shared" ref="BU23:CE23" si="16">ABS(BU22/$BL$9)</f>
        <v>0.49479355088581928</v>
      </c>
      <c r="BV23" s="65">
        <f t="shared" si="16"/>
        <v>5.4197433276419321E-2</v>
      </c>
      <c r="BW23" s="65">
        <f t="shared" si="16"/>
        <v>0.55366402799729475</v>
      </c>
      <c r="BX23" s="65">
        <f t="shared" si="16"/>
        <v>0.73705597681309543</v>
      </c>
      <c r="BY23" s="65">
        <f t="shared" si="16"/>
        <v>0.48762651512515115</v>
      </c>
      <c r="BZ23" s="65">
        <f t="shared" si="16"/>
        <v>6.0079327267547056E-2</v>
      </c>
      <c r="CA23" s="65">
        <f t="shared" si="16"/>
        <v>0.56083462695601727</v>
      </c>
      <c r="CB23" s="65">
        <f t="shared" si="16"/>
        <v>3.292840115143663E-2</v>
      </c>
      <c r="CC23" s="65">
        <f t="shared" si="16"/>
        <v>3.292840115143663E-2</v>
      </c>
      <c r="CD23" s="65">
        <f t="shared" si="16"/>
        <v>3.292840115143663E-2</v>
      </c>
      <c r="CE23" s="65">
        <f t="shared" si="16"/>
        <v>3.292840115143663E-2</v>
      </c>
    </row>
    <row r="24" spans="2:83" ht="15" customHeight="1" x14ac:dyDescent="0.25">
      <c r="B24" s="48"/>
      <c r="C24" s="2118" t="s">
        <v>40</v>
      </c>
      <c r="D24" s="2118"/>
      <c r="E24" s="10"/>
      <c r="F24" s="2118" t="s">
        <v>39</v>
      </c>
      <c r="G24" s="2118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28" t="str">
        <f>IF(D48&lt;=BD17-0.03125,"Warning: Shaft will be coped to fit bracket!","")</f>
        <v/>
      </c>
      <c r="W24" s="2129"/>
      <c r="X24" s="2129"/>
      <c r="Y24" s="2129"/>
      <c r="Z24" s="2130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8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4.91</v>
      </c>
      <c r="E25" s="2116" t="s">
        <v>41</v>
      </c>
      <c r="F25" s="940" t="s">
        <v>146</v>
      </c>
      <c r="G25" s="941">
        <v>29.112500000000001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5.3751614962818657</v>
      </c>
      <c r="T25" s="129" t="s">
        <v>169</v>
      </c>
      <c r="V25" s="2146"/>
      <c r="W25" s="2147"/>
      <c r="X25" s="2147"/>
      <c r="Y25" s="2147"/>
      <c r="Z25" s="2148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>
        <f>AQ26^2/0.75^2</f>
        <v>0.32759486102133156</v>
      </c>
      <c r="AV25" s="65">
        <v>0</v>
      </c>
      <c r="AW25" s="65">
        <f>IF(D32=2,0,IF(AN3=0,D37/2,D37))</f>
        <v>1</v>
      </c>
      <c r="AX25" s="65"/>
      <c r="AY25" s="70"/>
      <c r="BH25" s="56"/>
      <c r="BL25" s="97">
        <f>BL33/BL10</f>
        <v>0.23344755167458828</v>
      </c>
      <c r="BS25" s="77" t="s">
        <v>484</v>
      </c>
      <c r="BT25" s="65">
        <f>MAX(BT23:CE23)</f>
        <v>0.74430427854623837</v>
      </c>
    </row>
    <row r="26" spans="2:83" ht="15" x14ac:dyDescent="0.25">
      <c r="B26" s="24"/>
      <c r="C26" s="940" t="s">
        <v>144</v>
      </c>
      <c r="D26" s="941">
        <v>0.99</v>
      </c>
      <c r="E26" s="2116" t="s">
        <v>41</v>
      </c>
      <c r="F26" s="940" t="s">
        <v>147</v>
      </c>
      <c r="G26" s="941">
        <v>0.1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5.370962529873597</v>
      </c>
      <c r="T26" s="129" t="s">
        <v>169</v>
      </c>
      <c r="V26" s="2128" t="str">
        <f>IF(BE67&gt;0,"Note: Stiffeners required for bracket!","")</f>
        <v>Note: Stiffeners required for bracket!</v>
      </c>
      <c r="W26" s="2129"/>
      <c r="X26" s="2129"/>
      <c r="Y26" s="2129"/>
      <c r="Z26" s="2130"/>
      <c r="AA26" s="56"/>
      <c r="AJ26" s="65">
        <f>IF(G9="Flat-Flat",D11/2,(D11/COS(AX10)-AX11/2*SIN(AX10))/2)</f>
        <v>3.5</v>
      </c>
      <c r="AK26" s="11">
        <f>(AX12*D47^3)/12+(D47*AN26^3)/12+(AX12*D47)*(AL26-D47/2)^2+(D47*AN26)*(D51/2-AL26)^2</f>
        <v>13.892754082207208</v>
      </c>
      <c r="AL26" s="11">
        <f>(AX12*D47/2+AN26*D51/2)/(AX12+AN26)</f>
        <v>1.7398648648648649</v>
      </c>
      <c r="AM26" s="11">
        <f>D51-AL26</f>
        <v>4.0101351351351351</v>
      </c>
      <c r="AN26" s="11">
        <f>D50+D38</f>
        <v>5.25</v>
      </c>
      <c r="AP26" s="77" t="s">
        <v>105</v>
      </c>
      <c r="AQ26" s="11">
        <f>SQRT(6*AQ18/(AT26*D45))</f>
        <v>0.42926927367853734</v>
      </c>
      <c r="AR26" s="11">
        <f>6*AQ18/(AT26*D47^2)</f>
        <v>47.910748424369743</v>
      </c>
      <c r="AS26" s="90">
        <f>(AR26/D45)</f>
        <v>0.737088437297996</v>
      </c>
      <c r="AT26" s="11">
        <f>IF(D32=2,MIN(D49,24*D47),D49/2)</f>
        <v>8</v>
      </c>
      <c r="AV26" s="65">
        <v>1</v>
      </c>
      <c r="AW26" s="65">
        <f>IF(D32=2,"",$AW$25+AV26*$D$37/2)</f>
        <v>2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0.41030175748867032</v>
      </c>
    </row>
    <row r="27" spans="2:83" ht="15" x14ac:dyDescent="0.25">
      <c r="B27" s="24"/>
      <c r="C27" s="940" t="s">
        <v>145</v>
      </c>
      <c r="D27" s="941">
        <v>1.74</v>
      </c>
      <c r="E27" s="2116" t="s">
        <v>41</v>
      </c>
      <c r="F27" s="940" t="s">
        <v>148</v>
      </c>
      <c r="G27" s="941">
        <v>9.9949999999999992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28" t="str">
        <f>IF(AY21=1,"Note: CJP weld required!","")</f>
        <v/>
      </c>
      <c r="W27" s="2129"/>
      <c r="X27" s="2129"/>
      <c r="Y27" s="2129"/>
      <c r="Z27" s="2130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15.827446648392529</v>
      </c>
      <c r="AS27" s="90">
        <f>(AQ27/D45)</f>
        <v>0.24349917920603892</v>
      </c>
      <c r="AV27" s="65">
        <v>2</v>
      </c>
      <c r="AW27" s="65">
        <f>IF(D32=2,"",$AW$25+AV27*$D$37/2)</f>
        <v>3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1.157805534062857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-0.44414443311192831</v>
      </c>
      <c r="T28" s="129" t="s">
        <v>168</v>
      </c>
      <c r="V28" s="2155"/>
      <c r="W28" s="2145"/>
      <c r="X28" s="2145"/>
      <c r="Y28" s="2145"/>
      <c r="Z28" s="2156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15.827446648392529</v>
      </c>
      <c r="AS28" s="90">
        <f>(AQ28/D45)</f>
        <v>0.24349917920603892</v>
      </c>
      <c r="AV28" s="65">
        <v>3</v>
      </c>
      <c r="AW28" s="65">
        <f>IF(D32=2,"",$AW$25+AV28*$D$37/2)</f>
        <v>4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-0.44414443311192831</v>
      </c>
      <c r="T29" s="129" t="s">
        <v>168</v>
      </c>
      <c r="V29" s="2149" t="str">
        <f>IF(AND(D15&gt;0,S28="NA"), "Curve Arm Will Not Work!","")</f>
        <v/>
      </c>
      <c r="W29" s="2150"/>
      <c r="X29" s="2150"/>
      <c r="Y29" s="2150"/>
      <c r="Z29" s="2151"/>
      <c r="AA29" s="56"/>
      <c r="AJ29" s="1524">
        <v>2</v>
      </c>
      <c r="AK29" s="65">
        <f t="shared" si="17"/>
        <v>1.5</v>
      </c>
      <c r="AL29" s="65">
        <f t="shared" ref="AL29:AL35" si="18">AP11*AK29</f>
        <v>24.016433823529407</v>
      </c>
      <c r="AV29" s="65">
        <v>4</v>
      </c>
      <c r="AW29" s="65">
        <f>IF(D32=2,"",$AW$25+AV29*$D$37/2)</f>
        <v>5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92</v>
      </c>
      <c r="H30" s="25" t="s">
        <v>55</v>
      </c>
      <c r="I30" s="24"/>
      <c r="J30" s="10"/>
      <c r="K30" s="10"/>
      <c r="M30" s="56"/>
      <c r="O30" s="48"/>
      <c r="V30" s="2152"/>
      <c r="W30" s="2153"/>
      <c r="X30" s="2153"/>
      <c r="Y30" s="2153"/>
      <c r="Z30" s="2154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0.75</v>
      </c>
      <c r="AV30" s="65">
        <v>5</v>
      </c>
      <c r="AW30" s="65">
        <f>IF(D32=2,"",$AW$25+AV30*$D$37/2)</f>
        <v>6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0.625</v>
      </c>
      <c r="E31" s="10" t="s">
        <v>31</v>
      </c>
      <c r="F31" s="20" t="s">
        <v>54</v>
      </c>
      <c r="G31" s="8">
        <f>VLOOKUP(D30,BoltProperties,AL3+3,FALSE)</f>
        <v>120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71</v>
      </c>
      <c r="T31" s="11" t="s">
        <v>264</v>
      </c>
      <c r="V31" s="2128" t="str">
        <f>IF(D15=0,"",IFERROR(IF(Sheet1!BE63/Sheet1!D12&gt;40,"WARNING! D/T &gt; 40!",""),""))</f>
        <v/>
      </c>
      <c r="W31" s="2129"/>
      <c r="X31" s="2129"/>
      <c r="Y31" s="2129"/>
      <c r="Z31" s="2130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7</v>
      </c>
      <c r="AY31" s="154"/>
      <c r="AZ31" s="2118" t="s">
        <v>40</v>
      </c>
      <c r="BA31" s="2118"/>
      <c r="BB31" s="10"/>
      <c r="BD31" s="2118" t="s">
        <v>39</v>
      </c>
      <c r="BE31" s="2118"/>
      <c r="BF31" s="156"/>
      <c r="BH31" s="56"/>
      <c r="BJ31" s="154"/>
      <c r="BK31" s="2118" t="s">
        <v>40</v>
      </c>
      <c r="BL31" s="2118"/>
      <c r="BM31" s="10"/>
      <c r="BO31" s="2118" t="s">
        <v>39</v>
      </c>
      <c r="BP31" s="2118"/>
      <c r="BQ31" s="156"/>
    </row>
    <row r="32" spans="2:83" ht="15.75" customHeight="1" thickBot="1" x14ac:dyDescent="0.3">
      <c r="B32" s="24"/>
      <c r="C32" s="20" t="s">
        <v>58</v>
      </c>
      <c r="D32" s="133">
        <v>8</v>
      </c>
      <c r="E32" s="10"/>
      <c r="F32" s="20" t="s">
        <v>60</v>
      </c>
      <c r="G32" s="8">
        <f>VLOOKUP(D31,BoltDim,4,FALSE)</f>
        <v>0.307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50</v>
      </c>
      <c r="T32" s="11" t="s">
        <v>264</v>
      </c>
      <c r="V32" s="2128" t="str">
        <f>IF(D15=0,"",IFERROR(IF(Sheet1!BE61&gt;0.65,"WARNING! Taper is to large!",""),""))</f>
        <v/>
      </c>
      <c r="W32" s="2129"/>
      <c r="X32" s="2129"/>
      <c r="Y32" s="2129"/>
      <c r="Z32" s="2130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0.75</v>
      </c>
      <c r="AR32" s="11">
        <f>6*AR18/(D49/2*D47^2)</f>
        <v>30.488658088235287</v>
      </c>
      <c r="AS32" s="11">
        <f>(AR32/D45)^2</f>
        <v>0.22001379219439407</v>
      </c>
      <c r="AV32" s="65">
        <v>7</v>
      </c>
      <c r="AW32" s="65">
        <f>IF(D32=2,"",$AW$25+AV32*$D$37/2)</f>
        <v>8</v>
      </c>
      <c r="AY32" s="154"/>
      <c r="AZ32" s="20" t="s">
        <v>143</v>
      </c>
      <c r="BA32" s="942">
        <f>D25</f>
        <v>4.91</v>
      </c>
      <c r="BB32" s="160" t="s">
        <v>41</v>
      </c>
      <c r="BC32" s="78"/>
      <c r="BD32" s="161" t="s">
        <v>146</v>
      </c>
      <c r="BE32" s="942">
        <f>IF(G14="Pole Face", G25-D25*D64/12,G25+D25*(D50+D47)/12)</f>
        <v>27.885000000000002</v>
      </c>
      <c r="BF32" s="156" t="s">
        <v>42</v>
      </c>
      <c r="BH32" s="56"/>
      <c r="BJ32" s="154"/>
      <c r="BK32" s="20" t="s">
        <v>143</v>
      </c>
      <c r="BL32" s="942">
        <f>D25</f>
        <v>4.91</v>
      </c>
      <c r="BM32" s="160" t="s">
        <v>41</v>
      </c>
      <c r="BN32" s="78"/>
      <c r="BO32" s="161" t="s">
        <v>146</v>
      </c>
      <c r="BP32" s="942">
        <f>IF(G14="Pole Face", G25-D25*(D64+D50+D47)/12,G25)</f>
        <v>26.043749999999999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0.22600000000000001</v>
      </c>
      <c r="H33" s="25" t="s">
        <v>68</v>
      </c>
      <c r="I33" s="48"/>
      <c r="K33" s="138">
        <v>2.25</v>
      </c>
      <c r="L33" s="2124">
        <f>G56</f>
        <v>2.25</v>
      </c>
      <c r="M33" s="56"/>
      <c r="O33" s="48"/>
      <c r="R33" s="77" t="s">
        <v>263</v>
      </c>
      <c r="S33" s="81">
        <f>S31+S32</f>
        <v>121</v>
      </c>
      <c r="T33" s="11" t="s">
        <v>264</v>
      </c>
      <c r="V33" s="2128" t="str">
        <f>IF(D15=0,"",IFERROR(IF(S27&gt;15,"WARNING! Too much rise!",""),""))</f>
        <v/>
      </c>
      <c r="W33" s="2129"/>
      <c r="X33" s="2129"/>
      <c r="Y33" s="2129"/>
      <c r="Z33" s="2130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9</v>
      </c>
      <c r="AY33" s="154"/>
      <c r="AZ33" s="20" t="s">
        <v>144</v>
      </c>
      <c r="BA33" s="942">
        <f>D26</f>
        <v>0.99</v>
      </c>
      <c r="BB33" s="160" t="s">
        <v>41</v>
      </c>
      <c r="BC33" s="78"/>
      <c r="BD33" s="161" t="s">
        <v>147</v>
      </c>
      <c r="BE33" s="942">
        <f>G26</f>
        <v>0.1</v>
      </c>
      <c r="BF33" s="156" t="s">
        <v>42</v>
      </c>
      <c r="BH33" s="56"/>
      <c r="BJ33" s="154"/>
      <c r="BK33" s="20" t="s">
        <v>144</v>
      </c>
      <c r="BL33" s="942">
        <f>D26</f>
        <v>0.99</v>
      </c>
      <c r="BM33" s="160" t="s">
        <v>41</v>
      </c>
      <c r="BN33" s="78"/>
      <c r="BO33" s="161" t="s">
        <v>147</v>
      </c>
      <c r="BP33" s="942">
        <f>G26</f>
        <v>0.1</v>
      </c>
      <c r="BQ33" s="156" t="s">
        <v>42</v>
      </c>
    </row>
    <row r="34" spans="2:69" ht="15" x14ac:dyDescent="0.25">
      <c r="B34" s="24"/>
      <c r="C34" s="20" t="s">
        <v>62</v>
      </c>
      <c r="D34" s="2119" t="s">
        <v>65</v>
      </c>
      <c r="E34" s="2119"/>
      <c r="F34" s="20" t="s">
        <v>70</v>
      </c>
      <c r="G34" s="6">
        <f>IF(D34="Exclude Threads",0.45,0.35)*G31</f>
        <v>54</v>
      </c>
      <c r="H34" s="25" t="s">
        <v>55</v>
      </c>
      <c r="I34" s="48"/>
      <c r="K34" s="10"/>
      <c r="L34" s="2124"/>
      <c r="M34" s="56"/>
      <c r="O34" s="48"/>
      <c r="V34" s="2128" t="str">
        <f>IF(D15=0,"",IFERROR(IF(OR(AND(D15=10,S14&lt;6),AND(D15=20,Sheet1!S14&lt;10)),"WARNING! Arm is too short!",IF(OR(AND(D15=10,S23&lt;=2.5),AND(D15=20,S23&lt;=5)),"WARNING! Arm is too short!","")),""))</f>
        <v/>
      </c>
      <c r="W34" s="2129"/>
      <c r="X34" s="2129"/>
      <c r="Y34" s="2129"/>
      <c r="Z34" s="2130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10</v>
      </c>
      <c r="AY34" s="154"/>
      <c r="AZ34" s="20" t="s">
        <v>145</v>
      </c>
      <c r="BA34" s="942">
        <f>D27</f>
        <v>1.74</v>
      </c>
      <c r="BB34" s="160" t="s">
        <v>41</v>
      </c>
      <c r="BC34" s="78"/>
      <c r="BD34" s="161" t="s">
        <v>148</v>
      </c>
      <c r="BE34" s="942">
        <f>IF(G14="Pole Face", G27-D27*D64/12,G27+D27*(D50+D47)/12)</f>
        <v>9.5599999999999987</v>
      </c>
      <c r="BF34" s="156" t="s">
        <v>42</v>
      </c>
      <c r="BH34" s="56"/>
      <c r="BJ34" s="154"/>
      <c r="BK34" s="20" t="s">
        <v>145</v>
      </c>
      <c r="BL34" s="942">
        <f>D27</f>
        <v>1.74</v>
      </c>
      <c r="BM34" s="160" t="s">
        <v>41</v>
      </c>
      <c r="BN34" s="78"/>
      <c r="BO34" s="161" t="s">
        <v>148</v>
      </c>
      <c r="BP34" s="942">
        <f>IF(G14="Pole Face", G27-D27*(D64+D50+D47)/12,G27)</f>
        <v>8.9074999999999989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28" t="str">
        <f>IF(D15=0,"",IF(OR(AND(Sheet1!AQ43&gt;7,Sheet1!D15=10),AND(Sheet1!AQ43&gt;10,Sheet1!D15=20)), "WARNING! Tip diameter is too large!",""))</f>
        <v/>
      </c>
      <c r="W35" s="2129"/>
      <c r="X35" s="2129"/>
      <c r="Y35" s="2129"/>
      <c r="Z35" s="2130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11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3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28" t="str">
        <f>IF(D15=0,"",IFERROR(IF(OR(AND(Sheet1!BE62&gt;11,Sheet1!D15=10),AND(Sheet1!BE62&gt;16.5,Sheet1!D15=20)), "WARNING! Bend end diameter is too large!",""),""))</f>
        <v/>
      </c>
      <c r="W36" s="2129"/>
      <c r="X36" s="2129"/>
      <c r="Y36" s="2129"/>
      <c r="Z36" s="2130"/>
      <c r="AA36" s="56"/>
      <c r="AJ36" s="48"/>
      <c r="AL36" s="11">
        <f>SUM(AL28:AL35)</f>
        <v>24.016433823529407</v>
      </c>
      <c r="AM36" s="11">
        <f>AL36*AM26/AK26</f>
        <v>6.9323292218731938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2</v>
      </c>
      <c r="E37" s="10" t="s">
        <v>31</v>
      </c>
      <c r="F37" s="130"/>
      <c r="G37" s="104" t="s">
        <v>35</v>
      </c>
      <c r="H37" s="56"/>
      <c r="I37" s="24"/>
      <c r="J37" s="139">
        <v>8</v>
      </c>
      <c r="K37" s="10"/>
      <c r="M37" s="56"/>
      <c r="O37" s="48"/>
      <c r="V37" s="2142" t="str">
        <f>IF(OR(D15=0,AND(D15=10,D12&gt;0.1875,D12&lt;0.375),AND(D15=20,D12&gt;0.1875,D12&lt;0.4375)),"","WARNING! Incorrect Shaft Thickness")</f>
        <v/>
      </c>
      <c r="W37" s="2143"/>
      <c r="X37" s="2143"/>
      <c r="Y37" s="2143"/>
      <c r="Z37" s="2144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1.25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3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9" t="s">
        <v>196</v>
      </c>
      <c r="AK39" s="2140"/>
      <c r="AL39" s="2140"/>
      <c r="AM39" s="2140"/>
      <c r="AN39" s="2140"/>
      <c r="AO39" s="2140"/>
      <c r="AP39" s="2140"/>
      <c r="AQ39" s="2140"/>
      <c r="AR39" s="2140"/>
      <c r="AS39" s="2140"/>
      <c r="AT39" s="2140"/>
      <c r="AU39" s="2140"/>
      <c r="AV39" s="2140"/>
      <c r="AW39" s="2141"/>
      <c r="AX39" s="2139" t="s">
        <v>196</v>
      </c>
      <c r="AY39" s="2140"/>
      <c r="AZ39" s="2140"/>
      <c r="BA39" s="2140"/>
      <c r="BB39" s="2140"/>
      <c r="BC39" s="2140"/>
      <c r="BD39" s="2140"/>
      <c r="BE39" s="2140"/>
      <c r="BF39" s="2140"/>
      <c r="BG39" s="2140"/>
      <c r="BH39" s="2141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64.5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64.501937955382402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16.024195294277717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-7.7517827122068729E-3</v>
      </c>
      <c r="AW44" s="56"/>
      <c r="AX44" s="48"/>
      <c r="AZ44" s="77" t="s">
        <v>205</v>
      </c>
      <c r="BA44" s="11">
        <f>AV43*COS(AV44-BE45)</f>
        <v>64.5</v>
      </c>
      <c r="BD44" s="77"/>
      <c r="BH44" s="56"/>
      <c r="BK44" s="77" t="s">
        <v>205</v>
      </c>
      <c r="BL44" s="11">
        <f>Sheet1!S14*12</f>
        <v>64.5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52.19607587712612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-0.5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-0.50000000000000011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-0.5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0.96659399772455779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0.5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8.125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(8) 0.625" Dia. x 2.25" Long - A325 Bolts</v>
      </c>
      <c r="M48" s="56"/>
      <c r="O48" s="48"/>
      <c r="AA48" s="56"/>
      <c r="AJ48" s="48"/>
      <c r="AL48" s="77" t="s">
        <v>179</v>
      </c>
      <c r="AM48" s="11">
        <f>(2*($AM$43-$AM$44)+SQRT((-2*($AM$43-$AM$44))^2-4*(AM45+2*$AM$46)*AM45))/(2*(AM45+2*$AM$46))</f>
        <v>-257.99612397277679</v>
      </c>
      <c r="AP48" s="77" t="s">
        <v>178</v>
      </c>
      <c r="AQ48" s="11">
        <f>2*ATAN(AM48)</f>
        <v>-3.1338406379642536</v>
      </c>
      <c r="AS48" s="11">
        <f>AQ48*180/PI()</f>
        <v>-179.55584222193713</v>
      </c>
      <c r="AT48" s="11" t="s">
        <v>185</v>
      </c>
      <c r="AW48" s="56"/>
      <c r="AX48" s="48"/>
      <c r="AZ48" s="77" t="s">
        <v>179</v>
      </c>
      <c r="BA48" s="11">
        <f>(2*(BA44-$AM$44)+SQRT((-2*(BA44-$AM$44))^2-4*(BA45+2*$AM$46)*BA45))/(2*(BA45+2*$AM$46))</f>
        <v>-257.99612397277673</v>
      </c>
      <c r="BD48" s="77" t="s">
        <v>178</v>
      </c>
      <c r="BE48" s="11">
        <f>2*ATAN(BA48)</f>
        <v>-3.1338406379642536</v>
      </c>
      <c r="BG48" s="11">
        <f>BE48*180/PI()</f>
        <v>-179.55584222193713</v>
      </c>
      <c r="BH48" s="56" t="s">
        <v>185</v>
      </c>
      <c r="BK48" s="77" t="s">
        <v>178</v>
      </c>
      <c r="BL48" s="11">
        <f>ATAN(BL45/BL44)</f>
        <v>-7.7517827122068729E-3</v>
      </c>
      <c r="BN48" s="11">
        <f>BL48*180/PI()</f>
        <v>-0.44414443311192831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16</v>
      </c>
      <c r="E49" s="10" t="s">
        <v>31</v>
      </c>
      <c r="F49" s="131">
        <v>16</v>
      </c>
      <c r="G49" s="10"/>
      <c r="H49" s="25"/>
      <c r="J49" s="20"/>
      <c r="K49" s="141" t="str">
        <f>AQ6 &amp;"""  Thread Length"</f>
        <v>1.25"  Thread Length</v>
      </c>
      <c r="M49" s="56"/>
      <c r="O49" s="48"/>
      <c r="AA49" s="56"/>
      <c r="AJ49" s="48"/>
      <c r="AL49" s="77"/>
      <c r="AM49" s="11">
        <f>(2*($AM$43-$AM$44)-SQRT((-2*($AM$43-$AM$44))^2-4*(AM45+2*$AM$46)*AM45))/(2*(AM45+2*$AM$46))</f>
        <v>-3.8760272232138959E-3</v>
      </c>
      <c r="AP49" s="77"/>
      <c r="AQ49" s="11">
        <f>2*ATAN(AM49)</f>
        <v>-7.7520156255561695E-3</v>
      </c>
      <c r="AS49" s="11">
        <f>AQ49*180/PI()</f>
        <v>-0.44415777806383522</v>
      </c>
      <c r="AT49" s="11" t="s">
        <v>185</v>
      </c>
      <c r="AW49" s="56"/>
      <c r="AX49" s="48"/>
      <c r="AZ49" s="77"/>
      <c r="BA49" s="11">
        <f>(2*(BA44-$AM$44)-SQRT((-2*(BA44-$AM$44))^2-4*(BA45+2*$AM$46)*BA45))/(2*(BA45+2*$AM$46))</f>
        <v>-3.8760272232138951E-3</v>
      </c>
      <c r="BD49" s="77"/>
      <c r="BE49" s="11">
        <f>2*ATAN(BA49)</f>
        <v>-7.7520156255561678E-3</v>
      </c>
      <c r="BF49" s="77" t="s">
        <v>219</v>
      </c>
      <c r="BG49" s="11">
        <f>(BE50+BE45)*180/PI()</f>
        <v>-179.55584222193713</v>
      </c>
      <c r="BH49" s="56" t="s">
        <v>185</v>
      </c>
      <c r="BK49" s="77" t="s">
        <v>173</v>
      </c>
      <c r="BL49" s="11">
        <f>SQRT(BL45^2+BL44^2)/12+IF(D44="Yes",BD20/COS(BL48)/12,0)</f>
        <v>5.3751614962818657</v>
      </c>
    </row>
    <row r="50" spans="2:68" x14ac:dyDescent="0.2">
      <c r="B50" s="24"/>
      <c r="C50" s="20" t="s">
        <v>252</v>
      </c>
      <c r="D50" s="115">
        <f>IF(F50="",MAX(D52+D38+0.5,D38+D56+0.5), F50)</f>
        <v>4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>
        <f>MIN(AQ48:AQ49)</f>
        <v>-3.1338406379642536</v>
      </c>
      <c r="AS50" s="11">
        <f>AQ50-AQ45</f>
        <v>-3.1338406379642536</v>
      </c>
      <c r="AT50" s="11" t="s">
        <v>184</v>
      </c>
      <c r="AW50" s="56"/>
      <c r="AX50" s="48"/>
      <c r="AZ50" s="77"/>
      <c r="BD50" s="77"/>
      <c r="BE50" s="11">
        <f>MIN(BE48:BE49)</f>
        <v>-3.1338406379642536</v>
      </c>
      <c r="BF50" s="77" t="s">
        <v>220</v>
      </c>
      <c r="BG50" s="11">
        <f>BE50*180/PI()</f>
        <v>-179.55584222193713</v>
      </c>
      <c r="BH50" s="56" t="s">
        <v>184</v>
      </c>
      <c r="BK50" s="77" t="s">
        <v>170</v>
      </c>
      <c r="BL50" s="11">
        <f>BL49+IF(G9="Point-Point",(AQ43+AQ44)*TAN(BL48)/24,(D10+D11)*TAN(BL48)/24)</f>
        <v>5.370962529873597</v>
      </c>
    </row>
    <row r="51" spans="2:68" x14ac:dyDescent="0.2">
      <c r="B51" s="48"/>
      <c r="C51" s="20" t="s">
        <v>82</v>
      </c>
      <c r="D51" s="115">
        <f>IF(F51="",D50+D38+D47,F51)</f>
        <v>5.75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1</v>
      </c>
      <c r="E52" s="10" t="s">
        <v>31</v>
      </c>
      <c r="H52" s="25"/>
      <c r="I52" s="48"/>
      <c r="J52" s="79" t="s">
        <v>137</v>
      </c>
      <c r="K52" s="89">
        <f>AQ28</f>
        <v>15.827446648392529</v>
      </c>
      <c r="L52" s="10" t="s">
        <v>55</v>
      </c>
      <c r="M52" s="56"/>
      <c r="O52" s="48"/>
      <c r="AA52" s="56"/>
      <c r="AJ52" s="48"/>
      <c r="AL52" s="77" t="s">
        <v>177</v>
      </c>
      <c r="AM52" s="11">
        <f>$AM$46*TAN(AQ48/2)+$AM$44</f>
        <v>0</v>
      </c>
      <c r="AP52" s="77" t="s">
        <v>176</v>
      </c>
      <c r="AQ52" s="11">
        <f>$AM$46*SIN(AQ50)+$AM$44</f>
        <v>0</v>
      </c>
      <c r="AW52" s="56"/>
      <c r="AX52" s="48"/>
      <c r="AZ52" s="77" t="s">
        <v>177</v>
      </c>
      <c r="BA52" s="11">
        <f>$AM$46*TAN(BE48/2)+$AM$44</f>
        <v>0</v>
      </c>
      <c r="BD52" s="77" t="s">
        <v>176</v>
      </c>
      <c r="BE52" s="11">
        <f>$AM$46*SIN(BE50)+$AM$44</f>
        <v>0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0.24349917920603892</v>
      </c>
      <c r="M53" s="56"/>
      <c r="O53" s="48"/>
      <c r="AA53" s="56"/>
      <c r="AJ53" s="48"/>
      <c r="AM53" s="11">
        <f>$AM$46*TAN(AQ49/2)+$AM$44</f>
        <v>0</v>
      </c>
      <c r="AP53" s="77" t="s">
        <v>175</v>
      </c>
      <c r="AQ53" s="11">
        <f>$AM$43-AQ52</f>
        <v>64.5</v>
      </c>
      <c r="AW53" s="56"/>
      <c r="AX53" s="48"/>
      <c r="BA53" s="11">
        <f>$AM$46*TAN(BE49/2)+$AM$44</f>
        <v>0</v>
      </c>
      <c r="BD53" s="77" t="s">
        <v>175</v>
      </c>
      <c r="BE53" s="11">
        <f>BA44-BE52</f>
        <v>64.5</v>
      </c>
      <c r="BF53" s="77" t="s">
        <v>174</v>
      </c>
      <c r="BG53" s="11">
        <f>BE53/(12*COS(BE50))</f>
        <v>-5.3751615059870259</v>
      </c>
      <c r="BH53" s="56"/>
    </row>
    <row r="54" spans="2:68" x14ac:dyDescent="0.2">
      <c r="B54" s="48"/>
      <c r="C54" s="20"/>
      <c r="D54" s="136">
        <f>AJ22</f>
        <v>2</v>
      </c>
      <c r="F54" s="118"/>
      <c r="H54" s="56"/>
      <c r="I54" s="48"/>
      <c r="M54" s="56"/>
      <c r="O54" s="48"/>
      <c r="AA54" s="56"/>
      <c r="AJ54" s="48"/>
      <c r="AM54" s="11">
        <f>MIN(AM52:AM53)</f>
        <v>0</v>
      </c>
      <c r="AP54" s="77" t="s">
        <v>173</v>
      </c>
      <c r="AQ54" s="11">
        <f>(AM44+AQ53/COS(AQ50)+AM46*AQ50)/12</f>
        <v>-5.3751615059870259</v>
      </c>
      <c r="AW54" s="56"/>
      <c r="AX54" s="48"/>
      <c r="BA54" s="11">
        <f>MIN(BA52:BA53)</f>
        <v>0</v>
      </c>
      <c r="BD54" s="77" t="s">
        <v>173</v>
      </c>
      <c r="BE54" s="11">
        <f>(AM44+BE53/COS(BE50)+AM46*BE50)/12+IF(D44="Yes",BD20/COS(BE50)/12,0)</f>
        <v>-5.3751615059870259</v>
      </c>
      <c r="BG54" s="11" t="s">
        <v>171</v>
      </c>
      <c r="BH54" s="98">
        <f>Sheet1!S20+BA45/COS(BE45)</f>
        <v>-0.50000000000000011</v>
      </c>
    </row>
    <row r="55" spans="2:68" ht="15" x14ac:dyDescent="0.25">
      <c r="B55" s="48"/>
      <c r="C55" s="20" t="s">
        <v>30</v>
      </c>
      <c r="D55" s="80">
        <v>0.5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18.313366050603104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5.3751614962818666</v>
      </c>
      <c r="BH55" s="56"/>
    </row>
    <row r="56" spans="2:68" ht="15.75" thickBot="1" x14ac:dyDescent="0.3">
      <c r="B56" s="48"/>
      <c r="C56" s="20" t="s">
        <v>250</v>
      </c>
      <c r="D56" s="80">
        <v>2.25</v>
      </c>
      <c r="E56" s="10" t="s">
        <v>31</v>
      </c>
      <c r="F56" s="20" t="s">
        <v>251</v>
      </c>
      <c r="G56" s="140">
        <v>2.25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>
        <f>$AV$43*COS($AV$44-AQ56)</f>
        <v>64.501924811126642</v>
      </c>
      <c r="AN56" s="11" t="s">
        <v>31</v>
      </c>
      <c r="AP56" s="77" t="s">
        <v>181</v>
      </c>
      <c r="AQ56" s="11">
        <f>ATAN(($AQ$44-$AQ$43)/(24*AQ54))</f>
        <v>-8.3901882183868258E-3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>
        <f>BE54+(AQ43*TAN(BE45)+AQ44*TAN(BE50+BE45))/24</f>
        <v>-5.3727141632656901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7.5</v>
      </c>
      <c r="E57" s="10" t="s">
        <v>31</v>
      </c>
      <c r="H57" s="56"/>
      <c r="I57" s="48"/>
      <c r="J57" s="79" t="s">
        <v>71</v>
      </c>
      <c r="K57" s="100">
        <f>K55/K56</f>
        <v>0.50870461251675292</v>
      </c>
      <c r="M57" s="56"/>
      <c r="O57" s="48"/>
      <c r="AA57" s="56"/>
      <c r="AJ57" s="94"/>
      <c r="AL57" s="77" t="s">
        <v>180</v>
      </c>
      <c r="AM57" s="11">
        <f>$AV$43*SIN($AV$44-AQ56)</f>
        <v>4.1178389552872029E-2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45" t="s">
        <v>268</v>
      </c>
      <c r="BL58" s="2145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51.277424941688693</v>
      </c>
      <c r="L59" s="11" t="s">
        <v>55</v>
      </c>
      <c r="M59" s="56"/>
      <c r="O59" s="48"/>
      <c r="AA59" s="56"/>
      <c r="AJ59" s="48"/>
      <c r="AL59" s="77" t="s">
        <v>179</v>
      </c>
      <c r="AM59" s="11">
        <f>(2*(AM56-$AM$44)+SQRT((-2*(AM56-$AM$44))^2-4*(AM57+2*$AM$46)*AM57))/(2*(AM57+2*$AM$46))</f>
        <v>3132.8043150487251</v>
      </c>
      <c r="AP59" s="77" t="s">
        <v>178</v>
      </c>
      <c r="AQ59" s="11">
        <f>2*ATAN(AM59)</f>
        <v>3.1409542479535184</v>
      </c>
      <c r="AS59" s="11">
        <f>AQ59*180/PI()</f>
        <v>179.96342205142412</v>
      </c>
      <c r="AT59" s="11" t="s">
        <v>185</v>
      </c>
      <c r="AW59" s="56"/>
      <c r="AX59" s="2139" t="s">
        <v>138</v>
      </c>
      <c r="AY59" s="2140"/>
      <c r="AZ59" s="2140"/>
      <c r="BA59" s="2140"/>
      <c r="BB59" s="2140"/>
      <c r="BC59" s="2140"/>
      <c r="BD59" s="2140"/>
      <c r="BE59" s="2140"/>
      <c r="BF59" s="2140"/>
      <c r="BG59" s="2140"/>
      <c r="BH59" s="2141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33.07692307692308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>
        <f>(2*(AM56-$AM$44)-SQRT((-2*(AM56-$AM$44))^2-4*(AM57+2*$AM$46)*AM57))/(2*(AM57+2*$AM$46))</f>
        <v>3.1920282917430337E-4</v>
      </c>
      <c r="AP60" s="77"/>
      <c r="AQ60" s="11">
        <f>2*ATAN(AM60)</f>
        <v>6.3840563666612898E-4</v>
      </c>
      <c r="AS60" s="11">
        <f>AQ60*180/PI()</f>
        <v>3.6577948598331474E-2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66.288216560509554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0.3373514798795309</v>
      </c>
      <c r="M61" s="56"/>
      <c r="O61" s="48"/>
      <c r="AA61" s="56"/>
      <c r="AJ61" s="48"/>
      <c r="AL61" s="77"/>
      <c r="AP61" s="77"/>
      <c r="AQ61" s="11">
        <f>MIN(AQ59:AQ60)</f>
        <v>6.3840563666612898E-4</v>
      </c>
      <c r="AS61" s="11">
        <f>AQ61-AQ56</f>
        <v>9.0285938550529552E-3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-0.44414443311192831</v>
      </c>
      <c r="BD61" s="77" t="s">
        <v>195</v>
      </c>
      <c r="BE61" s="11">
        <f>IF(Sheet1!S20=0,($AQ$44-$AQ$43)/(AQ109),($AQ$44-$AQ$43)/(BE54))</f>
        <v>0.20136924277363971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66.125</v>
      </c>
    </row>
    <row r="62" spans="2:68" x14ac:dyDescent="0.2">
      <c r="B62" s="48"/>
      <c r="C62" s="20" t="s">
        <v>79</v>
      </c>
      <c r="D62" s="116">
        <f>IF(F62="",D47,F62)</f>
        <v>0.5</v>
      </c>
      <c r="E62" s="10" t="s">
        <v>31</v>
      </c>
      <c r="F62" s="130"/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>
        <f>AQ43+ IF(Sheet1!D15=20,10*BE61,6*BE61)</f>
        <v>7.7025686583962019</v>
      </c>
      <c r="BH62" s="56"/>
      <c r="BO62" s="77" t="s">
        <v>614</v>
      </c>
      <c r="BP62" s="11">
        <f>(BE65*BP59+BE66*BP60+BE67*BP61)/(SUM(BE65:BE67))/12</f>
        <v>3.8993753905812394</v>
      </c>
    </row>
    <row r="63" spans="2:68" ht="15" x14ac:dyDescent="0.25">
      <c r="B63" s="48"/>
      <c r="C63" s="20" t="s">
        <v>67</v>
      </c>
      <c r="D63" s="113">
        <f>IF(F63="",BD24,F63)</f>
        <v>8</v>
      </c>
      <c r="E63" s="10" t="s">
        <v>31</v>
      </c>
      <c r="F63" s="130"/>
      <c r="H63" s="56"/>
      <c r="I63" s="151" t="s">
        <v>151</v>
      </c>
      <c r="J63" s="103" t="str">
        <f>"(2) PL "&amp;D62&amp;" x "&amp;D65&amp;" x As Req'd"</f>
        <v>(2) PL 0.5 x 16 x As Req'd</v>
      </c>
      <c r="M63" s="56"/>
      <c r="O63" s="48"/>
      <c r="AA63" s="56"/>
      <c r="AJ63" s="48"/>
      <c r="AL63" s="77" t="s">
        <v>177</v>
      </c>
      <c r="AM63" s="11">
        <f>$AM$46*TAN(AQ59/2)+$AM$44</f>
        <v>0</v>
      </c>
      <c r="AP63" s="77" t="s">
        <v>176</v>
      </c>
      <c r="AQ63" s="11">
        <f>$AM$46*SIN(AQ61)+$AM$44</f>
        <v>0</v>
      </c>
      <c r="AW63" s="56"/>
      <c r="AX63" s="48"/>
      <c r="AY63" s="77" t="s">
        <v>218</v>
      </c>
      <c r="AZ63" s="11">
        <f>IF(D15=0,BN48,IFERROR(IF(Sheet1!S20=0,AS100,BG45),"NA"))</f>
        <v>-0.44414443311192831</v>
      </c>
      <c r="BD63" s="77" t="s">
        <v>193</v>
      </c>
      <c r="BE63" s="11">
        <f>$AQ$43+IF(Sheet1!S20=0,($AM$44+$AM$46*AQ105)*($AQ$44-$AQ$43)/(12*AQ109),($AM$44+$AM$46*BE50)*($AQ$44-$AQ$43)/(12*BE54))</f>
        <v>6.4943532017543637</v>
      </c>
      <c r="BH63" s="56"/>
      <c r="BK63" s="2145" t="s">
        <v>77</v>
      </c>
      <c r="BL63" s="2145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>
        <f>$AM$46*TAN(AQ60/2)+$AM$44</f>
        <v>0</v>
      </c>
      <c r="AP64" s="77" t="s">
        <v>175</v>
      </c>
      <c r="AQ64" s="11">
        <f>AM56-AQ63</f>
        <v>64.501924811126642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156.41592653589794</v>
      </c>
    </row>
    <row r="65" spans="2:64" ht="15" x14ac:dyDescent="0.25">
      <c r="B65" s="48"/>
      <c r="C65" s="20" t="s">
        <v>78</v>
      </c>
      <c r="D65" s="115">
        <f>IF(F65="",D49,F65)</f>
        <v>16</v>
      </c>
      <c r="E65" s="10" t="s">
        <v>31</v>
      </c>
      <c r="F65" s="80"/>
      <c r="H65" s="56"/>
      <c r="I65" s="151" t="s">
        <v>150</v>
      </c>
      <c r="J65" s="103" t="str">
        <f>"(1) PL "&amp;D47&amp;" x "&amp;D49&amp;" x As Req'd"</f>
        <v>(1) PL 0.5 x 16 x As Req'd</v>
      </c>
      <c r="M65" s="56"/>
      <c r="O65" s="48"/>
      <c r="AA65" s="56"/>
      <c r="AJ65" s="48"/>
      <c r="AM65" s="11">
        <f>MIN(AM63:AM64)</f>
        <v>0</v>
      </c>
      <c r="AP65" s="77" t="s">
        <v>173</v>
      </c>
      <c r="AQ65" s="11">
        <f>($AM$44/COS(AQ56)+AQ64/COS(AQ61)+$AM$46*AQ61)/12</f>
        <v>5.3751614962823142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71</v>
      </c>
      <c r="BH65" s="56"/>
      <c r="BK65" s="77" t="s">
        <v>270</v>
      </c>
      <c r="BL65" s="11">
        <f>D47*(D32*PI()/4*(D31+0.125)^2)</f>
        <v>1.7671458676442586</v>
      </c>
    </row>
    <row r="66" spans="2:64" ht="15" x14ac:dyDescent="0.25">
      <c r="B66" s="48"/>
      <c r="H66" s="56"/>
      <c r="I66" s="151" t="str">
        <f>IF(D54=0,"","Stiffener:")</f>
        <v>Stiffener:</v>
      </c>
      <c r="J66" s="103" t="str">
        <f>IF(D54=0,"","("&amp;D54&amp;") PL "&amp;D55&amp;""" x "&amp;G56&amp;""" x "&amp;D63&amp;""" Spaced @ "&amp;D57&amp;"""")</f>
        <v>(2) PL 0.5" x 2.25" x 8" Spaced @ 7.5"</v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5.3751614962818657</v>
      </c>
      <c r="BD66" s="77" t="s">
        <v>261</v>
      </c>
      <c r="BE66" s="11">
        <f>CEILING((BL64-BL65)*0.2836,1)</f>
        <v>44</v>
      </c>
      <c r="BH66" s="56"/>
      <c r="BK66" s="77" t="s">
        <v>617</v>
      </c>
      <c r="BL66" s="11">
        <f>D54*D55*D63*(D56+G56)/2</f>
        <v>18</v>
      </c>
    </row>
    <row r="67" spans="2:64" ht="15" x14ac:dyDescent="0.25">
      <c r="B67" s="2134" t="str">
        <f>IF(OR(AND(D48/D47&gt;28,D54&gt;0),AND(D48/D47&gt;24,D54=0)),"Bracket W/T too high!","")</f>
        <v/>
      </c>
      <c r="C67" s="2129"/>
      <c r="D67" s="2129"/>
      <c r="E67" s="2129"/>
      <c r="F67" s="2129"/>
      <c r="G67" s="2129"/>
      <c r="H67" s="2135"/>
      <c r="I67" s="151" t="str">
        <f>IF(D54=0,"","Weld:")</f>
        <v>Weld:</v>
      </c>
      <c r="J67" s="103" t="str">
        <f>IF(D54=0,"","Fillet "&amp;IF(D47&gt;0.75,0.3125,IF(D47&gt;0.5,0.25,IF(D47&gt;0.25,0.1875,0)))&amp;"""")</f>
        <v>Fillet 0.1875"</v>
      </c>
      <c r="M67" s="56"/>
      <c r="O67" s="48"/>
      <c r="AA67" s="56"/>
      <c r="AJ67" s="48"/>
      <c r="AL67" s="77" t="s">
        <v>182</v>
      </c>
      <c r="AM67" s="11">
        <f>$AV$43*COS($AV$44-AQ67)</f>
        <v>64.493534721330377</v>
      </c>
      <c r="AN67" s="11" t="s">
        <v>31</v>
      </c>
      <c r="AP67" s="77" t="s">
        <v>181</v>
      </c>
      <c r="AQ67" s="11">
        <f>ATAN(($AQ$44-$AQ$43)/(24*AQ65))</f>
        <v>8.3901882335343757E-3</v>
      </c>
      <c r="AW67" s="56"/>
      <c r="AX67" s="48"/>
      <c r="AY67" s="77" t="s">
        <v>188</v>
      </c>
      <c r="AZ67" s="11">
        <f>IF(D15=0,BL50,IFERROR(IF(Sheet1!S20=0,AQ111,BE56),"NA"))</f>
        <v>5.370962529873597</v>
      </c>
      <c r="BD67" s="77" t="s">
        <v>616</v>
      </c>
      <c r="BE67" s="11">
        <f>CEILING(BL66*0.2836,1)</f>
        <v>6</v>
      </c>
      <c r="BF67" s="77" t="s">
        <v>619</v>
      </c>
      <c r="BG67" s="11">
        <f>SUM(BE65:BE67)/1000</f>
        <v>0.121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>
        <f>$AV$43*SIN($AV$44-AQ67)</f>
        <v>-1.0411431931070996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>
        <f>(2*(AM67-$AM$44)+SQRT((-2*(AM67-$AM$44))^2-4*(AM68+2*$AM$46)*AM68))/(2*(AM68+2*$AM$46))</f>
        <v>-123.88177338858382</v>
      </c>
      <c r="AP70" s="77" t="s">
        <v>178</v>
      </c>
      <c r="AQ70" s="11">
        <f>2*ATAN(AM70)</f>
        <v>-3.1254485792309676</v>
      </c>
      <c r="AS70" s="11">
        <f>AQ70*180/PI()</f>
        <v>-179.07501267509394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>
        <f>(2*(AM67-$AM$44)-SQRT((-2*(AM67-$AM$44))^2-4*(AM68+2*$AM$46)*AM68))/(2*(AM68+2*$AM$46))</f>
        <v>-8.0722125026728292E-3</v>
      </c>
      <c r="AP71" s="77"/>
      <c r="AQ71" s="11">
        <f>2*ATAN(AM71)</f>
        <v>-1.6144074358835515E-2</v>
      </c>
      <c r="AS71" s="11">
        <f>AQ71*180/PI()</f>
        <v>-0.92498732490664548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>
        <f>MIN(AQ70:AQ71)</f>
        <v>-3.1254485792309676</v>
      </c>
      <c r="AS72" s="11">
        <f>AQ72-AQ67</f>
        <v>-3.1338387674645021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>
        <f>$AM$46*TAN(AQ70/2)+$AM$44</f>
        <v>0</v>
      </c>
      <c r="AP74" s="77" t="s">
        <v>176</v>
      </c>
      <c r="AQ74" s="11">
        <f>$AM$46*SIN(AQ72)+$AM$44</f>
        <v>0</v>
      </c>
      <c r="AW74" s="56"/>
      <c r="AX74" s="48"/>
      <c r="BH74" s="56"/>
    </row>
    <row r="75" spans="2:64" x14ac:dyDescent="0.2">
      <c r="AJ75" s="48"/>
      <c r="AM75" s="11">
        <f>$AM$46*TAN(AQ71/2)+$AM$44</f>
        <v>0</v>
      </c>
      <c r="AP75" s="77" t="s">
        <v>175</v>
      </c>
      <c r="AQ75" s="11">
        <f>AM67-AQ74</f>
        <v>64.493534721330377</v>
      </c>
      <c r="AW75" s="56"/>
      <c r="AX75" s="48"/>
      <c r="BH75" s="56"/>
    </row>
    <row r="76" spans="2:64" x14ac:dyDescent="0.2">
      <c r="AJ76" s="48"/>
      <c r="AM76" s="11">
        <f>MIN(AM74:AM75)</f>
        <v>0</v>
      </c>
      <c r="AP76" s="77" t="s">
        <v>173</v>
      </c>
      <c r="AQ76" s="11">
        <f>($AM$44/COS(AQ67)+AQ75/COS(AQ72)+$AM$46*AQ72)/12</f>
        <v>-5.3751616788137264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>
        <f>$AV$43*COS($AV$44-AQ78)</f>
        <v>64.501924811137755</v>
      </c>
      <c r="AN78" s="11" t="s">
        <v>31</v>
      </c>
      <c r="AP78" s="77" t="s">
        <v>181</v>
      </c>
      <c r="AQ78" s="11">
        <f>ATAN(($AQ$44-$AQ$43)/(24*AQ76))</f>
        <v>-8.3901879486311254E-3</v>
      </c>
      <c r="AW78" s="56"/>
      <c r="AX78" s="48"/>
      <c r="BH78" s="56"/>
    </row>
    <row r="79" spans="2:64" x14ac:dyDescent="0.2">
      <c r="AJ79" s="48"/>
      <c r="AL79" s="77" t="s">
        <v>180</v>
      </c>
      <c r="AM79" s="11">
        <f>$AV$43*SIN($AV$44-AQ78)</f>
        <v>4.117837215311012E-2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>
        <f>(2*(AM78-$AM$44)+SQRT((-2*(AM78-$AM$44))^2-4*(AM79+2*$AM$46)*AM79))/(2*(AM79+2*$AM$46))</f>
        <v>3132.8056388038831</v>
      </c>
      <c r="AP81" s="77" t="s">
        <v>178</v>
      </c>
      <c r="AQ81" s="11">
        <f>2*ATAN(AM81)</f>
        <v>3.1409542482232742</v>
      </c>
      <c r="AS81" s="11">
        <f>AQ81*180/PI()</f>
        <v>179.96342206687996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>
        <f>(2*(AM78-$AM$44)-SQRT((-2*(AM78-$AM$44))^2-4*(AM79+2*$AM$46)*AM79))/(2*(AM79+2*$AM$46))</f>
        <v>3.1920269418025509E-4</v>
      </c>
      <c r="AP82" s="77"/>
      <c r="AQ82" s="11">
        <f>2*ATAN(AM82)</f>
        <v>6.3840536667805986E-4</v>
      </c>
      <c r="AS82" s="11">
        <f>AQ82*180/PI()</f>
        <v>3.657793312915459E-2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>
        <f>MIN(AQ81:AQ82)</f>
        <v>6.3840536667805986E-4</v>
      </c>
      <c r="AS83" s="11">
        <f>AQ83-AQ78</f>
        <v>9.0285933153091847E-3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>
        <f>$AM$46*TAN(AQ81/2)+$AM$44</f>
        <v>0</v>
      </c>
      <c r="AP85" s="77" t="s">
        <v>176</v>
      </c>
      <c r="AQ85" s="11">
        <f>$AM$46*SIN(AQ83)+$AM$44</f>
        <v>0</v>
      </c>
      <c r="AW85" s="56"/>
      <c r="AX85" s="48"/>
      <c r="BH85" s="56"/>
    </row>
    <row r="86" spans="36:60" x14ac:dyDescent="0.2">
      <c r="AJ86" s="48"/>
      <c r="AM86" s="11">
        <f>$AM$46*TAN(AQ82/2)+$AM$44</f>
        <v>0</v>
      </c>
      <c r="AP86" s="77" t="s">
        <v>175</v>
      </c>
      <c r="AQ86" s="11">
        <f>AM78-AQ85</f>
        <v>64.501924811137755</v>
      </c>
      <c r="AW86" s="56"/>
      <c r="AX86" s="48"/>
      <c r="BH86" s="56"/>
    </row>
    <row r="87" spans="36:60" x14ac:dyDescent="0.2">
      <c r="AJ87" s="48"/>
      <c r="AM87" s="11">
        <f>MIN(AM85:AM86)</f>
        <v>0</v>
      </c>
      <c r="AP87" s="77" t="s">
        <v>173</v>
      </c>
      <c r="AQ87" s="11">
        <f>($AM$44/COS(AQ78)+AQ86/COS(AQ83)+$AM$46*AQ83)/12</f>
        <v>5.3751614962823142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>
        <f>$AV$43*COS($AV$44-AQ89)</f>
        <v>64.493534721330377</v>
      </c>
      <c r="AN89" s="11" t="s">
        <v>31</v>
      </c>
      <c r="AP89" s="77" t="s">
        <v>181</v>
      </c>
      <c r="AQ89" s="11">
        <f>ATAN(($AQ$44-$AQ$43)/(24*AQ87))</f>
        <v>8.3901882335343757E-3</v>
      </c>
      <c r="AW89" s="56"/>
      <c r="AX89" s="48"/>
      <c r="BH89" s="56"/>
    </row>
    <row r="90" spans="36:60" x14ac:dyDescent="0.2">
      <c r="AJ90" s="48"/>
      <c r="AL90" s="77" t="s">
        <v>180</v>
      </c>
      <c r="AM90" s="11">
        <f>$AV$43*SIN($AV$44-AQ89)</f>
        <v>-1.0411431931070996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>
        <f>(2*(AM89-$AM$44)+SQRT((-2*(AM89-$AM$44))^2-4*(AM90+2*$AM$46)*AM90))/(2*(AM90+2*$AM$46))</f>
        <v>-123.88177338858382</v>
      </c>
      <c r="AP92" s="77" t="s">
        <v>178</v>
      </c>
      <c r="AQ92" s="11">
        <f>2*ATAN(AM92)</f>
        <v>-3.1254485792309676</v>
      </c>
      <c r="AS92" s="11">
        <f>AQ92*180/PI()</f>
        <v>-179.07501267509394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>
        <f>(2*(AM89-$AM$44)-SQRT((-2*(AM89-$AM$44))^2-4*(AM90+2*$AM$46)*AM90))/(2*(AM90+2*$AM$46))</f>
        <v>-8.0722125026728292E-3</v>
      </c>
      <c r="AP93" s="77"/>
      <c r="AQ93" s="11">
        <f>2*ATAN(AM93)</f>
        <v>-1.6144074358835515E-2</v>
      </c>
      <c r="AS93" s="11">
        <f>AQ93*180/PI()</f>
        <v>-0.92498732490664548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>
        <f>MIN(AQ92:AQ93)</f>
        <v>-3.1254485792309676</v>
      </c>
      <c r="AS94" s="11">
        <f>AQ94-AQ89</f>
        <v>-3.1338387674645021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>
        <f>$AM$46*TAN(AQ92/2)+$AM$44</f>
        <v>0</v>
      </c>
      <c r="AP96" s="77" t="s">
        <v>176</v>
      </c>
      <c r="AQ96" s="11">
        <f>$AM$46*SIN(AQ94)+$AM$44</f>
        <v>0</v>
      </c>
      <c r="AW96" s="56"/>
      <c r="AX96" s="48"/>
      <c r="AY96" s="11" t="s">
        <v>223</v>
      </c>
      <c r="BH96" s="56"/>
    </row>
    <row r="97" spans="36:60" x14ac:dyDescent="0.2">
      <c r="AJ97" s="48"/>
      <c r="AM97" s="11">
        <f>$AM$46*TAN(AQ93/2)+$AM$44</f>
        <v>0</v>
      </c>
      <c r="AP97" s="77" t="s">
        <v>175</v>
      </c>
      <c r="AQ97" s="11">
        <f>AM89-AQ96</f>
        <v>64.493534721330377</v>
      </c>
      <c r="AW97" s="56"/>
      <c r="AX97" s="48"/>
      <c r="AY97" s="11" t="s">
        <v>224</v>
      </c>
      <c r="BH97" s="56"/>
    </row>
    <row r="98" spans="36:60" x14ac:dyDescent="0.2">
      <c r="AJ98" s="48"/>
      <c r="AM98" s="11">
        <f>MIN(AM96:AM97)</f>
        <v>0</v>
      </c>
      <c r="AP98" s="77" t="s">
        <v>173</v>
      </c>
      <c r="AQ98" s="11">
        <f>($AM$44/COS(AQ89)+AQ97/COS(AQ94)+$AM$46*AQ94)/12</f>
        <v>-5.3751616788137264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>
        <f>$AV$43*COS($AV$44-AQ100)</f>
        <v>64.501924811137755</v>
      </c>
      <c r="AN100" s="11" t="s">
        <v>31</v>
      </c>
      <c r="AP100" s="77" t="s">
        <v>181</v>
      </c>
      <c r="AQ100" s="11">
        <f>ATAN(($AQ$44-$AQ$43)/(24*AQ98))</f>
        <v>-8.3901879486311254E-3</v>
      </c>
      <c r="AR100" s="77" t="s">
        <v>218</v>
      </c>
      <c r="AS100" s="11">
        <f>AQ100*180/PI()</f>
        <v>-0.48072235877808944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>
        <f>$AV$43*SIN($AV$44-AQ100)</f>
        <v>4.117837215311012E-2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>
        <f>(2*(AM100-$AM$44)+SQRT((-2*(AM100-$AM$44))^2-4*(AM101+2*$AM$46)*AM101))/(2*(AM101+2*$AM$46))</f>
        <v>3132.8056388038831</v>
      </c>
      <c r="AP103" s="77" t="s">
        <v>178</v>
      </c>
      <c r="AQ103" s="11">
        <f>2*ATAN(AM103)</f>
        <v>3.1409542482232742</v>
      </c>
      <c r="AS103" s="11">
        <f>AQ103*180/PI()</f>
        <v>179.96342206687996</v>
      </c>
      <c r="AW103" s="56"/>
      <c r="AX103" s="48"/>
      <c r="BH103" s="56"/>
    </row>
    <row r="104" spans="36:60" ht="16.5" x14ac:dyDescent="0.2">
      <c r="AJ104" s="48"/>
      <c r="AL104" s="77"/>
      <c r="AM104" s="11">
        <f>(2*(AM100-$AM$44)-SQRT((-2*(AM100-$AM$44))^2-4*(AM101+2*$AM$46)*AM101))/(2*(AM101+2*$AM$46))</f>
        <v>3.1920269418025509E-4</v>
      </c>
      <c r="AP104" s="77"/>
      <c r="AQ104" s="11">
        <f>2*ATAN(AM104)</f>
        <v>6.3840536667805986E-4</v>
      </c>
      <c r="AR104" s="77" t="s">
        <v>219</v>
      </c>
      <c r="AS104" s="11">
        <f>(AQ105+AQ100)*180/PI()</f>
        <v>-0.44414442564893486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>
        <f>MIN(AQ103:AQ104)</f>
        <v>6.3840536667805986E-4</v>
      </c>
      <c r="AR105" s="77" t="s">
        <v>220</v>
      </c>
      <c r="AS105" s="11">
        <f>AQ105*180/PI()</f>
        <v>3.657793312915459E-2</v>
      </c>
      <c r="AT105" s="11">
        <f>AS105-AS100</f>
        <v>0.51730029190724403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>
        <f>$AM$46*TAN(AQ103/2)+$AM$44</f>
        <v>0</v>
      </c>
      <c r="AP107" s="77" t="s">
        <v>176</v>
      </c>
      <c r="AQ107" s="11">
        <f>$AM$46*SIN(AQ105)+$AM$44</f>
        <v>0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>
        <f>$AM$46*TAN(AQ104/2)+$AM$44</f>
        <v>0</v>
      </c>
      <c r="AP108" s="77" t="s">
        <v>175</v>
      </c>
      <c r="AQ108" s="11">
        <f>AM100-AQ107</f>
        <v>64.501924811137755</v>
      </c>
      <c r="AR108" s="77" t="s">
        <v>174</v>
      </c>
      <c r="AS108" s="11">
        <f>AQ108/(12*COS(AQ105))</f>
        <v>5.3751614962823151</v>
      </c>
      <c r="AW108" s="56"/>
      <c r="AX108" s="48"/>
      <c r="BH108" s="56"/>
    </row>
    <row r="109" spans="36:60" x14ac:dyDescent="0.2">
      <c r="AJ109" s="48"/>
      <c r="AM109" s="11">
        <f>MIN(AM107:AM108)</f>
        <v>0</v>
      </c>
      <c r="AP109" s="77" t="s">
        <v>173</v>
      </c>
      <c r="AQ109" s="11">
        <f>($AM$44/COS(AQ100)+AQ108/COS(AQ105)+$AM$46*AQ105)/12+IF(D44="Yes",BD20/COS(AQ105)/12,0)</f>
        <v>5.3751614962823142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5.3751614962818666</v>
      </c>
      <c r="AU110" s="11" t="s">
        <v>171</v>
      </c>
      <c r="AV110" s="11">
        <f>AM101/COS(AQ100)+AM43*TAN(AQ100)</f>
        <v>-0.50000000000000011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>
        <f>AQ109+(AQ43*TAN(AQ100)+AQ44*TAN(AQ105+AQ100))/24</f>
        <v>5.3704438053621946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161925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19</xdr:row>
                <xdr:rowOff>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581025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opLeftCell="A4" zoomScale="90" zoomScaleNormal="90" workbookViewId="0">
      <pane xSplit="21" topLeftCell="V1" activePane="topRight" state="frozen"/>
      <selection pane="topRight" activeCell="AI2" sqref="AI2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83">
        <v>43227</v>
      </c>
      <c r="I2" s="2183"/>
    </row>
    <row r="3" spans="1:75" ht="15.75" thickBot="1" x14ac:dyDescent="0.3">
      <c r="BF3" s="2184" t="s">
        <v>673</v>
      </c>
      <c r="BG3" s="2184"/>
      <c r="BH3" s="2184"/>
      <c r="BI3" s="2184"/>
      <c r="BJ3" s="2184"/>
      <c r="BK3" s="2184"/>
    </row>
    <row r="4" spans="1:75" ht="15" customHeight="1" x14ac:dyDescent="0.25">
      <c r="B4" s="2185" t="s">
        <v>273</v>
      </c>
      <c r="C4" s="2186"/>
      <c r="D4" s="2186"/>
      <c r="E4" s="2186"/>
      <c r="F4" s="2186"/>
      <c r="G4" s="2187"/>
      <c r="H4" s="2188" t="s">
        <v>386</v>
      </c>
      <c r="I4" s="2189"/>
      <c r="J4" s="2189"/>
      <c r="K4" s="2189"/>
      <c r="L4" s="2190"/>
      <c r="M4" s="2191" t="s">
        <v>387</v>
      </c>
      <c r="N4" s="2192"/>
      <c r="O4" s="2192"/>
      <c r="P4" s="2192"/>
      <c r="Q4" s="2192"/>
      <c r="R4" s="2193" t="s">
        <v>390</v>
      </c>
      <c r="S4" s="2194"/>
      <c r="T4" s="2194"/>
      <c r="U4" s="2195"/>
      <c r="V4" s="2196" t="s">
        <v>260</v>
      </c>
      <c r="W4" s="2196"/>
      <c r="X4" s="2196"/>
      <c r="Y4" s="2196"/>
      <c r="Z4" s="2196"/>
      <c r="AA4" s="2193" t="s">
        <v>400</v>
      </c>
      <c r="AB4" s="2189"/>
      <c r="AC4" s="2189"/>
      <c r="AD4" s="2189"/>
      <c r="AE4" s="2189"/>
      <c r="AF4" s="2189"/>
      <c r="AG4" s="2189"/>
      <c r="AH4" s="2189"/>
      <c r="AI4" s="2189"/>
      <c r="AJ4" s="2190"/>
      <c r="AK4" s="2196" t="s">
        <v>399</v>
      </c>
      <c r="AL4" s="2192"/>
      <c r="AM4" s="2192"/>
      <c r="AN4" s="2192"/>
      <c r="AO4" s="2192"/>
      <c r="AP4" s="2192"/>
      <c r="AQ4" s="2192"/>
      <c r="AR4" s="2197"/>
      <c r="BI4">
        <v>0.3125</v>
      </c>
      <c r="BK4" t="s">
        <v>667</v>
      </c>
    </row>
    <row r="5" spans="1:75" ht="17.25" customHeight="1" x14ac:dyDescent="0.25">
      <c r="B5" s="2179" t="s">
        <v>654</v>
      </c>
      <c r="C5" s="2180"/>
      <c r="D5" s="2179" t="s">
        <v>655</v>
      </c>
      <c r="E5" s="2180"/>
      <c r="F5" s="2181"/>
      <c r="G5" s="2180" t="s">
        <v>626</v>
      </c>
      <c r="H5" s="2175" t="s">
        <v>641</v>
      </c>
      <c r="I5" s="2164" t="s">
        <v>406</v>
      </c>
      <c r="J5" s="2164" t="s">
        <v>304</v>
      </c>
      <c r="K5" s="2164" t="s">
        <v>388</v>
      </c>
      <c r="L5" s="2177" t="s">
        <v>403</v>
      </c>
      <c r="M5" s="2169" t="s">
        <v>404</v>
      </c>
      <c r="N5" s="2171" t="s">
        <v>405</v>
      </c>
      <c r="O5" s="2171" t="s">
        <v>406</v>
      </c>
      <c r="P5" s="2171" t="s">
        <v>304</v>
      </c>
      <c r="Q5" s="2173" t="s">
        <v>632</v>
      </c>
      <c r="R5" s="2175" t="s">
        <v>389</v>
      </c>
      <c r="S5" s="2164" t="s">
        <v>408</v>
      </c>
      <c r="T5" s="2164" t="s">
        <v>682</v>
      </c>
      <c r="U5" s="2177" t="s">
        <v>683</v>
      </c>
      <c r="V5" s="2169" t="s">
        <v>629</v>
      </c>
      <c r="W5" s="2171" t="s">
        <v>406</v>
      </c>
      <c r="X5" s="2171" t="s">
        <v>630</v>
      </c>
      <c r="Y5" s="2171" t="s">
        <v>304</v>
      </c>
      <c r="Z5" s="2173" t="s">
        <v>631</v>
      </c>
      <c r="AA5" s="2175" t="s">
        <v>643</v>
      </c>
      <c r="AB5" s="2164" t="s">
        <v>392</v>
      </c>
      <c r="AC5" s="2164" t="s">
        <v>393</v>
      </c>
      <c r="AD5" s="2164" t="s">
        <v>391</v>
      </c>
      <c r="AE5" s="2164" t="s">
        <v>409</v>
      </c>
      <c r="AF5" s="2164" t="s">
        <v>410</v>
      </c>
      <c r="AG5" s="2166" t="s">
        <v>398</v>
      </c>
      <c r="AH5" s="2167"/>
      <c r="AI5" s="2167"/>
      <c r="AJ5" s="2168"/>
      <c r="AK5" s="2169" t="s">
        <v>656</v>
      </c>
      <c r="AL5" s="2171" t="s">
        <v>657</v>
      </c>
      <c r="AM5" s="2171" t="s">
        <v>659</v>
      </c>
      <c r="AN5" s="2173" t="s">
        <v>658</v>
      </c>
      <c r="AO5" s="2169"/>
      <c r="AP5" s="2171" t="s">
        <v>402</v>
      </c>
      <c r="AQ5" s="2171" t="s">
        <v>681</v>
      </c>
      <c r="AR5" s="2162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777</v>
      </c>
      <c r="F6" s="1796" t="s">
        <v>668</v>
      </c>
      <c r="G6" s="2182"/>
      <c r="H6" s="2176"/>
      <c r="I6" s="2165"/>
      <c r="J6" s="2165"/>
      <c r="K6" s="2165"/>
      <c r="L6" s="2178"/>
      <c r="M6" s="2170"/>
      <c r="N6" s="2172"/>
      <c r="O6" s="2172"/>
      <c r="P6" s="2172"/>
      <c r="Q6" s="2174"/>
      <c r="R6" s="2176"/>
      <c r="S6" s="2165"/>
      <c r="T6" s="2165"/>
      <c r="U6" s="2178"/>
      <c r="V6" s="2170"/>
      <c r="W6" s="2172"/>
      <c r="X6" s="2172"/>
      <c r="Y6" s="2172"/>
      <c r="Z6" s="2174"/>
      <c r="AA6" s="2176"/>
      <c r="AB6" s="2165"/>
      <c r="AC6" s="2165"/>
      <c r="AD6" s="2165"/>
      <c r="AE6" s="2165"/>
      <c r="AF6" s="2165"/>
      <c r="AG6" s="1797" t="s">
        <v>397</v>
      </c>
      <c r="AH6" s="1798" t="s">
        <v>394</v>
      </c>
      <c r="AI6" s="1799" t="s">
        <v>395</v>
      </c>
      <c r="AJ6" s="1800" t="s">
        <v>396</v>
      </c>
      <c r="AK6" s="2170"/>
      <c r="AL6" s="2172"/>
      <c r="AM6" s="2172"/>
      <c r="AN6" s="1795" t="s">
        <v>660</v>
      </c>
      <c r="AO6" s="1795" t="s">
        <v>661</v>
      </c>
      <c r="AP6" s="2172"/>
      <c r="AQ6" s="2172"/>
      <c r="AR6" s="2163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755</v>
      </c>
      <c r="F7" s="1818">
        <v>5.25</v>
      </c>
      <c r="G7" s="1774">
        <v>0.1875</v>
      </c>
      <c r="H7" s="1543" t="s">
        <v>704</v>
      </c>
      <c r="I7" s="1546">
        <v>0.625</v>
      </c>
      <c r="J7" s="1544">
        <v>65</v>
      </c>
      <c r="K7" s="2108">
        <v>1.5</v>
      </c>
      <c r="L7" s="1826">
        <v>1.875</v>
      </c>
      <c r="M7" s="1549" t="s">
        <v>705</v>
      </c>
      <c r="N7" s="1544" t="s">
        <v>706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</v>
      </c>
      <c r="AL7" s="1877">
        <f t="shared" ref="AL7:AL44" si="5">MAX(K7+U7+0.5,X7+U7+0.5)+I7</f>
        <v>4.125</v>
      </c>
      <c r="AM7" s="1878"/>
      <c r="AN7" s="1879">
        <v>1</v>
      </c>
      <c r="AO7" s="1880">
        <f>D7-2*G7-AN7-2*$BI$4</f>
        <v>2</v>
      </c>
      <c r="AP7" s="2110" t="str">
        <f t="shared" ref="AP7:AP44" si="6" xml:space="preserve"> "PL "&amp;TRIM(TEXT(I7,"# ?/?"))&amp;" x " &amp;TRIM(TEXT(R7,"# ?/?"))&amp; " x " &amp;TRIM(TEXT(AT7,"# ?/?"))</f>
        <v>PL 5/8 x 9 x 11 1/2</v>
      </c>
      <c r="AQ7" s="2111">
        <f>AW7+AY7</f>
        <v>17.640615138660124</v>
      </c>
      <c r="AR7" s="2112">
        <f>(AX7+AZ7)*1.06</f>
        <v>18.403922979119873</v>
      </c>
      <c r="AT7" s="925">
        <f t="shared" ref="AT7:AT44" si="7">CEILING(2*AK7+L7 - 4*K7+(K7+$AT$5*I7)*PI(),0.125)</f>
        <v>11.5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17.640615138660124</v>
      </c>
      <c r="AX7">
        <f>I7*(R7*AT7-AU7-AV7)*0.2836</f>
        <v>17.362191489735729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3</v>
      </c>
      <c r="BB7">
        <f t="shared" ref="BB7:BB44" si="8">K7+I7</f>
        <v>2.125</v>
      </c>
      <c r="BC7" s="1801" t="e">
        <f>BB7-SQRT(BB7^2-BA7^2)</f>
        <v>#NUM!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/>
      <c r="B8" s="1528">
        <v>4</v>
      </c>
      <c r="C8" s="1775">
        <v>5.25</v>
      </c>
      <c r="D8" s="1779">
        <v>4</v>
      </c>
      <c r="E8" s="1529" t="s">
        <v>755</v>
      </c>
      <c r="F8" s="1819">
        <v>5.375</v>
      </c>
      <c r="G8" s="1775">
        <v>0.25</v>
      </c>
      <c r="H8" s="1528" t="s">
        <v>707</v>
      </c>
      <c r="I8" s="1531">
        <v>0.625</v>
      </c>
      <c r="J8" s="1529">
        <v>65</v>
      </c>
      <c r="K8" s="2109">
        <v>1.5</v>
      </c>
      <c r="L8" s="1828">
        <f>Q8+0.125</f>
        <v>7.125</v>
      </c>
      <c r="M8" s="1534" t="s">
        <v>708</v>
      </c>
      <c r="N8" s="1529" t="s">
        <v>709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</v>
      </c>
      <c r="AL8" s="1890">
        <f t="shared" si="5"/>
        <v>4.125</v>
      </c>
      <c r="AM8" s="1891"/>
      <c r="AN8" s="1892">
        <v>1</v>
      </c>
      <c r="AO8" s="1893">
        <f>D8-2*G8-AN8-2*$BI$4</f>
        <v>1.875</v>
      </c>
      <c r="AP8" s="2113" t="str">
        <f t="shared" si="6"/>
        <v>PL 5/8 x 12 x 16 3/4</v>
      </c>
      <c r="AQ8" s="2114">
        <f>AW8+AY8</f>
        <v>34.92249013866013</v>
      </c>
      <c r="AR8" s="2115">
        <f>(AX8+AZ8)*1.06</f>
        <v>36.722710479119876</v>
      </c>
      <c r="AS8" s="162"/>
      <c r="AT8" s="925">
        <f t="shared" si="7"/>
        <v>16.75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34.92249013866013</v>
      </c>
      <c r="AX8">
        <f>I8*(R8*AT8-AU8-AV8)*0.2836</f>
        <v>34.644066489735728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0.375</v>
      </c>
      <c r="BB8">
        <f t="shared" si="8"/>
        <v>2.125</v>
      </c>
      <c r="BC8" s="1801">
        <f>BB8-SQRT(BB8^2-BA8^2)</f>
        <v>3.3349933664811093E-2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/>
      <c r="B9" s="1543">
        <v>5.25</v>
      </c>
      <c r="C9" s="1774">
        <v>6.25</v>
      </c>
      <c r="D9" s="1778">
        <v>5.375</v>
      </c>
      <c r="E9" s="1544" t="s">
        <v>756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2108">
        <v>1.5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</v>
      </c>
      <c r="AL9" s="1877">
        <f t="shared" si="5"/>
        <v>4.125</v>
      </c>
      <c r="AM9" s="1878">
        <v>1.25</v>
      </c>
      <c r="AN9" s="1879">
        <v>1</v>
      </c>
      <c r="AO9" s="1880">
        <f t="shared" ref="AO9:AO44" si="21">D9-2*G9-AN9-2*$BI$4</f>
        <v>3.375</v>
      </c>
      <c r="AP9" s="2110" t="str">
        <f t="shared" si="6"/>
        <v>PL 5/8 x 12 x 17 3/4</v>
      </c>
      <c r="AQ9" s="2111">
        <f t="shared" ref="AQ9:AQ44" si="22">AW9+AY9</f>
        <v>37.049490138660133</v>
      </c>
      <c r="AR9" s="2112">
        <f t="shared" ref="AR9:AR44" si="23">(AX9+AZ9)*1.06</f>
        <v>38.746760894854368</v>
      </c>
      <c r="AS9" s="162"/>
      <c r="AT9" s="925">
        <f t="shared" si="7"/>
        <v>17.75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37.049490138660133</v>
      </c>
      <c r="AX9">
        <f t="shared" ref="AX9:AX44" si="26">I9*(R9*AT9-AU9-AV9)*0.2836</f>
        <v>36.55354801401355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0.375</v>
      </c>
      <c r="BB9">
        <f t="shared" si="8"/>
        <v>2.125</v>
      </c>
      <c r="BC9" s="1801">
        <f t="shared" ref="BC9:BC44" si="30">BB9-SQRT(BB9^2-BA9^2)</f>
        <v>3.3349933664811093E-2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756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2109">
        <v>1.5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</v>
      </c>
      <c r="AL10" s="1890">
        <f t="shared" si="5"/>
        <v>4.125</v>
      </c>
      <c r="AM10" s="1891">
        <v>1.25</v>
      </c>
      <c r="AN10" s="1892">
        <v>1</v>
      </c>
      <c r="AO10" s="1893">
        <f t="shared" si="21"/>
        <v>3.375</v>
      </c>
      <c r="AP10" s="2113" t="str">
        <f t="shared" si="6"/>
        <v>PL 5/8 x 12 x 17 3/4</v>
      </c>
      <c r="AQ10" s="2114">
        <f t="shared" si="22"/>
        <v>36.697110207990185</v>
      </c>
      <c r="AR10" s="2115">
        <f t="shared" si="23"/>
        <v>38.37323816834423</v>
      </c>
      <c r="AT10" s="925">
        <f t="shared" si="7"/>
        <v>17.75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36.697110207990185</v>
      </c>
      <c r="AX10">
        <f t="shared" si="26"/>
        <v>36.20116808334361</v>
      </c>
      <c r="AY10">
        <f t="shared" si="27"/>
        <v>0</v>
      </c>
      <c r="AZ10">
        <f t="shared" si="28"/>
        <v>0</v>
      </c>
      <c r="BA10">
        <f t="shared" si="29"/>
        <v>0.375</v>
      </c>
      <c r="BB10">
        <f t="shared" si="8"/>
        <v>2.125</v>
      </c>
      <c r="BC10" s="1801">
        <f t="shared" si="30"/>
        <v>3.3349933664811093E-2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/>
      <c r="B11" s="1543">
        <v>6.25</v>
      </c>
      <c r="C11" s="1774">
        <v>7.25</v>
      </c>
      <c r="D11" s="1778">
        <v>6.375</v>
      </c>
      <c r="E11" s="1544" t="s">
        <v>757</v>
      </c>
      <c r="F11" s="1818">
        <v>7.25</v>
      </c>
      <c r="G11" s="1774">
        <v>0.1875</v>
      </c>
      <c r="H11" s="1543" t="s">
        <v>710</v>
      </c>
      <c r="I11" s="1546">
        <v>0.625</v>
      </c>
      <c r="J11" s="1544">
        <v>65</v>
      </c>
      <c r="K11" s="2108">
        <v>1.5</v>
      </c>
      <c r="L11" s="1826">
        <f t="shared" si="18"/>
        <v>9.125</v>
      </c>
      <c r="M11" s="1549" t="s">
        <v>711</v>
      </c>
      <c r="N11" s="1544" t="s">
        <v>712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</v>
      </c>
      <c r="AL11" s="1877">
        <f t="shared" si="5"/>
        <v>4.125</v>
      </c>
      <c r="AM11" s="1878">
        <v>1.5</v>
      </c>
      <c r="AN11" s="1879">
        <v>1</v>
      </c>
      <c r="AO11" s="1880">
        <f t="shared" si="21"/>
        <v>4.375</v>
      </c>
      <c r="AP11" s="2110" t="str">
        <f t="shared" si="6"/>
        <v>PL 5/8 x 12 x 18 3/4</v>
      </c>
      <c r="AQ11" s="2111">
        <f t="shared" si="22"/>
        <v>38.824110207990188</v>
      </c>
      <c r="AR11" s="2112">
        <f t="shared" si="23"/>
        <v>40.526407551267404</v>
      </c>
      <c r="AS11" s="162"/>
      <c r="AT11" s="925">
        <f t="shared" si="7"/>
        <v>18.75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38.824110207990188</v>
      </c>
      <c r="AX11">
        <f t="shared" si="26"/>
        <v>38.232459954025849</v>
      </c>
      <c r="AY11">
        <f t="shared" si="27"/>
        <v>0</v>
      </c>
      <c r="AZ11">
        <f t="shared" si="28"/>
        <v>0</v>
      </c>
      <c r="BA11">
        <f t="shared" si="29"/>
        <v>0.375</v>
      </c>
      <c r="BB11">
        <f t="shared" si="8"/>
        <v>2.125</v>
      </c>
      <c r="BC11" s="1801">
        <f t="shared" si="30"/>
        <v>3.3349933664811093E-2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758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ref="K12:K44" si="38">3*I12</f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2113" t="str">
        <f t="shared" si="6"/>
        <v>PL 3/4 x 15 x 20 7/8</v>
      </c>
      <c r="AQ12" s="2114">
        <f t="shared" si="22"/>
        <v>64.91026383278431</v>
      </c>
      <c r="AR12" s="2115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759</v>
      </c>
      <c r="F13" s="1818">
        <v>8.625</v>
      </c>
      <c r="G13" s="1774">
        <v>0.1875</v>
      </c>
      <c r="H13" s="1543" t="s">
        <v>713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714</v>
      </c>
      <c r="N13" s="1544" t="s">
        <v>715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760</v>
      </c>
      <c r="F14" s="1819">
        <v>8.75</v>
      </c>
      <c r="G14" s="1775">
        <v>0.3125</v>
      </c>
      <c r="H14" s="1528" t="s">
        <v>716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717</v>
      </c>
      <c r="N14" s="1529" t="s">
        <v>718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761</v>
      </c>
      <c r="F15" s="1818">
        <v>9.625</v>
      </c>
      <c r="G15" s="1774">
        <v>0.25</v>
      </c>
      <c r="H15" s="1543" t="s">
        <v>719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720</v>
      </c>
      <c r="N15" s="1544" t="s">
        <v>721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/>
      <c r="B16" s="1528">
        <v>8.25</v>
      </c>
      <c r="C16" s="1775">
        <v>9.25</v>
      </c>
      <c r="D16" s="1779">
        <v>8.875</v>
      </c>
      <c r="E16" s="1529" t="s">
        <v>761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/>
      <c r="B17" s="1543">
        <v>9</v>
      </c>
      <c r="C17" s="1774">
        <v>10</v>
      </c>
      <c r="D17" s="1778">
        <v>9.75</v>
      </c>
      <c r="E17" s="1544" t="s">
        <v>762</v>
      </c>
      <c r="F17" s="1818">
        <v>10.625</v>
      </c>
      <c r="G17" s="1774">
        <v>0.25</v>
      </c>
      <c r="H17" s="1543" t="s">
        <v>722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723</v>
      </c>
      <c r="N17" s="1544" t="s">
        <v>724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/>
      <c r="B18" s="1528">
        <v>9.25</v>
      </c>
      <c r="C18" s="1775">
        <v>10.25</v>
      </c>
      <c r="D18" s="1779">
        <v>10</v>
      </c>
      <c r="E18" s="1529" t="s">
        <v>762</v>
      </c>
      <c r="F18" s="1819">
        <v>10.875</v>
      </c>
      <c r="G18" s="1775">
        <v>0.3125</v>
      </c>
      <c r="H18" s="1528" t="s">
        <v>725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726</v>
      </c>
      <c r="N18" s="1529" t="s">
        <v>727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763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763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/>
      <c r="B21" s="1543">
        <v>11</v>
      </c>
      <c r="C21" s="1774">
        <v>12</v>
      </c>
      <c r="D21" s="1778">
        <v>11.75</v>
      </c>
      <c r="E21" s="1544" t="s">
        <v>764</v>
      </c>
      <c r="F21" s="1818">
        <v>12.625</v>
      </c>
      <c r="G21" s="1774">
        <v>0.25</v>
      </c>
      <c r="H21" s="1543" t="s">
        <v>728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729</v>
      </c>
      <c r="N21" s="1544" t="s">
        <v>730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/>
      <c r="B22" s="1252">
        <v>11.25</v>
      </c>
      <c r="C22" s="1776">
        <v>12.25</v>
      </c>
      <c r="D22" s="1780">
        <v>12</v>
      </c>
      <c r="E22" s="1239" t="s">
        <v>764</v>
      </c>
      <c r="F22" s="1814">
        <v>12.875</v>
      </c>
      <c r="G22" s="1776">
        <v>0.375</v>
      </c>
      <c r="H22" s="1252" t="s">
        <v>731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732</v>
      </c>
      <c r="N22" s="1239" t="s">
        <v>733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765</v>
      </c>
      <c r="F23" s="1813">
        <v>13.625</v>
      </c>
      <c r="G23" s="1777">
        <v>0.25</v>
      </c>
      <c r="H23" s="1251" t="s">
        <v>734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735</v>
      </c>
      <c r="N23" s="1233" t="s">
        <v>736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/>
      <c r="B24" s="1252">
        <v>12</v>
      </c>
      <c r="C24" s="1776">
        <v>13</v>
      </c>
      <c r="D24" s="1780">
        <v>13</v>
      </c>
      <c r="E24" s="1239" t="s">
        <v>765</v>
      </c>
      <c r="F24" s="1814">
        <v>13.625</v>
      </c>
      <c r="G24" s="1776">
        <v>0.375</v>
      </c>
      <c r="H24" s="1252" t="s">
        <v>737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738</v>
      </c>
      <c r="N24" s="1239" t="s">
        <v>739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766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/>
      <c r="B27" s="1251">
        <v>13.5</v>
      </c>
      <c r="C27" s="1777">
        <v>14.5</v>
      </c>
      <c r="D27" s="1781">
        <v>14.5</v>
      </c>
      <c r="E27" s="1233" t="s">
        <v>781</v>
      </c>
      <c r="F27" s="1813">
        <v>15.5</v>
      </c>
      <c r="G27" s="1777">
        <v>0.25</v>
      </c>
      <c r="H27" s="1251" t="s">
        <v>740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741</v>
      </c>
      <c r="N27" s="1233" t="s">
        <v>742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/>
      <c r="B28" s="1252">
        <v>13.5</v>
      </c>
      <c r="C28" s="1776">
        <v>14.5</v>
      </c>
      <c r="D28" s="1780">
        <v>14.75</v>
      </c>
      <c r="E28" s="1239" t="s">
        <v>767</v>
      </c>
      <c r="F28" s="1814">
        <v>15.625</v>
      </c>
      <c r="G28" s="1776">
        <v>0.375</v>
      </c>
      <c r="H28" s="1252" t="s">
        <v>743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744</v>
      </c>
      <c r="N28" s="1239" t="s">
        <v>745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/>
      <c r="B29" s="1251">
        <v>15</v>
      </c>
      <c r="C29" s="1777">
        <v>16</v>
      </c>
      <c r="D29" s="1781">
        <v>16</v>
      </c>
      <c r="E29" s="1233" t="s">
        <v>768</v>
      </c>
      <c r="F29" s="1813">
        <v>17.375</v>
      </c>
      <c r="G29" s="1777">
        <v>0.25</v>
      </c>
      <c r="H29" s="1251" t="s">
        <v>746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747</v>
      </c>
      <c r="N29" s="1233" t="s">
        <v>748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/>
      <c r="B30" s="1252">
        <v>15.375</v>
      </c>
      <c r="C30" s="1776">
        <v>16.375</v>
      </c>
      <c r="D30" s="1780">
        <v>16</v>
      </c>
      <c r="E30" s="1239" t="s">
        <v>782</v>
      </c>
      <c r="F30" s="1814">
        <v>17.625</v>
      </c>
      <c r="G30" s="1776">
        <v>0.375</v>
      </c>
      <c r="H30" s="1252" t="s">
        <v>749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750</v>
      </c>
      <c r="N30" s="1239" t="s">
        <v>751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1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783</v>
      </c>
      <c r="F31" s="1813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769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1233" t="s">
        <v>770</v>
      </c>
      <c r="F33" s="1813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770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1233" t="s">
        <v>784</v>
      </c>
      <c r="F35" s="1813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/>
      <c r="B36" s="1252"/>
      <c r="C36" s="1776"/>
      <c r="D36" s="1780">
        <v>20.75</v>
      </c>
      <c r="E36" s="1239" t="s">
        <v>785</v>
      </c>
      <c r="F36" s="1814">
        <v>21.5</v>
      </c>
      <c r="G36" s="1776">
        <v>0.375</v>
      </c>
      <c r="H36" s="1252" t="s">
        <v>752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753</v>
      </c>
      <c r="N36" s="1239" t="s">
        <v>754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771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1239" t="s">
        <v>786</v>
      </c>
      <c r="F38" s="1814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772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773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1782">
        <v>25.5</v>
      </c>
      <c r="E41" s="1233" t="s">
        <v>787</v>
      </c>
      <c r="F41" s="2102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03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774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775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776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B45" s="2104" t="s">
        <v>778</v>
      </c>
      <c r="C45" s="2107" t="s">
        <v>780</v>
      </c>
      <c r="Q45" s="928"/>
      <c r="R45" s="928"/>
    </row>
    <row r="46" spans="1:75" x14ac:dyDescent="0.25">
      <c r="B46" s="2104"/>
      <c r="C46" s="2105" t="s">
        <v>779</v>
      </c>
      <c r="Q46" s="928"/>
      <c r="R46" s="928"/>
    </row>
    <row r="47" spans="1:75" x14ac:dyDescent="0.25">
      <c r="Q47" s="928"/>
      <c r="R47" s="928"/>
    </row>
    <row r="48" spans="1:75" ht="32.25" customHeight="1" thickBot="1" x14ac:dyDescent="0.3">
      <c r="D48" s="2159" t="s">
        <v>688</v>
      </c>
      <c r="E48" s="2159"/>
      <c r="F48" s="2159" t="s">
        <v>689</v>
      </c>
      <c r="G48" s="2159"/>
      <c r="H48" s="2159" t="s">
        <v>690</v>
      </c>
      <c r="I48" s="2159"/>
    </row>
    <row r="49" spans="4:9" ht="15.75" thickTop="1" x14ac:dyDescent="0.25">
      <c r="D49" s="2160" t="s">
        <v>697</v>
      </c>
      <c r="E49" s="2160"/>
      <c r="F49" s="2161" t="s">
        <v>693</v>
      </c>
      <c r="G49" s="2160"/>
      <c r="H49" s="2160" t="s">
        <v>695</v>
      </c>
      <c r="I49" s="2160"/>
    </row>
    <row r="50" spans="4:9" x14ac:dyDescent="0.25">
      <c r="D50" s="2157" t="s">
        <v>698</v>
      </c>
      <c r="E50" s="2157"/>
      <c r="F50" s="2158" t="s">
        <v>694</v>
      </c>
      <c r="G50" s="2157"/>
      <c r="H50" s="2157" t="s">
        <v>695</v>
      </c>
      <c r="I50" s="2157"/>
    </row>
    <row r="51" spans="4:9" x14ac:dyDescent="0.25">
      <c r="D51" s="2157" t="s">
        <v>699</v>
      </c>
      <c r="E51" s="2157"/>
      <c r="F51" s="2158" t="s">
        <v>701</v>
      </c>
      <c r="G51" s="2157"/>
      <c r="H51" s="2157" t="s">
        <v>695</v>
      </c>
      <c r="I51" s="2157"/>
    </row>
    <row r="52" spans="4:9" x14ac:dyDescent="0.25">
      <c r="D52" s="2157" t="s">
        <v>699</v>
      </c>
      <c r="E52" s="2157"/>
      <c r="F52" s="2158" t="s">
        <v>702</v>
      </c>
      <c r="G52" s="2157"/>
      <c r="H52" s="2157" t="s">
        <v>692</v>
      </c>
      <c r="I52" s="2157"/>
    </row>
    <row r="53" spans="4:9" x14ac:dyDescent="0.25">
      <c r="D53" s="2157" t="s">
        <v>700</v>
      </c>
      <c r="E53" s="2157"/>
      <c r="F53" s="2158" t="s">
        <v>696</v>
      </c>
      <c r="G53" s="2157"/>
      <c r="H53" s="2157" t="s">
        <v>691</v>
      </c>
      <c r="I53" s="2157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  <mergeCell ref="D53:E53"/>
    <mergeCell ref="F53:G53"/>
    <mergeCell ref="H53:I53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98" t="s">
        <v>512</v>
      </c>
      <c r="C4" s="2199"/>
      <c r="D4" s="2199"/>
      <c r="E4" s="2200"/>
      <c r="F4" s="2210" t="s">
        <v>513</v>
      </c>
      <c r="G4" s="2211"/>
      <c r="H4" s="2211"/>
      <c r="I4" s="2211"/>
      <c r="J4" s="2212"/>
      <c r="K4" s="2213" t="s">
        <v>514</v>
      </c>
      <c r="L4" s="2204"/>
      <c r="M4" s="2204"/>
      <c r="N4" s="2204"/>
      <c r="O4" s="2204"/>
      <c r="P4" s="2209"/>
      <c r="Q4" s="2203" t="s">
        <v>303</v>
      </c>
      <c r="R4" s="2204"/>
      <c r="S4" s="2209"/>
      <c r="T4" s="2203" t="s">
        <v>44</v>
      </c>
      <c r="U4" s="2204"/>
      <c r="V4" s="2204"/>
      <c r="W4" s="2204"/>
      <c r="X4" s="2204"/>
      <c r="Y4" s="2204"/>
      <c r="Z4" s="2204"/>
      <c r="AA4" s="2204"/>
      <c r="AB4" s="2205"/>
      <c r="AC4" s="2206" t="s">
        <v>515</v>
      </c>
      <c r="AD4" s="2207"/>
      <c r="AE4" s="2207"/>
      <c r="AF4" s="2207"/>
      <c r="AG4" s="2207"/>
      <c r="AH4" s="2208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201" t="s">
        <v>297</v>
      </c>
      <c r="AF5" s="2202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19" t="s">
        <v>273</v>
      </c>
      <c r="C4" s="2217"/>
      <c r="D4" s="2217"/>
      <c r="E4" s="2219" t="s">
        <v>386</v>
      </c>
      <c r="F4" s="2217"/>
      <c r="G4" s="2217"/>
      <c r="H4" s="2217"/>
      <c r="I4" s="2218"/>
      <c r="J4" s="2220" t="s">
        <v>387</v>
      </c>
      <c r="K4" s="2217"/>
      <c r="L4" s="2217"/>
      <c r="M4" s="2217"/>
      <c r="N4" s="2217"/>
      <c r="O4" s="2221" t="s">
        <v>390</v>
      </c>
      <c r="P4" s="2216"/>
      <c r="Q4" s="2216"/>
      <c r="R4" s="2222"/>
      <c r="S4" s="2216" t="s">
        <v>260</v>
      </c>
      <c r="T4" s="2216"/>
      <c r="U4" s="2216"/>
      <c r="V4" s="2216"/>
      <c r="W4" s="2216"/>
      <c r="X4" s="2221" t="s">
        <v>400</v>
      </c>
      <c r="Y4" s="2217"/>
      <c r="Z4" s="2217"/>
      <c r="AA4" s="2217"/>
      <c r="AB4" s="2217"/>
      <c r="AC4" s="2217"/>
      <c r="AD4" s="2217"/>
      <c r="AE4" s="2217"/>
      <c r="AF4" s="2217"/>
      <c r="AG4" s="2218"/>
      <c r="AH4" s="2216" t="s">
        <v>399</v>
      </c>
      <c r="AI4" s="2217"/>
      <c r="AJ4" s="2217"/>
      <c r="AK4" s="2217"/>
      <c r="AL4" s="2217"/>
      <c r="AM4" s="2217"/>
      <c r="AN4" s="2218"/>
    </row>
    <row r="5" spans="2:46" ht="15" customHeight="1" x14ac:dyDescent="0.25">
      <c r="B5" s="2227" t="s">
        <v>628</v>
      </c>
      <c r="C5" s="2171" t="s">
        <v>627</v>
      </c>
      <c r="D5" s="2173" t="s">
        <v>626</v>
      </c>
      <c r="E5" s="2227" t="s">
        <v>641</v>
      </c>
      <c r="F5" s="2171" t="s">
        <v>406</v>
      </c>
      <c r="G5" s="2171" t="s">
        <v>304</v>
      </c>
      <c r="H5" s="2214" t="s">
        <v>388</v>
      </c>
      <c r="I5" s="2223" t="s">
        <v>403</v>
      </c>
      <c r="J5" s="2169" t="s">
        <v>404</v>
      </c>
      <c r="K5" s="2171" t="s">
        <v>405</v>
      </c>
      <c r="L5" s="2214" t="s">
        <v>406</v>
      </c>
      <c r="M5" s="2214" t="s">
        <v>304</v>
      </c>
      <c r="N5" s="2173" t="s">
        <v>632</v>
      </c>
      <c r="O5" s="2227" t="s">
        <v>389</v>
      </c>
      <c r="P5" s="2214" t="s">
        <v>408</v>
      </c>
      <c r="Q5" s="2214" t="s">
        <v>625</v>
      </c>
      <c r="R5" s="2162" t="s">
        <v>407</v>
      </c>
      <c r="S5" s="2169" t="s">
        <v>629</v>
      </c>
      <c r="T5" s="2214" t="s">
        <v>406</v>
      </c>
      <c r="U5" s="2171" t="s">
        <v>630</v>
      </c>
      <c r="V5" s="2214" t="s">
        <v>304</v>
      </c>
      <c r="W5" s="2215" t="s">
        <v>631</v>
      </c>
      <c r="X5" s="2227" t="s">
        <v>643</v>
      </c>
      <c r="Y5" s="2171" t="s">
        <v>392</v>
      </c>
      <c r="Z5" s="2171" t="s">
        <v>393</v>
      </c>
      <c r="AA5" s="2171" t="s">
        <v>391</v>
      </c>
      <c r="AB5" s="2171" t="s">
        <v>409</v>
      </c>
      <c r="AC5" s="2214" t="s">
        <v>410</v>
      </c>
      <c r="AD5" s="2224" t="s">
        <v>398</v>
      </c>
      <c r="AE5" s="2225"/>
      <c r="AF5" s="2225"/>
      <c r="AG5" s="2226"/>
      <c r="AH5" s="2228" t="s">
        <v>295</v>
      </c>
      <c r="AI5" s="2214" t="s">
        <v>296</v>
      </c>
      <c r="AJ5" s="2214" t="s">
        <v>445</v>
      </c>
      <c r="AK5" s="2214" t="s">
        <v>446</v>
      </c>
      <c r="AL5" s="2214" t="s">
        <v>402</v>
      </c>
      <c r="AM5" s="2214" t="s">
        <v>640</v>
      </c>
      <c r="AN5" s="2223" t="s">
        <v>401</v>
      </c>
      <c r="AP5">
        <v>0.45</v>
      </c>
    </row>
    <row r="6" spans="2:46" ht="51" customHeight="1" x14ac:dyDescent="0.25">
      <c r="B6" s="2227"/>
      <c r="C6" s="2171"/>
      <c r="D6" s="2173"/>
      <c r="E6" s="2227"/>
      <c r="F6" s="2171"/>
      <c r="G6" s="2171"/>
      <c r="H6" s="2214"/>
      <c r="I6" s="2223"/>
      <c r="J6" s="2169"/>
      <c r="K6" s="2171"/>
      <c r="L6" s="2214"/>
      <c r="M6" s="2214"/>
      <c r="N6" s="2173"/>
      <c r="O6" s="2227"/>
      <c r="P6" s="2214"/>
      <c r="Q6" s="2214"/>
      <c r="R6" s="2162"/>
      <c r="S6" s="2169"/>
      <c r="T6" s="2214"/>
      <c r="U6" s="2171"/>
      <c r="V6" s="2214"/>
      <c r="W6" s="2215"/>
      <c r="X6" s="2227"/>
      <c r="Y6" s="2171"/>
      <c r="Z6" s="2171"/>
      <c r="AA6" s="2171"/>
      <c r="AB6" s="2171"/>
      <c r="AC6" s="2214"/>
      <c r="AD6" s="192" t="s">
        <v>397</v>
      </c>
      <c r="AE6" s="195" t="s">
        <v>394</v>
      </c>
      <c r="AF6" s="196" t="s">
        <v>395</v>
      </c>
      <c r="AG6" s="1294" t="s">
        <v>396</v>
      </c>
      <c r="AH6" s="2228"/>
      <c r="AI6" s="2214"/>
      <c r="AJ6" s="2214"/>
      <c r="AK6" s="2214"/>
      <c r="AL6" s="2214"/>
      <c r="AM6" s="2214"/>
      <c r="AN6" s="2223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83">
        <v>43024</v>
      </c>
      <c r="H2" s="2183"/>
    </row>
    <row r="3" spans="2:72" ht="15.75" thickBot="1" x14ac:dyDescent="0.3">
      <c r="BE3" s="2184" t="s">
        <v>673</v>
      </c>
      <c r="BF3" s="2184"/>
      <c r="BG3" s="2184"/>
      <c r="BH3" s="2184"/>
      <c r="BI3" s="2184"/>
      <c r="BJ3" s="2184"/>
    </row>
    <row r="4" spans="2:72" ht="15" customHeight="1" x14ac:dyDescent="0.25">
      <c r="B4" s="2185" t="s">
        <v>273</v>
      </c>
      <c r="C4" s="2186"/>
      <c r="D4" s="2186"/>
      <c r="E4" s="2186"/>
      <c r="F4" s="2187"/>
      <c r="G4" s="2188" t="s">
        <v>386</v>
      </c>
      <c r="H4" s="2189"/>
      <c r="I4" s="2189"/>
      <c r="J4" s="2189"/>
      <c r="K4" s="2190"/>
      <c r="L4" s="2191" t="s">
        <v>387</v>
      </c>
      <c r="M4" s="2192"/>
      <c r="N4" s="2192"/>
      <c r="O4" s="2192"/>
      <c r="P4" s="2192"/>
      <c r="Q4" s="2193" t="s">
        <v>390</v>
      </c>
      <c r="R4" s="2194"/>
      <c r="S4" s="2194"/>
      <c r="T4" s="2195"/>
      <c r="U4" s="2196" t="s">
        <v>260</v>
      </c>
      <c r="V4" s="2196"/>
      <c r="W4" s="2196"/>
      <c r="X4" s="2196"/>
      <c r="Y4" s="2196"/>
      <c r="Z4" s="2193" t="s">
        <v>400</v>
      </c>
      <c r="AA4" s="2189"/>
      <c r="AB4" s="2189"/>
      <c r="AC4" s="2189"/>
      <c r="AD4" s="2189"/>
      <c r="AE4" s="2189"/>
      <c r="AF4" s="2189"/>
      <c r="AG4" s="2189"/>
      <c r="AH4" s="2189"/>
      <c r="AI4" s="2190"/>
      <c r="AJ4" s="2196" t="s">
        <v>399</v>
      </c>
      <c r="AK4" s="2192"/>
      <c r="AL4" s="2192"/>
      <c r="AM4" s="2192"/>
      <c r="AN4" s="2192"/>
      <c r="AO4" s="2192"/>
      <c r="AP4" s="2192"/>
      <c r="AQ4" s="2197"/>
      <c r="BH4">
        <v>0.3125</v>
      </c>
      <c r="BJ4" t="s">
        <v>667</v>
      </c>
    </row>
    <row r="5" spans="2:72" ht="17.25" customHeight="1" x14ac:dyDescent="0.25">
      <c r="B5" s="2229" t="s">
        <v>654</v>
      </c>
      <c r="C5" s="2231"/>
      <c r="D5" s="2229" t="s">
        <v>655</v>
      </c>
      <c r="E5" s="2230"/>
      <c r="F5" s="2231" t="s">
        <v>626</v>
      </c>
      <c r="G5" s="2175" t="s">
        <v>641</v>
      </c>
      <c r="H5" s="2164" t="s">
        <v>406</v>
      </c>
      <c r="I5" s="2164" t="s">
        <v>304</v>
      </c>
      <c r="J5" s="2164" t="s">
        <v>388</v>
      </c>
      <c r="K5" s="2177" t="s">
        <v>403</v>
      </c>
      <c r="L5" s="2169" t="s">
        <v>404</v>
      </c>
      <c r="M5" s="2171" t="s">
        <v>405</v>
      </c>
      <c r="N5" s="2171" t="s">
        <v>406</v>
      </c>
      <c r="O5" s="2171" t="s">
        <v>304</v>
      </c>
      <c r="P5" s="2173" t="s">
        <v>632</v>
      </c>
      <c r="Q5" s="2175" t="s">
        <v>389</v>
      </c>
      <c r="R5" s="2164" t="s">
        <v>408</v>
      </c>
      <c r="S5" s="2164" t="s">
        <v>682</v>
      </c>
      <c r="T5" s="2177" t="s">
        <v>683</v>
      </c>
      <c r="U5" s="2169" t="s">
        <v>629</v>
      </c>
      <c r="V5" s="2171" t="s">
        <v>406</v>
      </c>
      <c r="W5" s="2171" t="s">
        <v>630</v>
      </c>
      <c r="X5" s="2171" t="s">
        <v>304</v>
      </c>
      <c r="Y5" s="2173" t="s">
        <v>631</v>
      </c>
      <c r="Z5" s="2175" t="s">
        <v>643</v>
      </c>
      <c r="AA5" s="2164" t="s">
        <v>392</v>
      </c>
      <c r="AB5" s="2164" t="s">
        <v>393</v>
      </c>
      <c r="AC5" s="2164" t="s">
        <v>391</v>
      </c>
      <c r="AD5" s="2164" t="s">
        <v>409</v>
      </c>
      <c r="AE5" s="2164" t="s">
        <v>410</v>
      </c>
      <c r="AF5" s="2166" t="s">
        <v>398</v>
      </c>
      <c r="AG5" s="2167"/>
      <c r="AH5" s="2167"/>
      <c r="AI5" s="2168"/>
      <c r="AJ5" s="2169" t="s">
        <v>656</v>
      </c>
      <c r="AK5" s="2171" t="s">
        <v>657</v>
      </c>
      <c r="AL5" s="2171" t="s">
        <v>659</v>
      </c>
      <c r="AM5" s="2173" t="s">
        <v>658</v>
      </c>
      <c r="AN5" s="2169"/>
      <c r="AO5" s="2171" t="s">
        <v>402</v>
      </c>
      <c r="AP5" s="2171" t="s">
        <v>681</v>
      </c>
      <c r="AQ5" s="2162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80"/>
      <c r="G6" s="2175"/>
      <c r="H6" s="2164"/>
      <c r="I6" s="2164"/>
      <c r="J6" s="2164"/>
      <c r="K6" s="2177"/>
      <c r="L6" s="2169"/>
      <c r="M6" s="2171"/>
      <c r="N6" s="2171"/>
      <c r="O6" s="2171"/>
      <c r="P6" s="2173"/>
      <c r="Q6" s="2175"/>
      <c r="R6" s="2164"/>
      <c r="S6" s="2164"/>
      <c r="T6" s="2177"/>
      <c r="U6" s="2169"/>
      <c r="V6" s="2171"/>
      <c r="W6" s="2171"/>
      <c r="X6" s="2171"/>
      <c r="Y6" s="2173"/>
      <c r="Z6" s="2175"/>
      <c r="AA6" s="2164"/>
      <c r="AB6" s="2164"/>
      <c r="AC6" s="2164"/>
      <c r="AD6" s="2164"/>
      <c r="AE6" s="2164"/>
      <c r="AF6" s="1769" t="s">
        <v>397</v>
      </c>
      <c r="AG6" s="1770" t="s">
        <v>394</v>
      </c>
      <c r="AH6" s="1771" t="s">
        <v>395</v>
      </c>
      <c r="AI6" s="1772" t="s">
        <v>396</v>
      </c>
      <c r="AJ6" s="2169"/>
      <c r="AK6" s="2171"/>
      <c r="AL6" s="2171"/>
      <c r="AM6" s="1710" t="s">
        <v>660</v>
      </c>
      <c r="AN6" s="1710" t="s">
        <v>661</v>
      </c>
      <c r="AO6" s="2171"/>
      <c r="AP6" s="2171"/>
      <c r="AQ6" s="2162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159" t="s">
        <v>688</v>
      </c>
      <c r="D37" s="2159"/>
      <c r="E37" s="2159" t="s">
        <v>689</v>
      </c>
      <c r="F37" s="2159"/>
      <c r="G37" s="2159" t="s">
        <v>690</v>
      </c>
      <c r="H37" s="2159"/>
    </row>
    <row r="38" spans="2:62" ht="15.75" thickTop="1" x14ac:dyDescent="0.25">
      <c r="C38" s="2160" t="s">
        <v>697</v>
      </c>
      <c r="D38" s="2160"/>
      <c r="E38" s="2161" t="s">
        <v>693</v>
      </c>
      <c r="F38" s="2160"/>
      <c r="G38" s="2160" t="s">
        <v>695</v>
      </c>
      <c r="H38" s="2160"/>
    </row>
    <row r="39" spans="2:62" x14ac:dyDescent="0.25">
      <c r="C39" s="2157" t="s">
        <v>698</v>
      </c>
      <c r="D39" s="2157"/>
      <c r="E39" s="2158" t="s">
        <v>694</v>
      </c>
      <c r="F39" s="2157"/>
      <c r="G39" s="2157" t="s">
        <v>695</v>
      </c>
      <c r="H39" s="2157"/>
    </row>
    <row r="40" spans="2:62" x14ac:dyDescent="0.25">
      <c r="C40" s="2157" t="s">
        <v>699</v>
      </c>
      <c r="D40" s="2157"/>
      <c r="E40" s="2158" t="s">
        <v>701</v>
      </c>
      <c r="F40" s="2157"/>
      <c r="G40" s="2157" t="s">
        <v>695</v>
      </c>
      <c r="H40" s="2157"/>
    </row>
    <row r="41" spans="2:62" x14ac:dyDescent="0.25">
      <c r="C41" s="2157" t="s">
        <v>699</v>
      </c>
      <c r="D41" s="2157"/>
      <c r="E41" s="2158" t="s">
        <v>702</v>
      </c>
      <c r="F41" s="2157"/>
      <c r="G41" s="2157" t="s">
        <v>692</v>
      </c>
      <c r="H41" s="2157"/>
    </row>
    <row r="42" spans="2:62" x14ac:dyDescent="0.25">
      <c r="C42" s="2157" t="s">
        <v>700</v>
      </c>
      <c r="D42" s="2157"/>
      <c r="E42" s="2158" t="s">
        <v>696</v>
      </c>
      <c r="F42" s="2157"/>
      <c r="G42" s="2157" t="s">
        <v>691</v>
      </c>
      <c r="H42" s="2157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32" t="s">
        <v>56</v>
      </c>
      <c r="S2" s="2232"/>
      <c r="T2" s="2232"/>
      <c r="U2" s="2232" t="s">
        <v>57</v>
      </c>
      <c r="V2" s="2232"/>
      <c r="W2" s="2232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06">
        <v>1.5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84" t="s">
        <v>258</v>
      </c>
      <c r="T12" s="2184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2024-06-19T22:50:57Z</dcterms:modified>
</cp:coreProperties>
</file>