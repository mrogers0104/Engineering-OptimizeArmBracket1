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Engineering AI\OptimizeArmBracket1\Documentation\"/>
    </mc:Choice>
  </mc:AlternateContent>
  <xr:revisionPtr revIDLastSave="0" documentId="13_ncr:1_{9D6087E3-D9DB-459A-A580-B28EE06D3F16}" xr6:coauthVersionLast="47" xr6:coauthVersionMax="47" xr10:uidLastSave="{00000000-0000-0000-0000-000000000000}"/>
  <workbookProtection workbookAlgorithmName="SHA-512" workbookHashValue="YutulIM2TwaeWM/vGNfNfqUeQWnl/B2VxYHoHJC1RxM/HezkBTnBH9PqKEPsoFWQ0u5EJAdZv9szrsFJU1BICg==" workbookSaltValue="mB86qeHu/wLOWJTV8g5pkQ==" workbookSpinCount="100000" lockStructure="1"/>
  <bookViews>
    <workbookView xWindow="19090" yWindow="-2790" windowWidth="25820" windowHeight="13900" xr2:uid="{00000000-000D-0000-FFFF-FFFF00000000}"/>
  </bookViews>
  <sheets>
    <sheet name="Sheet1" sheetId="11" r:id="rId1"/>
    <sheet name="New Std" sheetId="15" r:id="rId2"/>
    <sheet name="FWT Std" sheetId="12" r:id="rId3"/>
    <sheet name="New Std_Old" sheetId="13" state="hidden" r:id="rId4"/>
    <sheet name="New Std_110717" sheetId="14" state="hidden" r:id="rId5"/>
    <sheet name="Sheet2" sheetId="2" state="hidden" r:id="rId6"/>
    <sheet name="Sheet1 (5)" sheetId="6" state="hidden" r:id="rId7"/>
  </sheets>
  <externalReferences>
    <externalReference r:id="rId8"/>
  </externalReferences>
  <definedNames>
    <definedName name="Arm_Brkt_Weld" localSheetId="1">[1]Sheet2!$Q$13:$U$19</definedName>
    <definedName name="Arm_Brkt_Weld">Sheet2!$Q$13:$U$19</definedName>
    <definedName name="Arm_Initial" localSheetId="1">[1]Sheet1!$AS$5:$AS$6</definedName>
    <definedName name="Arm_Initial">Sheet1!$AS$5:$AS$6</definedName>
    <definedName name="BendRds" localSheetId="1">[1]Sheet2!$K$3:$L$8</definedName>
    <definedName name="BendRds">Sheet2!$K$3:$L$8</definedName>
    <definedName name="BoltDia" localSheetId="1">[1]Sheet2!$B$14:$B$27</definedName>
    <definedName name="BoltDia">Sheet2!$B$14:$B$27</definedName>
    <definedName name="BoltDim" localSheetId="1">[1]Sheet2!$B$14:$K$27</definedName>
    <definedName name="BoltDim">Sheet2!$B$14:$K$27</definedName>
    <definedName name="BoltProperties" localSheetId="1">[1]Sheet2!$Q$3:$W$8</definedName>
    <definedName name="BoltProperties">Sheet2!$Q$3:$W$8</definedName>
    <definedName name="BoltSpec" localSheetId="1">[1]Sheet2!$Q$3:$Q$8</definedName>
    <definedName name="BoltSpec">Sheet2!$Q$3:$Q$8</definedName>
    <definedName name="Bracket">Sheet2!$K$3:$K$8</definedName>
    <definedName name="Cope" localSheetId="1">[1]Sheet2!$I$3:$I$4</definedName>
    <definedName name="Cope">Sheet2!$I$3:$I$4</definedName>
    <definedName name="CurveRD" localSheetId="1">[1]Sheet2!$J$3:$J$5</definedName>
    <definedName name="CurveRD">Sheet2!$J$3:$J$5</definedName>
    <definedName name="Design" localSheetId="1">#REF!</definedName>
    <definedName name="Design" localSheetId="4">#REF!</definedName>
    <definedName name="Design">#REF!</definedName>
    <definedName name="Electrode" localSheetId="1">#REF!</definedName>
    <definedName name="Electrode" localSheetId="4">#REF!</definedName>
    <definedName name="Electrode">#REF!</definedName>
    <definedName name="First_Bolt" localSheetId="1">#REF!</definedName>
    <definedName name="First_Bolt" localSheetId="4">#REF!</definedName>
    <definedName name="First_Bolt" localSheetId="3">#REF!</definedName>
    <definedName name="First_Bolt" localSheetId="0">Sheet1!$AW$25:$AW$35</definedName>
    <definedName name="First_Bolt">#REF!</definedName>
    <definedName name="Grade" localSheetId="1">[1]Sheet2!$N$3:$O$5</definedName>
    <definedName name="Grade">Sheet2!$N$3:$O$5</definedName>
    <definedName name="Orientation" localSheetId="1">[1]Sheet2!$E$3:$E$4</definedName>
    <definedName name="Orientation">Sheet2!$E$3:$E$4</definedName>
    <definedName name="Penetration" localSheetId="1">#REF!</definedName>
    <definedName name="Penetration" localSheetId="4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4">'New Std_110717'!$B$2:$AQ$43</definedName>
    <definedName name="_xlnm.Print_Area" localSheetId="3">'New Std_Old'!$B$2:$AN$34</definedName>
    <definedName name="_xlnm.Print_Area" localSheetId="0">Sheet1!$B$2:$AA$70</definedName>
    <definedName name="_xlnm.Print_Area" localSheetId="6">'Sheet1 (5)'!#REF!</definedName>
    <definedName name="Radius">Sheet1!$AW$45:$AW$46</definedName>
    <definedName name="Shape" localSheetId="1">[1]Sheet2!$B$3:$B$7</definedName>
    <definedName name="Shape">Sheet2!$B$3:$B$7</definedName>
    <definedName name="ShearPlan" localSheetId="1">[1]Sheet2!$M$13:$M$14</definedName>
    <definedName name="ShearPlan">Sheet2!$M$13:$M$14</definedName>
    <definedName name="STS_WELD" localSheetId="1">#REF!</definedName>
    <definedName name="STS_WELD" localSheetId="4">#REF!</definedName>
    <definedName name="STS_WELD">#REF!</definedName>
    <definedName name="Thickness" localSheetId="1">[1]Sheet2!$G$3:$G$10</definedName>
    <definedName name="Thickness">Sheet2!$G$3:$G$10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1" l="1"/>
  <c r="K28" i="15" l="1"/>
  <c r="BB28" i="15" s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AK39" i="15" s="1"/>
  <c r="BG38" i="15"/>
  <c r="BH38" i="15" s="1"/>
  <c r="BF38" i="15"/>
  <c r="AV38" i="15"/>
  <c r="AU38" i="15"/>
  <c r="AO38" i="15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F37" i="15"/>
  <c r="Y37" i="15"/>
  <c r="W37" i="15"/>
  <c r="U37" i="15"/>
  <c r="S37" i="15"/>
  <c r="T37" i="15" s="1"/>
  <c r="P37" i="15"/>
  <c r="O37" i="15"/>
  <c r="AG37" i="15" s="1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S34" i="15"/>
  <c r="BN34" i="15"/>
  <c r="BM34" i="15"/>
  <c r="BP34" i="15" s="1"/>
  <c r="BG34" i="15"/>
  <c r="BH34" i="15" s="1"/>
  <c r="BF34" i="15"/>
  <c r="BI34" i="15" s="1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R28" i="15" s="1"/>
  <c r="BM28" i="15"/>
  <c r="BG28" i="15"/>
  <c r="BH28" i="15" s="1"/>
  <c r="BK28" i="15" s="1"/>
  <c r="BF28" i="15"/>
  <c r="AV28" i="15"/>
  <c r="AU28" i="15"/>
  <c r="AO28" i="15"/>
  <c r="AF28" i="15"/>
  <c r="Y28" i="15"/>
  <c r="W28" i="15"/>
  <c r="U28" i="15"/>
  <c r="S28" i="15"/>
  <c r="T28" i="15" s="1"/>
  <c r="P28" i="15"/>
  <c r="O28" i="15"/>
  <c r="AG28" i="15" s="1"/>
  <c r="L28" i="15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F24" i="15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K16" i="15" s="1"/>
  <c r="BF16" i="15"/>
  <c r="BI16" i="15" s="1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J11" i="15" s="1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I24" i="15" l="1"/>
  <c r="AL20" i="15"/>
  <c r="BK24" i="15"/>
  <c r="BJ38" i="15"/>
  <c r="AL15" i="15"/>
  <c r="BQ26" i="15"/>
  <c r="AY15" i="15"/>
  <c r="AK28" i="15"/>
  <c r="AZ28" i="15"/>
  <c r="BA28" i="15"/>
  <c r="BK29" i="15"/>
  <c r="BU18" i="15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AT35" i="15" s="1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AX39" i="15" s="1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AT15" i="15" s="1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AT34" i="15" s="1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AP39" i="15" l="1"/>
  <c r="AW39" i="15"/>
  <c r="AQ33" i="15"/>
  <c r="AX10" i="15"/>
  <c r="AR10" i="15" s="1"/>
  <c r="BC18" i="15"/>
  <c r="AX28" i="15"/>
  <c r="AR28" i="15" s="1"/>
  <c r="AP24" i="15"/>
  <c r="BC19" i="15"/>
  <c r="BC21" i="15"/>
  <c r="AW28" i="15"/>
  <c r="BC15" i="15"/>
  <c r="AW26" i="15"/>
  <c r="AQ26" i="15" s="1"/>
  <c r="AX41" i="15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R40" i="15" s="1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BC26" i="15"/>
  <c r="AR24" i="15"/>
  <c r="AR41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1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S18" i="14"/>
  <c r="BS17" i="14"/>
  <c r="BR17" i="14"/>
  <c r="BT11" i="14"/>
  <c r="BR7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O17" i="14" s="1"/>
  <c r="BM16" i="14"/>
  <c r="BN16" i="14" s="1"/>
  <c r="BL16" i="14"/>
  <c r="BO16" i="14" s="1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G27" i="14" s="1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J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BI20" i="14" s="1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X28" i="14" s="1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BO24" i="14" l="1"/>
  <c r="BO25" i="14"/>
  <c r="BO7" i="14"/>
  <c r="BQ16" i="14"/>
  <c r="BR18" i="14"/>
  <c r="BT22" i="14"/>
  <c r="AX18" i="14"/>
  <c r="BQ24" i="14"/>
  <c r="BR25" i="14"/>
  <c r="BR23" i="14"/>
  <c r="BT25" i="14"/>
  <c r="BJ34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AP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BB20" i="14" s="1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Q21" i="14" l="1"/>
  <c r="AQ20" i="14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R19" i="13"/>
  <c r="AT19" i="13" s="1"/>
  <c r="AP20" i="13"/>
  <c r="AQ20" i="13" s="1"/>
  <c r="AM20" i="13" s="1"/>
  <c r="AN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M31" i="13" s="1"/>
  <c r="AN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M27" i="13" s="1"/>
  <c r="AN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L19" i="13"/>
  <c r="AM19" i="13"/>
  <c r="AN19" i="13" s="1"/>
  <c r="AL20" i="13"/>
  <c r="AL30" i="13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Q32" i="13" l="1"/>
  <c r="AM32" i="13" s="1"/>
  <c r="AN32" i="13" s="1"/>
  <c r="AL29" i="13"/>
  <c r="AQ29" i="13"/>
  <c r="AM29" i="13" s="1"/>
  <c r="AN29" i="13" s="1"/>
  <c r="AL21" i="13"/>
  <c r="AQ21" i="13"/>
  <c r="AM21" i="13" s="1"/>
  <c r="AN21" i="13" s="1"/>
  <c r="AL28" i="13"/>
  <c r="AQ28" i="13"/>
  <c r="AM24" i="13"/>
  <c r="AN24" i="13" s="1"/>
  <c r="AQ24" i="13"/>
  <c r="AL14" i="13"/>
  <c r="AQ14" i="13"/>
  <c r="AL33" i="13"/>
  <c r="AQ33" i="13"/>
  <c r="AM33" i="13" s="1"/>
  <c r="AN33" i="13" s="1"/>
  <c r="AL24" i="13"/>
  <c r="AQ23" i="13"/>
  <c r="AM23" i="13" s="1"/>
  <c r="AN23" i="13" s="1"/>
  <c r="AL25" i="13"/>
  <c r="AQ25" i="13"/>
  <c r="AL17" i="13"/>
  <c r="AQ17" i="13"/>
  <c r="AM17" i="13" s="1"/>
  <c r="AN17" i="13" s="1"/>
  <c r="AL16" i="13"/>
  <c r="AQ16" i="13"/>
  <c r="AM16" i="13" s="1"/>
  <c r="AN16" i="13" s="1"/>
  <c r="AL18" i="13"/>
  <c r="AQ18" i="13"/>
  <c r="AL32" i="13"/>
  <c r="AL34" i="13"/>
  <c r="AQ34" i="13"/>
  <c r="AL26" i="13"/>
  <c r="AQ26" i="13"/>
  <c r="AM26" i="13" s="1"/>
  <c r="AN26" i="13" s="1"/>
  <c r="AL27" i="13"/>
  <c r="AQ30" i="13"/>
  <c r="AM30" i="13" s="1"/>
  <c r="AN30" i="13" s="1"/>
  <c r="AQ15" i="13"/>
  <c r="AM15" i="13" s="1"/>
  <c r="AN15" i="13" s="1"/>
  <c r="AL8" i="13"/>
  <c r="AL7" i="13"/>
  <c r="AQ7" i="13"/>
  <c r="AM7" i="13" s="1"/>
  <c r="AN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D63" i="11" s="1"/>
  <c r="AQ30" i="11" s="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BL49" i="11" l="1"/>
  <c r="BL50" i="11" s="1"/>
  <c r="AS17" i="1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<sst xmlns="http://schemas.openxmlformats.org/spreadsheetml/2006/main" count="1921" uniqueCount="790">
  <si>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</si>
  <si>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</si>
  <si>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</si>
  <si>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</si>
  <si>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</si>
  <si>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</si>
  <si>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</si>
  <si>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</si>
  <si>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</si>
  <si>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</si>
  <si>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</si>
  <si>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</si>
  <si>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</si>
  <si>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</si>
  <si>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</si>
  <si>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</si>
  <si>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</si>
  <si>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</si>
  <si>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</si>
  <si>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</si>
  <si>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</si>
  <si>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</si>
  <si>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</si>
  <si>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</si>
  <si>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</si>
  <si>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</si>
  <si>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</si>
  <si>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</si>
  <si>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</si>
  <si>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</si>
  <si>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</si>
  <si>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</si>
  <si>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</si>
  <si>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</si>
  <si>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</si>
  <si>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</si>
  <si>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</si>
  <si>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</si>
  <si>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</si>
  <si>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</si>
  <si>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</si>
  <si>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</si>
  <si>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</si>
  <si>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</si>
  <si>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</si>
  <si>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</si>
  <si>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</si>
  <si>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</si>
  <si>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</si>
  <si>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</si>
  <si>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</si>
  <si>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</si>
  <si>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</si>
  <si>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</si>
  <si>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</si>
  <si>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</si>
  <si>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</si>
  <si>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</si>
  <si>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</si>
  <si>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</si>
  <si>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</si>
  <si>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</si>
  <si>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</si>
  <si>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</si>
  <si>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</si>
  <si>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</si>
  <si>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</si>
  <si>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</si>
  <si>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</si>
  <si>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</si>
  <si>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</si>
  <si>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</si>
  <si>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</si>
  <si>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</si>
  <si>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</si>
  <si>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</si>
  <si>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</si>
  <si>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</si>
  <si>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</si>
  <si>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</si>
  <si>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</si>
  <si>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</si>
  <si>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</si>
  <si>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</si>
  <si>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</si>
  <si>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</si>
  <si>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</si>
  <si>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</si>
  <si>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</si>
  <si>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</si>
  <si>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</si>
  <si>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</si>
  <si>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</si>
  <si>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</si>
  <si>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</si>
  <si>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</si>
  <si>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</si>
  <si>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</si>
  <si>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</si>
  <si>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</si>
  <si>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</si>
  <si>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</si>
  <si>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</si>
  <si>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</si>
  <si>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</si>
  <si>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</si>
  <si>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</si>
  <si>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</si>
  <si>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</si>
  <si>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</si>
  <si>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</si>
  <si>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</si>
  <si>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</si>
  <si>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</si>
  <si>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</si>
  <si>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</si>
  <si>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</si>
  <si>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</si>
  <si>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</si>
  <si>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</si>
  <si>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</si>
  <si>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</si>
  <si>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</si>
  <si>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</si>
  <si>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</si>
  <si>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</si>
  <si>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</si>
  <si>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</si>
  <si>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</si>
  <si>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</si>
  <si>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</si>
  <si>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</si>
  <si>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</si>
  <si>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</si>
  <si>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</si>
  <si>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</si>
  <si>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</si>
  <si>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</si>
  <si>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</si>
  <si>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</si>
  <si>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</si>
  <si>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</si>
  <si>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</si>
  <si>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</si>
  <si>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</si>
  <si>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</si>
  <si>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</si>
  <si>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</si>
  <si>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</si>
  <si>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</si>
  <si>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</si>
  <si>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</si>
  <si>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</si>
  <si>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</si>
  <si>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</si>
  <si>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</si>
  <si>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</si>
  <si>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</si>
  <si>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</si>
  <si>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</si>
  <si>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</si>
  <si>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</si>
  <si>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</si>
  <si>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</si>
  <si>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</si>
  <si>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</si>
  <si>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</si>
  <si>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</si>
  <si>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</si>
  <si>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</si>
  <si>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</si>
  <si>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</si>
  <si>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</si>
  <si>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</si>
  <si>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</si>
  <si>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</si>
  <si>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</si>
  <si>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</si>
  <si>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</si>
  <si>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</si>
  <si>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</si>
  <si>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</si>
  <si>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</si>
  <si>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</si>
  <si>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</si>
  <si>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</si>
  <si>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</si>
  <si>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</si>
  <si>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</si>
  <si>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</si>
  <si>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</si>
  <si>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</si>
  <si>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</si>
  <si>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</si>
  <si>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</si>
  <si>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</si>
  <si>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</si>
  <si>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</si>
  <si>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</si>
  <si>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</si>
  <si>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</si>
  <si>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</si>
  <si>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</si>
  <si>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</si>
  <si>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</si>
  <si>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</si>
  <si>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</si>
  <si>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</si>
  <si>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</si>
  <si>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</si>
  <si>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</si>
  <si>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</si>
  <si>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</si>
  <si>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</si>
  <si>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</si>
  <si>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</si>
  <si>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</si>
  <si>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</si>
  <si>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</si>
  <si>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</si>
  <si>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</si>
  <si>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</si>
  <si>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</si>
  <si>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</si>
  <si>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</si>
  <si>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</si>
  <si>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</si>
  <si>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</si>
  <si>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</si>
  <si>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</si>
  <si>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</si>
  <si>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</si>
  <si>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</si>
  <si>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</si>
  <si>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</si>
  <si>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</si>
  <si>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</si>
  <si>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</si>
  <si>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</si>
  <si>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</si>
  <si>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</si>
  <si>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</si>
  <si>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</si>
  <si>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</si>
  <si>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</si>
  <si>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</si>
  <si>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</si>
  <si>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</si>
  <si>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</si>
  <si>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</si>
  <si>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</si>
  <si>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</si>
  <si>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</si>
  <si>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</si>
  <si>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</si>
  <si>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</si>
  <si>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</si>
  <si>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</si>
  <si>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</si>
  <si>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</si>
  <si>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</si>
  <si>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</si>
  <si>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</si>
  <si>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</si>
  <si>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</si>
  <si>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</si>
  <si>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</si>
  <si>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</si>
  <si>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</si>
  <si>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</si>
  <si>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</si>
  <si>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</si>
  <si>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</si>
  <si>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</si>
  <si>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</si>
  <si>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</si>
  <si>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</si>
  <si>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</si>
  <si>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</si>
  <si>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</si>
  <si>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</si>
  <si>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</si>
  <si>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</si>
  <si>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</si>
  <si>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</si>
  <si>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</si>
  <si>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</si>
  <si>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</si>
  <si>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</si>
  <si>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</si>
  <si>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</si>
  <si>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</si>
  <si>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</si>
  <si>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</si>
  <si>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</si>
  <si>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</si>
  <si>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</si>
  <si>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</si>
  <si>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</si>
  <si>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</si>
  <si>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</si>
  <si>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</si>
  <si>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</si>
  <si>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</si>
  <si>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</si>
  <si>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</si>
  <si>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</si>
  <si>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</si>
  <si>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</si>
  <si>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</si>
  <si>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</si>
  <si>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</si>
  <si>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</si>
  <si>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</si>
  <si>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</si>
  <si>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</si>
  <si>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</si>
  <si>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</si>
  <si>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</si>
  <si>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</si>
  <si>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</si>
  <si>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</si>
  <si>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</si>
  <si>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</si>
  <si>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</si>
  <si>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</si>
  <si>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</si>
  <si>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</si>
  <si>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</si>
  <si>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</si>
  <si>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</si>
  <si>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</si>
  <si>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</si>
  <si>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</si>
  <si>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</si>
  <si>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</si>
  <si>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</si>
  <si>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</si>
  <si>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</si>
  <si>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</si>
  <si>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</si>
  <si>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</si>
  <si>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</si>
  <si>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</si>
  <si>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</si>
  <si>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</si>
  <si>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</si>
  <si>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</si>
  <si>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</si>
  <si>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</si>
  <si>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</si>
  <si>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</si>
  <si>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</si>
  <si>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</si>
  <si>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</si>
  <si>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</si>
  <si>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</si>
  <si>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</si>
  <si>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</si>
  <si>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</si>
  <si>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</si>
  <si>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</si>
  <si>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</si>
  <si>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</si>
  <si>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</si>
  <si>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</si>
  <si>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</si>
  <si>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</si>
  <si>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</si>
  <si>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</si>
  <si>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</si>
  <si>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</si>
  <si>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</si>
  <si>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</si>
  <si>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</si>
  <si>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</si>
  <si>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</si>
  <si>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</si>
  <si>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</si>
  <si>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</si>
  <si>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</si>
  <si>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</si>
  <si>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</si>
  <si>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</si>
  <si>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</si>
  <si>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</si>
  <si>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</si>
  <si>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</si>
  <si>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</si>
  <si>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</si>
  <si>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</si>
  <si>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</si>
  <si>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</si>
  <si>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</si>
  <si>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</si>
  <si>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</si>
  <si>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</si>
  <si>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</si>
  <si>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</si>
  <si>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</si>
  <si>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</si>
  <si>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</si>
  <si>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</si>
  <si>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</si>
  <si>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</si>
  <si>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</si>
  <si>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</si>
  <si>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</si>
  <si>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</si>
  <si>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</si>
  <si>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</si>
  <si>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</si>
  <si>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</si>
  <si>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</si>
  <si>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</si>
  <si>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</si>
  <si>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</si>
  <si>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</si>
  <si>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</si>
  <si>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</si>
  <si>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</si>
  <si>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</si>
  <si>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</si>
  <si>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</si>
  <si>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</si>
  <si>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</si>
  <si>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</si>
  <si>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</si>
  <si>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</si>
  <si>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</si>
  <si>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</si>
  <si>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</si>
  <si>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</si>
  <si>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</si>
  <si>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</si>
  <si>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</si>
  <si>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</si>
  <si>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</si>
  <si>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</si>
  <si>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</si>
  <si>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</si>
  <si>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</si>
  <si>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</si>
  <si>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</si>
  <si>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</si>
  <si>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</si>
  <si>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</si>
  <si>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</si>
  <si>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</si>
  <si>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</si>
  <si>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</si>
  <si>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</si>
  <si>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</si>
  <si>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</si>
  <si>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</si>
  <si>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</si>
  <si>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</si>
  <si>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</si>
  <si>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</si>
  <si>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</si>
  <si>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</si>
  <si>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</si>
  <si>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</si>
  <si>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</si>
  <si>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</si>
  <si>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</si>
  <si>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</si>
  <si>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</si>
  <si>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</si>
  <si>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</si>
  <si>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</si>
  <si>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</si>
  <si>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</si>
  <si>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</si>
  <si>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</si>
  <si>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</si>
  <si>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</si>
  <si>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</si>
  <si>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</si>
  <si>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</si>
  <si>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</si>
  <si>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</si>
  <si>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</si>
  <si>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</si>
  <si>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</si>
  <si>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</si>
  <si>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</si>
  <si>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</si>
  <si>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</si>
  <si>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</si>
  <si>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</si>
  <si>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</si>
  <si>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</si>
  <si>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</si>
  <si>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</si>
  <si>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</si>
  <si>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</si>
  <si>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</si>
  <si>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</si>
  <si>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</si>
  <si>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</si>
  <si>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</si>
  <si>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</si>
  <si>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</si>
  <si>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</si>
  <si>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</si>
  <si>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</si>
  <si>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</si>
  <si>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</si>
  <si>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</si>
  <si>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</si>
  <si>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</si>
  <si>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</si>
  <si>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</si>
  <si>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</si>
  <si>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</si>
  <si>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</si>
  <si>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</si>
  <si>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</si>
  <si>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</si>
  <si>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</si>
  <si>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</si>
  <si>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</si>
  <si>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</si>
  <si>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</si>
  <si>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</si>
  <si>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</si>
  <si>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</si>
  <si>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</si>
  <si>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</si>
  <si>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</si>
  <si>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</si>
  <si>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</si>
  <si>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</si>
  <si>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</si>
  <si>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</si>
  <si>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</si>
  <si>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</si>
  <si>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</si>
  <si>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</si>
  <si>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</si>
  <si>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</si>
  <si>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</si>
  <si>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</si>
  <si>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</si>
  <si>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</si>
  <si>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</si>
  <si>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</si>
  <si>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</si>
  <si>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</si>
  <si>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</si>
  <si>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</si>
  <si>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</si>
  <si>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</si>
  <si>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</si>
  <si>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</si>
  <si>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</si>
  <si>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</si>
  <si>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</si>
  <si>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</si>
  <si>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</si>
  <si>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</si>
  <si>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</si>
  <si>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</si>
  <si>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</si>
  <si>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</si>
  <si>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</si>
  <si>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</si>
  <si>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</si>
  <si>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</si>
  <si>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</si>
  <si>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</si>
  <si>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</si>
  <si>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</si>
  <si>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</si>
  <si>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</si>
  <si>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</si>
  <si>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</si>
  <si>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</si>
  <si>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</si>
  <si>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</si>
  <si>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</si>
  <si>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</si>
  <si>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</si>
  <si>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</si>
  <si>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</si>
  <si>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</si>
  <si>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</si>
  <si>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</si>
  <si>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</si>
  <si>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</si>
  <si>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</si>
  <si>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</si>
  <si>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</si>
  <si>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</si>
  <si>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</si>
  <si>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</si>
  <si>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</si>
  <si>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</si>
  <si>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</si>
  <si>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</si>
  <si>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</si>
  <si>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</si>
  <si>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</si>
  <si>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</si>
  <si>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</si>
  <si>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</si>
  <si>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</si>
  <si>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</si>
  <si>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</si>
  <si>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</si>
  <si>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</si>
  <si>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</si>
  <si>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</si>
  <si>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</si>
  <si>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</si>
  <si>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</si>
  <si>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</si>
  <si>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</si>
  <si>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</si>
  <si>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</si>
  <si>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</si>
  <si>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</si>
  <si>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</si>
  <si>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</si>
  <si>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</si>
  <si>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</si>
  <si>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</si>
  <si>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</si>
  <si>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</si>
  <si>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</si>
  <si>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</si>
  <si>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</si>
  <si>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</si>
  <si>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</si>
  <si>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</si>
  <si>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PT ARM TO POLE CONNECTION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</si>
  <si>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</si>
  <si>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</si>
  <si>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</si>
  <si>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</si>
  <si>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</si>
  <si>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</si>
  <si>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</si>
  <si>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</si>
  <si>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</si>
  <si>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</si>
  <si>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</si>
  <si>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</si>
  <si>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</si>
  <si>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</si>
  <si>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</si>
  <si>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</si>
  <si>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</si>
  <si>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</si>
  <si>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</si>
  <si>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</si>
  <si>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</si>
  <si>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</si>
  <si>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</si>
  <si>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</si>
  <si>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</si>
  <si>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</si>
  <si>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</si>
  <si>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</si>
  <si>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</si>
  <si>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</si>
  <si>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</si>
  <si>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</si>
  <si>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</si>
  <si>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</si>
  <si>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</si>
  <si>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</si>
  <si>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</si>
  <si>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</si>
  <si>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</si>
  <si>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</si>
  <si>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</si>
  <si>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</si>
  <si>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</si>
  <si>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</si>
  <si>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</si>
  <si>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</si>
  <si>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</si>
  <si>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</si>
  <si>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</si>
  <si>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</si>
  <si>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</si>
  <si>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</si>
  <si>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</si>
  <si>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</si>
  <si>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</si>
  <si>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</si>
  <si>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</si>
  <si>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</si>
  <si>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</si>
  <si>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</si>
  <si>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</si>
  <si>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</si>
  <si>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</si>
  <si>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</si>
  <si>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</si>
  <si>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</si>
  <si>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</si>
  <si>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</si>
  <si>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</si>
  <si>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</si>
  <si>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</si>
  <si>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</si>
  <si>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</si>
  <si>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</si>
  <si>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</si>
  <si>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</si>
  <si>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</si>
  <si>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</si>
  <si>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</si>
  <si>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</si>
  <si>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</si>
  <si>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</si>
  <si>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</si>
  <si>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</si>
  <si>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</si>
  <si>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</si>
  <si>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</si>
  <si>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</si>
  <si>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</si>
  <si>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</si>
  <si>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</si>
  <si>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</si>
  <si>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</si>
  <si>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</si>
  <si>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</si>
  <si>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</si>
  <si>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</si>
  <si>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</si>
  <si>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</si>
  <si>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</si>
  <si>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</si>
  <si>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</si>
  <si>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</si>
  <si>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</si>
  <si>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</si>
  <si>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</si>
  <si>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</si>
  <si>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</si>
  <si>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</si>
  <si>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</si>
  <si>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</si>
  <si>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</si>
  <si>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</si>
  <si>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</si>
  <si>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</si>
  <si>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</si>
  <si>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</si>
  <si>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</si>
  <si>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</si>
  <si>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</si>
  <si>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</si>
  <si>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</si>
  <si>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</si>
  <si>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</si>
  <si>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</si>
  <si>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</si>
  <si>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</si>
  <si>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</si>
  <si>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</si>
  <si>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</si>
  <si>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</si>
  <si>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</si>
  <si>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</si>
  <si>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</si>
  <si>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</si>
  <si>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</si>
  <si>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</si>
  <si>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</si>
  <si>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</si>
  <si>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</si>
  <si>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</si>
  <si>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</si>
  <si>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</si>
  <si>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</si>
  <si>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</si>
  <si>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</si>
  <si>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</si>
  <si>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</si>
  <si>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</si>
  <si>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</si>
  <si>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</si>
  <si>
    <t>Sabre Software Development</t>
  </si>
  <si>
    <t>Bracket C3-60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</si>
</sst>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233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9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10" fillId="0" borderId="0" xfId="0" applyFont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/>
    <xf numFmtId="0" fontId="2" fillId="0" borderId="8" xfId="0" applyFont="1" applyBorder="1"/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9" xfId="0" applyFont="1" applyBorder="1" applyAlignment="1">
      <alignment horizontal="right"/>
    </xf>
    <xf numFmtId="0" fontId="10" fillId="0" borderId="9" xfId="0" applyFont="1" applyBorder="1"/>
    <xf numFmtId="0" fontId="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0" applyFont="1"/>
    <xf numFmtId="0" fontId="15" fillId="0" borderId="0" xfId="0" applyFont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Font="1" applyBorder="1" applyAlignment="1">
      <alignment horizontal="center"/>
    </xf>
    <xf numFmtId="0" fontId="14" fillId="0" borderId="0" xfId="0" applyFont="1"/>
    <xf numFmtId="0" fontId="22" fillId="0" borderId="0" xfId="0" applyFont="1"/>
    <xf numFmtId="0" fontId="21" fillId="0" borderId="0" xfId="0" applyFont="1"/>
    <xf numFmtId="0" fontId="9" fillId="0" borderId="0" xfId="0" applyFont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Alignment="1">
      <alignment horizontal="right"/>
    </xf>
    <xf numFmtId="0" fontId="24" fillId="0" borderId="0" xfId="0" applyFont="1"/>
    <xf numFmtId="0" fontId="25" fillId="0" borderId="0" xfId="0" applyFont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Font="1" applyBorder="1" applyAlignment="1">
      <alignment horizontal="center"/>
    </xf>
    <xf numFmtId="0" fontId="26" fillId="0" borderId="0" xfId="0" applyFont="1"/>
    <xf numFmtId="0" fontId="9" fillId="0" borderId="17" xfId="0" applyFont="1" applyBorder="1"/>
    <xf numFmtId="0" fontId="9" fillId="0" borderId="11" xfId="0" applyFont="1" applyBorder="1"/>
    <xf numFmtId="0" fontId="27" fillId="0" borderId="0" xfId="0" applyFont="1" applyAlignment="1">
      <alignment horizontal="right"/>
    </xf>
    <xf numFmtId="0" fontId="9" fillId="0" borderId="18" xfId="0" applyFont="1" applyBorder="1"/>
    <xf numFmtId="165" fontId="9" fillId="0" borderId="0" xfId="0" applyNumberFormat="1" applyFont="1"/>
    <xf numFmtId="164" fontId="9" fillId="0" borderId="0" xfId="0" applyNumberFormat="1" applyFont="1"/>
    <xf numFmtId="2" fontId="9" fillId="0" borderId="1" xfId="0" applyNumberFormat="1" applyFont="1" applyBorder="1" applyAlignment="1">
      <alignment horizontal="center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10" xfId="0" applyFont="1" applyBorder="1"/>
    <xf numFmtId="0" fontId="8" fillId="0" borderId="8" xfId="0" applyFont="1" applyBorder="1"/>
    <xf numFmtId="0" fontId="31" fillId="0" borderId="8" xfId="0" applyFont="1" applyBorder="1"/>
    <xf numFmtId="0" fontId="24" fillId="0" borderId="0" xfId="0" applyFont="1" applyAlignment="1">
      <alignment horizontal="center"/>
    </xf>
    <xf numFmtId="0" fontId="24" fillId="0" borderId="0" xfId="0" applyFont="1" applyAlignment="1" applyProtection="1">
      <alignment horizontal="right"/>
      <protection locked="0"/>
    </xf>
    <xf numFmtId="2" fontId="9" fillId="0" borderId="0" xfId="0" applyNumberFormat="1" applyFont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9" fillId="0" borderId="11" xfId="0" applyFont="1" applyBorder="1" applyAlignment="1">
      <alignment horizontal="right"/>
    </xf>
    <xf numFmtId="0" fontId="23" fillId="0" borderId="0" xfId="0" applyFont="1"/>
    <xf numFmtId="0" fontId="34" fillId="0" borderId="0" xfId="0" applyFont="1"/>
    <xf numFmtId="0" fontId="34" fillId="0" borderId="0" xfId="0" applyFont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/>
    <xf numFmtId="167" fontId="15" fillId="0" borderId="0" xfId="0" applyNumberFormat="1" applyFont="1"/>
    <xf numFmtId="167" fontId="14" fillId="0" borderId="0" xfId="0" applyNumberFormat="1" applyFont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13" fontId="3" fillId="0" borderId="2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0" fontId="3" fillId="0" borderId="0" xfId="0" applyFont="1" applyAlignment="1">
      <alignment horizontal="right" vertical="center"/>
    </xf>
    <xf numFmtId="0" fontId="39" fillId="0" borderId="0" xfId="0" applyFont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Alignment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13" fontId="33" fillId="0" borderId="1" xfId="0" applyNumberFormat="1" applyFont="1" applyBorder="1" applyAlignment="1" applyProtection="1">
      <alignment horizontal="center"/>
      <protection locked="0"/>
    </xf>
    <xf numFmtId="13" fontId="4" fillId="0" borderId="1" xfId="0" applyNumberFormat="1" applyFont="1" applyBorder="1" applyAlignment="1" applyProtection="1">
      <alignment horizontal="center"/>
      <protection locked="0"/>
    </xf>
    <xf numFmtId="0" fontId="24" fillId="0" borderId="1" xfId="0" applyFont="1" applyBorder="1" applyAlignment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/>
    <xf numFmtId="0" fontId="37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0" borderId="8" xfId="0" applyFont="1" applyBorder="1" applyProtection="1">
      <protection locked="0"/>
    </xf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/>
    </xf>
    <xf numFmtId="164" fontId="48" fillId="0" borderId="2" xfId="0" applyNumberFormat="1" applyFont="1" applyBorder="1" applyAlignment="1">
      <alignment horizontal="right"/>
    </xf>
    <xf numFmtId="0" fontId="47" fillId="0" borderId="0" xfId="0" applyFont="1"/>
    <xf numFmtId="2" fontId="0" fillId="0" borderId="0" xfId="0" applyNumberFormat="1"/>
    <xf numFmtId="9" fontId="13" fillId="0" borderId="0" xfId="1" applyFont="1" applyFill="1" applyProtection="1"/>
    <xf numFmtId="2" fontId="0" fillId="0" borderId="2" xfId="0" applyNumberFormat="1" applyBorder="1" applyAlignment="1">
      <alignment horizontal="center" vertical="center" shrinkToFit="1"/>
    </xf>
    <xf numFmtId="2" fontId="0" fillId="0" borderId="1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4" fontId="0" fillId="0" borderId="2" xfId="0" applyNumberFormat="1" applyBorder="1" applyAlignment="1">
      <alignment horizontal="center" vertical="center" shrinkToFit="1"/>
    </xf>
    <xf numFmtId="164" fontId="0" fillId="0" borderId="1" xfId="0" applyNumberFormat="1" applyBorder="1"/>
    <xf numFmtId="164" fontId="0" fillId="0" borderId="2" xfId="0" applyNumberFormat="1" applyBorder="1" applyAlignment="1">
      <alignment horizontal="center" vertical="center"/>
    </xf>
    <xf numFmtId="2" fontId="48" fillId="0" borderId="1" xfId="0" applyNumberFormat="1" applyFont="1" applyBorder="1" applyAlignment="1">
      <alignment horizontal="right"/>
    </xf>
    <xf numFmtId="0" fontId="14" fillId="0" borderId="8" xfId="0" applyFont="1" applyBorder="1" applyAlignment="1">
      <alignment horizontal="left"/>
    </xf>
    <xf numFmtId="0" fontId="51" fillId="0" borderId="9" xfId="0" applyFont="1" applyBorder="1"/>
    <xf numFmtId="0" fontId="50" fillId="0" borderId="0" xfId="0" applyFont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>
      <alignment horizontal="center"/>
    </xf>
    <xf numFmtId="0" fontId="55" fillId="0" borderId="0" xfId="0" applyFont="1" applyAlignment="1">
      <alignment horizontal="right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Border="1" applyAlignment="1">
      <alignment horizontal="center"/>
    </xf>
    <xf numFmtId="165" fontId="47" fillId="0" borderId="1" xfId="0" applyNumberFormat="1" applyFont="1" applyBorder="1" applyProtection="1">
      <protection locked="0"/>
    </xf>
    <xf numFmtId="0" fontId="56" fillId="0" borderId="0" xfId="0" applyFont="1" applyAlignment="1">
      <alignment horizontal="right"/>
    </xf>
    <xf numFmtId="2" fontId="5" fillId="0" borderId="0" xfId="0" applyNumberFormat="1" applyFont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/>
    <xf numFmtId="0" fontId="53" fillId="0" borderId="0" xfId="0" applyFont="1" applyAlignment="1">
      <alignment horizontal="right"/>
    </xf>
    <xf numFmtId="0" fontId="9" fillId="0" borderId="0" xfId="0" applyFont="1" applyAlignment="1" applyProtection="1">
      <alignment horizontal="center"/>
      <protection locked="0"/>
    </xf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 vertical="top"/>
    </xf>
    <xf numFmtId="0" fontId="54" fillId="0" borderId="0" xfId="0" applyFont="1"/>
    <xf numFmtId="0" fontId="54" fillId="0" borderId="0" xfId="0" applyFont="1" applyAlignment="1">
      <alignment horizontal="center"/>
    </xf>
    <xf numFmtId="2" fontId="54" fillId="0" borderId="1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25" fillId="0" borderId="1" xfId="0" applyNumberFormat="1" applyFont="1" applyBorder="1" applyAlignment="1">
      <alignment horizontal="center"/>
    </xf>
    <xf numFmtId="0" fontId="45" fillId="3" borderId="531" xfId="0" applyFont="1" applyFill="1" applyBorder="1" applyAlignment="1">
      <alignment horizontal="center" vertical="center" wrapText="1"/>
    </xf>
    <xf numFmtId="0" fontId="45" fillId="4" borderId="901" xfId="0" applyFont="1" applyFill="1" applyBorder="1" applyAlignment="1">
      <alignment horizontal="center" vertical="center" wrapText="1"/>
    </xf>
    <xf numFmtId="0" fontId="45" fillId="3" borderId="931" xfId="0" applyFont="1" applyFill="1" applyBorder="1" applyAlignment="1">
      <alignment horizontal="center" vertical="center" wrapText="1"/>
    </xf>
    <xf numFmtId="0" fontId="59" fillId="3" borderId="218" xfId="0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Font="1" applyFill="1" applyBorder="1" applyAlignment="1">
      <alignment horizontal="center" vertical="center" wrapText="1"/>
    </xf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Font="1" applyFill="1" applyBorder="1" applyAlignment="1">
      <alignment horizontal="center" vertical="center" wrapText="1"/>
    </xf>
    <xf numFmtId="0" fontId="45" fillId="3" borderId="1036" xfId="0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Font="1" applyFill="1" applyBorder="1" applyAlignment="1">
      <alignment horizontal="center" vertical="center" wrapText="1"/>
    </xf>
    <xf numFmtId="0" fontId="59" fillId="4" borderId="1046" xfId="0" applyFont="1" applyFill="1" applyBorder="1" applyAlignment="1">
      <alignment horizontal="center" vertical="center" wrapText="1"/>
    </xf>
    <xf numFmtId="0" fontId="45" fillId="3" borderId="26" xfId="0" applyFont="1" applyFill="1" applyBorder="1" applyAlignment="1">
      <alignment horizontal="center" vertical="center" wrapText="1"/>
    </xf>
    <xf numFmtId="0" fontId="45" fillId="4" borderId="26" xfId="0" applyFont="1" applyFill="1" applyBorder="1" applyAlignment="1">
      <alignment horizontal="center" vertical="center" wrapText="1"/>
    </xf>
    <xf numFmtId="0" fontId="45" fillId="3" borderId="1108" xfId="0" applyFont="1" applyFill="1" applyBorder="1" applyAlignment="1">
      <alignment horizontal="center" vertical="center" wrapText="1"/>
    </xf>
    <xf numFmtId="0" fontId="45" fillId="4" borderId="1109" xfId="0" applyFont="1" applyFill="1" applyBorder="1" applyAlignment="1">
      <alignment horizontal="center" vertical="center" wrapText="1"/>
    </xf>
    <xf numFmtId="0" fontId="45" fillId="3" borderId="1110" xfId="0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Font="1" applyFill="1" applyBorder="1" applyAlignment="1">
      <alignment horizontal="center" vertical="center" wrapText="1"/>
    </xf>
    <xf numFmtId="0" fontId="59" fillId="4" borderId="1092" xfId="0" applyFont="1" applyFill="1" applyBorder="1" applyAlignment="1">
      <alignment horizontal="center" vertical="center" wrapText="1"/>
    </xf>
    <xf numFmtId="0" fontId="59" fillId="3" borderId="1094" xfId="0" applyFont="1" applyFill="1" applyBorder="1" applyAlignment="1">
      <alignment horizontal="center" vertical="center" wrapText="1"/>
    </xf>
    <xf numFmtId="0" fontId="59" fillId="4" borderId="1096" xfId="0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Font="1" applyFill="1" applyBorder="1" applyAlignment="1">
      <alignment horizontal="center" vertical="center" wrapText="1"/>
    </xf>
    <xf numFmtId="0" fontId="59" fillId="3" borderId="1104" xfId="0" applyFont="1" applyFill="1" applyBorder="1" applyAlignment="1">
      <alignment horizontal="center" vertical="center" wrapText="1"/>
    </xf>
    <xf numFmtId="0" fontId="59" fillId="4" borderId="1105" xfId="0" applyFont="1" applyFill="1" applyBorder="1" applyAlignment="1">
      <alignment horizontal="center" vertical="center" wrapText="1"/>
    </xf>
    <xf numFmtId="0" fontId="59" fillId="3" borderId="1106" xfId="0" applyFont="1" applyFill="1" applyBorder="1" applyAlignment="1">
      <alignment horizontal="center" vertical="center" wrapText="1"/>
    </xf>
    <xf numFmtId="0" fontId="59" fillId="4" borderId="1107" xfId="0" applyFont="1" applyFill="1" applyBorder="1" applyAlignment="1">
      <alignment horizontal="center" vertical="center" wrapText="1"/>
    </xf>
    <xf numFmtId="0" fontId="45" fillId="3" borderId="1045" xfId="0" applyFont="1" applyFill="1" applyBorder="1" applyAlignment="1">
      <alignment horizontal="center" vertical="center" wrapText="1"/>
    </xf>
    <xf numFmtId="0" fontId="45" fillId="4" borderId="909" xfId="0" applyFont="1" applyFill="1" applyBorder="1" applyAlignment="1">
      <alignment horizontal="center" vertical="center" wrapText="1"/>
    </xf>
    <xf numFmtId="0" fontId="45" fillId="3" borderId="939" xfId="0" applyFont="1" applyFill="1" applyBorder="1" applyAlignment="1">
      <alignment horizontal="center" vertical="center" wrapText="1"/>
    </xf>
    <xf numFmtId="0" fontId="45" fillId="4" borderId="1065" xfId="0" applyFont="1" applyFill="1" applyBorder="1" applyAlignment="1">
      <alignment horizontal="center" vertical="center" wrapText="1"/>
    </xf>
    <xf numFmtId="0" fontId="59" fillId="4" borderId="438" xfId="0" applyFont="1" applyFill="1" applyBorder="1" applyAlignment="1">
      <alignment horizontal="center" vertical="center" wrapText="1"/>
    </xf>
    <xf numFmtId="0" fontId="59" fillId="4" borderId="439" xfId="0" applyFont="1" applyFill="1" applyBorder="1" applyAlignment="1">
      <alignment horizontal="center" vertical="center" wrapText="1"/>
    </xf>
    <xf numFmtId="0" fontId="59" fillId="3" borderId="468" xfId="0" applyFont="1" applyFill="1" applyBorder="1" applyAlignment="1">
      <alignment horizontal="center" vertical="center" wrapText="1"/>
    </xf>
    <xf numFmtId="0" fontId="59" fillId="3" borderId="469" xfId="0" applyFont="1" applyFill="1" applyBorder="1" applyAlignment="1">
      <alignment horizontal="center" vertical="center" wrapText="1"/>
    </xf>
    <xf numFmtId="0" fontId="59" fillId="4" borderId="498" xfId="0" applyFont="1" applyFill="1" applyBorder="1" applyAlignment="1">
      <alignment horizontal="center" vertical="center" wrapText="1"/>
    </xf>
    <xf numFmtId="0" fontId="59" fillId="4" borderId="499" xfId="0" applyFont="1" applyFill="1" applyBorder="1" applyAlignment="1">
      <alignment horizontal="center" vertical="center" wrapText="1"/>
    </xf>
    <xf numFmtId="0" fontId="59" fillId="3" borderId="528" xfId="0" applyFont="1" applyFill="1" applyBorder="1" applyAlignment="1">
      <alignment horizontal="center" vertical="center" wrapText="1"/>
    </xf>
    <xf numFmtId="0" fontId="59" fillId="3" borderId="529" xfId="0" applyFont="1" applyFill="1" applyBorder="1" applyAlignment="1">
      <alignment horizontal="center" vertical="center" wrapText="1"/>
    </xf>
    <xf numFmtId="0" fontId="59" fillId="4" borderId="559" xfId="0" applyFont="1" applyFill="1" applyBorder="1" applyAlignment="1">
      <alignment horizontal="center" vertical="center" wrapText="1"/>
    </xf>
    <xf numFmtId="0" fontId="59" fillId="4" borderId="560" xfId="0" applyFont="1" applyFill="1" applyBorder="1" applyAlignment="1">
      <alignment horizontal="center" vertical="center" wrapText="1"/>
    </xf>
    <xf numFmtId="0" fontId="59" fillId="3" borderId="590" xfId="0" applyFont="1" applyFill="1" applyBorder="1" applyAlignment="1">
      <alignment horizontal="center" vertical="center" wrapText="1"/>
    </xf>
    <xf numFmtId="0" fontId="59" fillId="3" borderId="591" xfId="0" applyFont="1" applyFill="1" applyBorder="1" applyAlignment="1">
      <alignment horizontal="center" vertical="center" wrapText="1"/>
    </xf>
    <xf numFmtId="0" fontId="59" fillId="4" borderId="615" xfId="0" applyFont="1" applyFill="1" applyBorder="1" applyAlignment="1">
      <alignment horizontal="center" vertical="center" wrapText="1"/>
    </xf>
    <xf numFmtId="0" fontId="59" fillId="4" borderId="616" xfId="0" applyFont="1" applyFill="1" applyBorder="1" applyAlignment="1">
      <alignment horizontal="center" vertical="center" wrapText="1"/>
    </xf>
    <xf numFmtId="0" fontId="59" fillId="3" borderId="641" xfId="0" applyFont="1" applyFill="1" applyBorder="1" applyAlignment="1">
      <alignment horizontal="center" vertical="center" wrapText="1"/>
    </xf>
    <xf numFmtId="0" fontId="59" fillId="3" borderId="642" xfId="0" applyFont="1" applyFill="1" applyBorder="1" applyAlignment="1">
      <alignment horizontal="center" vertical="center" wrapText="1"/>
    </xf>
    <xf numFmtId="0" fontId="59" fillId="4" borderId="668" xfId="0" applyFont="1" applyFill="1" applyBorder="1" applyAlignment="1">
      <alignment horizontal="center" vertical="center" wrapText="1"/>
    </xf>
    <xf numFmtId="0" fontId="59" fillId="4" borderId="669" xfId="0" applyFont="1" applyFill="1" applyBorder="1" applyAlignment="1">
      <alignment horizontal="center" vertical="center" wrapText="1"/>
    </xf>
    <xf numFmtId="0" fontId="59" fillId="3" borderId="699" xfId="0" applyFont="1" applyFill="1" applyBorder="1" applyAlignment="1">
      <alignment horizontal="center" vertical="center" wrapText="1"/>
    </xf>
    <xf numFmtId="0" fontId="59" fillId="3" borderId="700" xfId="0" applyFont="1" applyFill="1" applyBorder="1" applyAlignment="1">
      <alignment horizontal="center" vertical="center" wrapText="1"/>
    </xf>
    <xf numFmtId="0" fontId="59" fillId="4" borderId="729" xfId="0" applyFont="1" applyFill="1" applyBorder="1" applyAlignment="1">
      <alignment horizontal="center" vertical="center" wrapText="1"/>
    </xf>
    <xf numFmtId="0" fontId="59" fillId="4" borderId="730" xfId="0" applyFont="1" applyFill="1" applyBorder="1" applyAlignment="1">
      <alignment horizontal="center" vertical="center" wrapText="1"/>
    </xf>
    <xf numFmtId="0" fontId="59" fillId="3" borderId="760" xfId="0" applyFont="1" applyFill="1" applyBorder="1" applyAlignment="1">
      <alignment horizontal="center" vertical="center" wrapText="1"/>
    </xf>
    <xf numFmtId="0" fontId="59" fillId="3" borderId="761" xfId="0" applyFont="1" applyFill="1" applyBorder="1" applyAlignment="1">
      <alignment horizontal="center" vertical="center" wrapText="1"/>
    </xf>
    <xf numFmtId="0" fontId="59" fillId="4" borderId="791" xfId="0" applyFont="1" applyFill="1" applyBorder="1" applyAlignment="1">
      <alignment horizontal="center" vertical="center" wrapText="1"/>
    </xf>
    <xf numFmtId="0" fontId="59" fillId="4" borderId="792" xfId="0" applyFont="1" applyFill="1" applyBorder="1" applyAlignment="1">
      <alignment horizontal="center" vertical="center" wrapText="1"/>
    </xf>
    <xf numFmtId="0" fontId="59" fillId="3" borderId="821" xfId="0" applyFont="1" applyFill="1" applyBorder="1" applyAlignment="1">
      <alignment horizontal="center" vertical="center" wrapText="1"/>
    </xf>
    <xf numFmtId="0" fontId="59" fillId="3" borderId="822" xfId="0" applyFont="1" applyFill="1" applyBorder="1" applyAlignment="1">
      <alignment horizontal="center" vertical="center" wrapText="1"/>
    </xf>
    <xf numFmtId="0" fontId="59" fillId="4" borderId="851" xfId="0" applyFont="1" applyFill="1" applyBorder="1" applyAlignment="1">
      <alignment horizontal="center" vertical="center" wrapText="1"/>
    </xf>
    <xf numFmtId="0" fontId="59" fillId="4" borderId="852" xfId="0" applyFont="1" applyFill="1" applyBorder="1" applyAlignment="1">
      <alignment horizontal="center" vertical="center" wrapText="1"/>
    </xf>
    <xf numFmtId="0" fontId="59" fillId="3" borderId="881" xfId="0" applyFont="1" applyFill="1" applyBorder="1" applyAlignment="1">
      <alignment horizontal="center" vertical="center" wrapText="1"/>
    </xf>
    <xf numFmtId="0" fontId="59" fillId="3" borderId="882" xfId="0" applyFont="1" applyFill="1" applyBorder="1" applyAlignment="1">
      <alignment horizontal="center" vertical="center" wrapText="1"/>
    </xf>
    <xf numFmtId="0" fontId="59" fillId="4" borderId="912" xfId="0" applyFont="1" applyFill="1" applyBorder="1" applyAlignment="1">
      <alignment horizontal="center" vertical="center" wrapText="1"/>
    </xf>
    <xf numFmtId="0" fontId="59" fillId="3" borderId="942" xfId="0" applyFont="1" applyFill="1" applyBorder="1" applyAlignment="1">
      <alignment horizontal="center" vertical="center" wrapText="1"/>
    </xf>
    <xf numFmtId="0" fontId="59" fillId="3" borderId="943" xfId="0" applyFont="1" applyFill="1" applyBorder="1" applyAlignment="1">
      <alignment horizontal="center" vertical="center" wrapText="1"/>
    </xf>
    <xf numFmtId="0" fontId="59" fillId="4" borderId="1067" xfId="0" applyFont="1" applyFill="1" applyBorder="1" applyAlignment="1">
      <alignment horizontal="center" vertical="center" wrapText="1"/>
    </xf>
    <xf numFmtId="0" fontId="59" fillId="4" borderId="1068" xfId="0" applyFont="1" applyFill="1" applyBorder="1" applyAlignment="1">
      <alignment horizontal="center" vertical="center" wrapText="1"/>
    </xf>
    <xf numFmtId="0" fontId="59" fillId="3" borderId="26" xfId="0" applyFont="1" applyFill="1" applyBorder="1" applyAlignment="1">
      <alignment horizontal="center" vertical="center" wrapText="1"/>
    </xf>
    <xf numFmtId="0" fontId="59" fillId="4" borderId="26" xfId="0" applyFont="1" applyFill="1" applyBorder="1" applyAlignment="1">
      <alignment horizontal="center" vertical="center" wrapText="1"/>
    </xf>
    <xf numFmtId="0" fontId="59" fillId="3" borderId="1038" xfId="0" applyFont="1" applyFill="1" applyBorder="1" applyAlignment="1">
      <alignment horizontal="center" vertical="center" wrapText="1"/>
    </xf>
    <xf numFmtId="0" fontId="59" fillId="3" borderId="1081" xfId="0" applyFont="1" applyFill="1" applyBorder="1" applyAlignment="1">
      <alignment horizontal="center" vertical="center" wrapText="1"/>
    </xf>
    <xf numFmtId="0" fontId="59" fillId="4" borderId="896" xfId="0" applyFont="1" applyFill="1" applyBorder="1" applyAlignment="1">
      <alignment horizontal="center" vertical="center" wrapText="1"/>
    </xf>
    <xf numFmtId="0" fontId="59" fillId="4" borderId="1082" xfId="0" applyFont="1" applyFill="1" applyBorder="1" applyAlignment="1">
      <alignment horizontal="center" vertical="center" wrapText="1"/>
    </xf>
    <xf numFmtId="0" fontId="59" fillId="3" borderId="926" xfId="0" applyFont="1" applyFill="1" applyBorder="1" applyAlignment="1">
      <alignment horizontal="center" vertical="center" wrapText="1"/>
    </xf>
    <xf numFmtId="0" fontId="59" fillId="3" borderId="1083" xfId="0" applyFont="1" applyFill="1" applyBorder="1" applyAlignment="1">
      <alignment horizontal="center" vertical="center" wrapText="1"/>
    </xf>
    <xf numFmtId="0" fontId="59" fillId="4" borderId="1058" xfId="0" applyFont="1" applyFill="1" applyBorder="1" applyAlignment="1">
      <alignment horizontal="center" vertical="center" wrapText="1"/>
    </xf>
    <xf numFmtId="0" fontId="59" fillId="4" borderId="1084" xfId="0" applyFont="1" applyFill="1" applyBorder="1" applyAlignment="1">
      <alignment horizontal="center" vertical="center" wrapText="1"/>
    </xf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Font="1" applyFill="1" applyBorder="1" applyAlignment="1">
      <alignment horizontal="center" vertical="center" wrapText="1"/>
    </xf>
    <xf numFmtId="0" fontId="45" fillId="3" borderId="477" xfId="0" applyFont="1" applyFill="1" applyBorder="1" applyAlignment="1">
      <alignment horizontal="center" vertical="center" wrapText="1"/>
    </xf>
    <xf numFmtId="0" fontId="45" fillId="4" borderId="507" xfId="0" applyFont="1" applyFill="1" applyBorder="1" applyAlignment="1">
      <alignment horizontal="center" vertical="center" wrapText="1"/>
    </xf>
    <xf numFmtId="0" fontId="45" fillId="3" borderId="538" xfId="0" applyFont="1" applyFill="1" applyBorder="1" applyAlignment="1">
      <alignment horizontal="center" vertical="center" wrapText="1"/>
    </xf>
    <xf numFmtId="0" fontId="45" fillId="4" borderId="569" xfId="0" applyFont="1" applyFill="1" applyBorder="1" applyAlignment="1">
      <alignment horizontal="center" vertical="center" wrapText="1"/>
    </xf>
    <xf numFmtId="0" fontId="45" fillId="3" borderId="225" xfId="0" applyFont="1" applyFill="1" applyBorder="1" applyAlignment="1">
      <alignment horizontal="center" vertical="center" wrapText="1"/>
    </xf>
    <xf numFmtId="0" fontId="45" fillId="4" borderId="625" xfId="0" applyFont="1" applyFill="1" applyBorder="1" applyAlignment="1">
      <alignment horizontal="center" vertical="center" wrapText="1"/>
    </xf>
    <xf numFmtId="0" fontId="45" fillId="3" borderId="650" xfId="0" applyFont="1" applyFill="1" applyBorder="1" applyAlignment="1">
      <alignment horizontal="center" vertical="center" wrapText="1"/>
    </xf>
    <xf numFmtId="0" fontId="45" fillId="4" borderId="678" xfId="0" applyFont="1" applyFill="1" applyBorder="1" applyAlignment="1">
      <alignment horizontal="center" vertical="center" wrapText="1"/>
    </xf>
    <xf numFmtId="0" fontId="45" fillId="3" borderId="709" xfId="0" applyFont="1" applyFill="1" applyBorder="1" applyAlignment="1">
      <alignment horizontal="center" vertical="center" wrapText="1"/>
    </xf>
    <xf numFmtId="0" fontId="45" fillId="4" borderId="739" xfId="0" applyFont="1" applyFill="1" applyBorder="1" applyAlignment="1">
      <alignment horizontal="center" vertical="center" wrapText="1"/>
    </xf>
    <xf numFmtId="0" fontId="45" fillId="3" borderId="770" xfId="0" applyFont="1" applyFill="1" applyBorder="1" applyAlignment="1">
      <alignment horizontal="center" vertical="center" wrapText="1"/>
    </xf>
    <xf numFmtId="0" fontId="45" fillId="4" borderId="801" xfId="0" applyFont="1" applyFill="1" applyBorder="1" applyAlignment="1">
      <alignment horizontal="center" vertical="center" wrapText="1"/>
    </xf>
    <xf numFmtId="0" fontId="45" fillId="3" borderId="831" xfId="0" applyFont="1" applyFill="1" applyBorder="1" applyAlignment="1">
      <alignment horizontal="center" vertical="center" wrapText="1"/>
    </xf>
    <xf numFmtId="0" fontId="45" fillId="4" borderId="861" xfId="0" applyFont="1" applyFill="1" applyBorder="1" applyAlignment="1">
      <alignment horizontal="center" vertical="center" wrapText="1"/>
    </xf>
    <xf numFmtId="0" fontId="45" fillId="3" borderId="891" xfId="0" applyFont="1" applyFill="1" applyBorder="1" applyAlignment="1">
      <alignment horizontal="center" vertical="center" wrapText="1"/>
    </xf>
    <xf numFmtId="0" fontId="45" fillId="4" borderId="921" xfId="0" applyFont="1" applyFill="1" applyBorder="1" applyAlignment="1">
      <alignment horizontal="center" vertical="center" wrapText="1"/>
    </xf>
    <xf numFmtId="0" fontId="45" fillId="3" borderId="952" xfId="0" applyFont="1" applyFill="1" applyBorder="1" applyAlignment="1">
      <alignment horizontal="center" vertical="center" wrapText="1"/>
    </xf>
    <xf numFmtId="0" fontId="45" fillId="4" borderId="1076" xfId="0" applyFont="1" applyFill="1" applyBorder="1" applyAlignment="1">
      <alignment horizontal="center" vertical="center" wrapText="1"/>
    </xf>
    <xf numFmtId="0" fontId="45" fillId="4" borderId="1121" xfId="0" applyFont="1" applyFill="1" applyBorder="1" applyAlignment="1">
      <alignment horizontal="center" vertical="center" wrapText="1"/>
    </xf>
    <xf numFmtId="0" fontId="45" fillId="3" borderId="1122" xfId="0" applyFont="1" applyFill="1" applyBorder="1" applyAlignment="1">
      <alignment horizontal="center" vertical="center" wrapText="1"/>
    </xf>
    <xf numFmtId="0" fontId="45" fillId="4" borderId="1123" xfId="0" applyFont="1" applyFill="1" applyBorder="1" applyAlignment="1">
      <alignment horizontal="center" vertical="center" wrapText="1"/>
    </xf>
    <xf numFmtId="0" fontId="45" fillId="3" borderId="1124" xfId="0" applyFont="1" applyFill="1" applyBorder="1" applyAlignment="1">
      <alignment horizontal="center" vertical="center" wrapText="1"/>
    </xf>
    <xf numFmtId="0" fontId="45" fillId="4" borderId="1125" xfId="0" applyFont="1" applyFill="1" applyBorder="1" applyAlignment="1">
      <alignment horizontal="center" vertical="center" wrapText="1"/>
    </xf>
    <xf numFmtId="0" fontId="45" fillId="3" borderId="1126" xfId="0" applyFont="1" applyFill="1" applyBorder="1" applyAlignment="1">
      <alignment horizontal="center" vertical="center" wrapText="1"/>
    </xf>
    <xf numFmtId="0" fontId="45" fillId="4" borderId="1127" xfId="0" applyFont="1" applyFill="1" applyBorder="1" applyAlignment="1">
      <alignment horizontal="center" vertical="center" wrapText="1"/>
    </xf>
    <xf numFmtId="0" fontId="45" fillId="3" borderId="1128" xfId="0" applyFont="1" applyFill="1" applyBorder="1" applyAlignment="1">
      <alignment horizontal="center" vertical="center" wrapText="1"/>
    </xf>
    <xf numFmtId="0" fontId="45" fillId="4" borderId="1129" xfId="0" applyFont="1" applyFill="1" applyBorder="1" applyAlignment="1">
      <alignment horizontal="center" vertical="center" wrapText="1"/>
    </xf>
    <xf numFmtId="0" fontId="45" fillId="3" borderId="1130" xfId="0" applyFont="1" applyFill="1" applyBorder="1" applyAlignment="1">
      <alignment horizontal="center" vertical="center" wrapText="1"/>
    </xf>
    <xf numFmtId="0" fontId="45" fillId="4" borderId="1131" xfId="0" applyFont="1" applyFill="1" applyBorder="1" applyAlignment="1">
      <alignment horizontal="center" vertical="center" wrapText="1"/>
    </xf>
    <xf numFmtId="0" fontId="45" fillId="3" borderId="1132" xfId="0" applyFont="1" applyFill="1" applyBorder="1" applyAlignment="1">
      <alignment horizontal="center" vertical="center" wrapText="1"/>
    </xf>
    <xf numFmtId="0" fontId="45" fillId="4" borderId="1133" xfId="0" applyFont="1" applyFill="1" applyBorder="1" applyAlignment="1">
      <alignment horizontal="center" vertical="center" wrapText="1"/>
    </xf>
    <xf numFmtId="0" fontId="45" fillId="3" borderId="1134" xfId="0" applyFont="1" applyFill="1" applyBorder="1" applyAlignment="1">
      <alignment horizontal="center" vertical="center" wrapText="1"/>
    </xf>
    <xf numFmtId="0" fontId="45" fillId="4" borderId="1135" xfId="0" applyFont="1" applyFill="1" applyBorder="1" applyAlignment="1">
      <alignment horizontal="center" vertical="center" wrapText="1"/>
    </xf>
    <xf numFmtId="0" fontId="45" fillId="3" borderId="1136" xfId="0" applyFont="1" applyFill="1" applyBorder="1" applyAlignment="1">
      <alignment horizontal="center" vertical="center" wrapText="1"/>
    </xf>
    <xf numFmtId="0" fontId="45" fillId="4" borderId="1137" xfId="0" applyFont="1" applyFill="1" applyBorder="1" applyAlignment="1">
      <alignment horizontal="center" vertical="center" wrapText="1"/>
    </xf>
    <xf numFmtId="0" fontId="45" fillId="3" borderId="1138" xfId="0" applyFont="1" applyFill="1" applyBorder="1" applyAlignment="1">
      <alignment horizontal="center" vertical="center" wrapText="1"/>
    </xf>
    <xf numFmtId="0" fontId="45" fillId="4" borderId="1139" xfId="0" applyFont="1" applyFill="1" applyBorder="1" applyAlignment="1">
      <alignment horizontal="center" vertical="center" wrapText="1"/>
    </xf>
    <xf numFmtId="0" fontId="45" fillId="4" borderId="443" xfId="0" applyFont="1" applyFill="1" applyBorder="1" applyAlignment="1">
      <alignment horizontal="center" vertical="center" wrapText="1"/>
    </xf>
    <xf numFmtId="0" fontId="45" fillId="3" borderId="473" xfId="0" applyFont="1" applyFill="1" applyBorder="1" applyAlignment="1">
      <alignment horizontal="center" vertical="center" wrapText="1"/>
    </xf>
    <xf numFmtId="0" fontId="45" fillId="4" borderId="503" xfId="0" applyFont="1" applyFill="1" applyBorder="1" applyAlignment="1">
      <alignment horizontal="center" vertical="center" wrapText="1"/>
    </xf>
    <xf numFmtId="0" fontId="45" fillId="3" borderId="533" xfId="0" applyFont="1" applyFill="1" applyBorder="1" applyAlignment="1">
      <alignment horizontal="center" vertical="center" wrapText="1"/>
    </xf>
    <xf numFmtId="0" fontId="45" fillId="4" borderId="564" xfId="0" applyFont="1" applyFill="1" applyBorder="1" applyAlignment="1">
      <alignment horizontal="center" vertical="center" wrapText="1"/>
    </xf>
    <xf numFmtId="0" fontId="45" fillId="3" borderId="594" xfId="0" applyFont="1" applyFill="1" applyBorder="1" applyAlignment="1">
      <alignment horizontal="center" vertical="center" wrapText="1"/>
    </xf>
    <xf numFmtId="0" fontId="45" fillId="4" borderId="620" xfId="0" applyFont="1" applyFill="1" applyBorder="1" applyAlignment="1">
      <alignment horizontal="center" vertical="center" wrapText="1"/>
    </xf>
    <xf numFmtId="0" fontId="45" fillId="3" borderId="646" xfId="0" applyFont="1" applyFill="1" applyBorder="1" applyAlignment="1">
      <alignment horizontal="center" vertical="center" wrapText="1"/>
    </xf>
    <xf numFmtId="0" fontId="45" fillId="4" borderId="673" xfId="0" applyFont="1" applyFill="1" applyBorder="1" applyAlignment="1">
      <alignment horizontal="center" vertical="center" wrapText="1"/>
    </xf>
    <xf numFmtId="0" fontId="45" fillId="3" borderId="704" xfId="0" applyFont="1" applyFill="1" applyBorder="1" applyAlignment="1">
      <alignment horizontal="center" vertical="center" wrapText="1"/>
    </xf>
    <xf numFmtId="0" fontId="45" fillId="4" borderId="734" xfId="0" applyFont="1" applyFill="1" applyBorder="1" applyAlignment="1">
      <alignment horizontal="center" vertical="center" wrapText="1"/>
    </xf>
    <xf numFmtId="0" fontId="45" fillId="3" borderId="765" xfId="0" applyFont="1" applyFill="1" applyBorder="1" applyAlignment="1">
      <alignment horizontal="center" vertical="center" wrapText="1"/>
    </xf>
    <xf numFmtId="0" fontId="45" fillId="4" borderId="796" xfId="0" applyFont="1" applyFill="1" applyBorder="1" applyAlignment="1">
      <alignment horizontal="center" vertical="center" wrapText="1"/>
    </xf>
    <xf numFmtId="0" fontId="45" fillId="3" borderId="826" xfId="0" applyFont="1" applyFill="1" applyBorder="1" applyAlignment="1">
      <alignment horizontal="center" vertical="center" wrapText="1"/>
    </xf>
    <xf numFmtId="0" fontId="45" fillId="4" borderId="856" xfId="0" applyFont="1" applyFill="1" applyBorder="1" applyAlignment="1">
      <alignment horizontal="center" vertical="center" wrapText="1"/>
    </xf>
    <xf numFmtId="0" fontId="45" fillId="3" borderId="886" xfId="0" applyFont="1" applyFill="1" applyBorder="1" applyAlignment="1">
      <alignment horizontal="center" vertical="center" wrapText="1"/>
    </xf>
    <xf numFmtId="0" fontId="45" fillId="4" borderId="916" xfId="0" applyFont="1" applyFill="1" applyBorder="1" applyAlignment="1">
      <alignment horizontal="center" vertical="center" wrapText="1"/>
    </xf>
    <xf numFmtId="0" fontId="45" fillId="3" borderId="947" xfId="0" applyFont="1" applyFill="1" applyBorder="1" applyAlignment="1">
      <alignment horizontal="center" vertical="center" wrapText="1"/>
    </xf>
    <xf numFmtId="0" fontId="45" fillId="4" borderId="1072" xfId="0" applyFont="1" applyFill="1" applyBorder="1" applyAlignment="1">
      <alignment horizontal="center" vertical="center" wrapText="1"/>
    </xf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59" fillId="6" borderId="26" xfId="0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45" fillId="6" borderId="3" xfId="0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046" xfId="0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59" fillId="7" borderId="26" xfId="0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45" fillId="7" borderId="3" xfId="0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046" xfId="0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Font="1" applyFill="1" applyBorder="1" applyAlignment="1">
      <alignment horizontal="center" vertical="center" wrapText="1"/>
    </xf>
    <xf numFmtId="0" fontId="59" fillId="7" borderId="308" xfId="0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Font="1" applyFill="1" applyBorder="1" applyAlignment="1">
      <alignment horizontal="center" vertical="center" wrapText="1"/>
    </xf>
    <xf numFmtId="0" fontId="59" fillId="7" borderId="383" xfId="0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Font="1" applyFill="1" applyBorder="1" applyAlignment="1">
      <alignment horizontal="center" vertical="center" wrapText="1"/>
    </xf>
    <xf numFmtId="0" fontId="59" fillId="7" borderId="216" xfId="0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Font="1" applyFill="1" applyBorder="1" applyAlignment="1">
      <alignment horizontal="center" vertical="center" wrapText="1"/>
    </xf>
    <xf numFmtId="0" fontId="59" fillId="7" borderId="154" xfId="0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Font="1" applyFill="1" applyBorder="1" applyAlignment="1">
      <alignment horizontal="center" vertical="center" wrapText="1"/>
    </xf>
    <xf numFmtId="0" fontId="59" fillId="7" borderId="967" xfId="0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Font="1" applyFill="1" applyBorder="1" applyAlignment="1">
      <alignment horizontal="center" vertical="center" wrapText="1"/>
    </xf>
    <xf numFmtId="0" fontId="59" fillId="6" borderId="369" xfId="0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Font="1" applyFill="1" applyBorder="1" applyAlignment="1">
      <alignment horizontal="center" vertical="center" wrapText="1"/>
    </xf>
    <xf numFmtId="0" fontId="59" fillId="6" borderId="246" xfId="0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Font="1" applyFill="1" applyBorder="1" applyAlignment="1">
      <alignment horizontal="center" vertical="center" wrapText="1"/>
    </xf>
    <xf numFmtId="0" fontId="59" fillId="6" borderId="185" xfId="0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Font="1" applyFill="1" applyBorder="1" applyAlignment="1">
      <alignment horizontal="center" vertical="center" wrapText="1"/>
    </xf>
    <xf numFmtId="0" fontId="59" fillId="6" borderId="123" xfId="0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0" fontId="60" fillId="6" borderId="3" xfId="0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18" xfId="0" applyFont="1" applyFill="1" applyBorder="1" applyAlignment="1">
      <alignment horizontal="center" vertical="center" wrapText="1"/>
    </xf>
    <xf numFmtId="0" fontId="59" fillId="6" borderId="18" xfId="0" applyFont="1" applyFill="1" applyBorder="1" applyAlignment="1">
      <alignment horizontal="center" vertical="center" wrapText="1"/>
    </xf>
    <xf numFmtId="0" fontId="59" fillId="4" borderId="18" xfId="0" applyFont="1" applyFill="1" applyBorder="1" applyAlignment="1">
      <alignment horizontal="center" vertical="center" wrapText="1"/>
    </xf>
    <xf numFmtId="0" fontId="59" fillId="3" borderId="18" xfId="0" applyFont="1" applyFill="1" applyBorder="1" applyAlignment="1">
      <alignment horizontal="center" vertical="center" wrapText="1"/>
    </xf>
    <xf numFmtId="0" fontId="59" fillId="3" borderId="1251" xfId="0" applyFont="1" applyFill="1" applyBorder="1" applyAlignment="1">
      <alignment horizontal="center" vertical="center" wrapText="1"/>
    </xf>
    <xf numFmtId="0" fontId="59" fillId="3" borderId="1252" xfId="0" applyFont="1" applyFill="1" applyBorder="1" applyAlignment="1">
      <alignment horizontal="center" vertical="center" wrapText="1"/>
    </xf>
    <xf numFmtId="0" fontId="59" fillId="4" borderId="1253" xfId="0" applyFont="1" applyFill="1" applyBorder="1" applyAlignment="1">
      <alignment horizontal="center" vertical="center" wrapText="1"/>
    </xf>
    <xf numFmtId="0" fontId="59" fillId="4" borderId="1254" xfId="0" applyFont="1" applyFill="1" applyBorder="1" applyAlignment="1">
      <alignment horizontal="center" vertical="center" wrapText="1"/>
    </xf>
    <xf numFmtId="0" fontId="59" fillId="3" borderId="1255" xfId="0" applyFont="1" applyFill="1" applyBorder="1" applyAlignment="1">
      <alignment horizontal="center" vertical="center" wrapText="1"/>
    </xf>
    <xf numFmtId="0" fontId="59" fillId="3" borderId="1256" xfId="0" applyFont="1" applyFill="1" applyBorder="1" applyAlignment="1">
      <alignment horizontal="center" vertical="center" wrapText="1"/>
    </xf>
    <xf numFmtId="0" fontId="59" fillId="4" borderId="1257" xfId="0" applyFont="1" applyFill="1" applyBorder="1" applyAlignment="1">
      <alignment horizontal="center" vertical="center" wrapText="1"/>
    </xf>
    <xf numFmtId="0" fontId="59" fillId="4" borderId="1258" xfId="0" applyFont="1" applyFill="1" applyBorder="1" applyAlignment="1">
      <alignment horizontal="center" vertical="center" wrapText="1"/>
    </xf>
    <xf numFmtId="0" fontId="61" fillId="0" borderId="0" xfId="0" applyFont="1"/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right"/>
    </xf>
    <xf numFmtId="0" fontId="59" fillId="3" borderId="1261" xfId="0" applyFont="1" applyFill="1" applyBorder="1" applyAlignment="1">
      <alignment horizontal="center" vertical="center" wrapText="1"/>
    </xf>
    <xf numFmtId="0" fontId="59" fillId="4" borderId="1261" xfId="0" applyFont="1" applyFill="1" applyBorder="1" applyAlignment="1">
      <alignment horizontal="center" vertical="center" wrapText="1"/>
    </xf>
    <xf numFmtId="0" fontId="59" fillId="4" borderId="1275" xfId="0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Font="1" applyFill="1" applyBorder="1" applyAlignment="1">
      <alignment horizontal="center" vertical="center" wrapText="1"/>
    </xf>
    <xf numFmtId="0" fontId="59" fillId="6" borderId="1261" xfId="0" applyFont="1" applyFill="1" applyBorder="1" applyAlignment="1">
      <alignment horizontal="center" vertical="center" wrapText="1"/>
    </xf>
    <xf numFmtId="0" fontId="59" fillId="3" borderId="1276" xfId="0" applyFont="1" applyFill="1" applyBorder="1" applyAlignment="1">
      <alignment horizontal="center" vertical="center" wrapText="1"/>
    </xf>
    <xf numFmtId="0" fontId="59" fillId="4" borderId="1265" xfId="0" applyFont="1" applyFill="1" applyBorder="1" applyAlignment="1">
      <alignment horizontal="center" vertical="center" wrapText="1"/>
    </xf>
    <xf numFmtId="0" fontId="59" fillId="4" borderId="1277" xfId="0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Font="1" applyFill="1" applyBorder="1" applyAlignment="1">
      <alignment horizontal="center" vertical="center" wrapText="1"/>
    </xf>
    <xf numFmtId="0" fontId="63" fillId="7" borderId="3" xfId="0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Font="1" applyFill="1" applyBorder="1" applyAlignment="1">
      <alignment horizontal="center" vertical="center" wrapText="1"/>
    </xf>
    <xf numFmtId="0" fontId="63" fillId="3" borderId="1036" xfId="0" applyFont="1" applyFill="1" applyBorder="1" applyAlignment="1">
      <alignment horizontal="center" vertical="center" wrapText="1"/>
    </xf>
    <xf numFmtId="0" fontId="63" fillId="4" borderId="909" xfId="0" applyFont="1" applyFill="1" applyBorder="1" applyAlignment="1">
      <alignment horizontal="center" vertical="center" wrapText="1"/>
    </xf>
    <xf numFmtId="0" fontId="63" fillId="4" borderId="995" xfId="0" applyFont="1" applyFill="1" applyBorder="1" applyAlignment="1">
      <alignment horizontal="center" vertical="center" wrapText="1"/>
    </xf>
    <xf numFmtId="0" fontId="63" fillId="3" borderId="939" xfId="0" applyFont="1" applyFill="1" applyBorder="1" applyAlignment="1">
      <alignment horizontal="center" vertical="center" wrapText="1"/>
    </xf>
    <xf numFmtId="0" fontId="63" fillId="3" borderId="974" xfId="0" applyFont="1" applyFill="1" applyBorder="1" applyAlignment="1">
      <alignment horizontal="center" vertical="center" wrapText="1"/>
    </xf>
    <xf numFmtId="0" fontId="63" fillId="4" borderId="1065" xfId="0" applyFont="1" applyFill="1" applyBorder="1" applyAlignment="1">
      <alignment horizontal="center" vertical="center" wrapText="1"/>
    </xf>
    <xf numFmtId="0" fontId="63" fillId="4" borderId="1066" xfId="0" applyFont="1" applyFill="1" applyBorder="1" applyAlignment="1">
      <alignment horizontal="center" vertical="center" wrapText="1"/>
    </xf>
    <xf numFmtId="0" fontId="63" fillId="4" borderId="26" xfId="0" applyFont="1" applyFill="1" applyBorder="1" applyAlignment="1">
      <alignment horizontal="center" vertical="center" wrapText="1"/>
    </xf>
    <xf numFmtId="0" fontId="63" fillId="3" borderId="26" xfId="0" applyFont="1" applyFill="1" applyBorder="1" applyAlignment="1">
      <alignment horizontal="center" vertical="center" wrapText="1"/>
    </xf>
    <xf numFmtId="0" fontId="63" fillId="3" borderId="1108" xfId="0" applyFont="1" applyFill="1" applyBorder="1" applyAlignment="1">
      <alignment horizontal="center" vertical="center" wrapText="1"/>
    </xf>
    <xf numFmtId="0" fontId="63" fillId="4" borderId="1109" xfId="0" applyFont="1" applyFill="1" applyBorder="1" applyAlignment="1">
      <alignment horizontal="center" vertical="center" wrapText="1"/>
    </xf>
    <xf numFmtId="0" fontId="63" fillId="3" borderId="1110" xfId="0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Font="1" applyFill="1" applyBorder="1" applyAlignment="1">
      <alignment horizontal="center" vertical="center" wrapText="1"/>
    </xf>
    <xf numFmtId="0" fontId="63" fillId="7" borderId="317" xfId="0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Font="1" applyFill="1" applyBorder="1" applyAlignment="1">
      <alignment horizontal="center" vertical="center" wrapText="1"/>
    </xf>
    <xf numFmtId="0" fontId="63" fillId="6" borderId="255" xfId="0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Font="1" applyFill="1" applyBorder="1" applyAlignment="1">
      <alignment horizontal="center" vertical="center" wrapText="1"/>
    </xf>
    <xf numFmtId="0" fontId="63" fillId="4" borderId="447" xfId="0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Font="1" applyFill="1" applyBorder="1" applyAlignment="1">
      <alignment horizontal="center" vertical="center" wrapText="1"/>
    </xf>
    <xf numFmtId="0" fontId="63" fillId="3" borderId="225" xfId="0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Font="1" applyFill="1" applyBorder="1" applyAlignment="1">
      <alignment horizontal="center" vertical="center" wrapText="1"/>
    </xf>
    <xf numFmtId="0" fontId="63" fillId="3" borderId="477" xfId="0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Font="1" applyFill="1" applyBorder="1" applyAlignment="1">
      <alignment horizontal="center" vertical="center" wrapText="1"/>
    </xf>
    <xf numFmtId="0" fontId="63" fillId="4" borderId="507" xfId="0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Font="1" applyFill="1" applyBorder="1" applyAlignment="1">
      <alignment horizontal="center" vertical="center" wrapText="1"/>
    </xf>
    <xf numFmtId="0" fontId="63" fillId="3" borderId="538" xfId="0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Font="1" applyFill="1" applyBorder="1" applyAlignment="1">
      <alignment horizontal="center" vertical="center" wrapText="1"/>
    </xf>
    <xf numFmtId="0" fontId="63" fillId="4" borderId="569" xfId="0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Font="1" applyFill="1" applyBorder="1" applyAlignment="1">
      <alignment horizontal="center" vertical="center" wrapText="1"/>
    </xf>
    <xf numFmtId="0" fontId="63" fillId="4" borderId="625" xfId="0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Font="1" applyFill="1" applyBorder="1" applyAlignment="1">
      <alignment horizontal="center" vertical="center" wrapText="1"/>
    </xf>
    <xf numFmtId="0" fontId="63" fillId="3" borderId="650" xfId="0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Font="1" applyFill="1" applyBorder="1" applyAlignment="1">
      <alignment horizontal="center" vertical="center" wrapText="1"/>
    </xf>
    <xf numFmtId="0" fontId="63" fillId="4" borderId="678" xfId="0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Font="1" applyFill="1" applyBorder="1" applyAlignment="1">
      <alignment horizontal="center" vertical="center" wrapText="1"/>
    </xf>
    <xf numFmtId="0" fontId="63" fillId="3" borderId="709" xfId="0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Font="1" applyFill="1" applyBorder="1" applyAlignment="1">
      <alignment horizontal="center" vertical="center" wrapText="1"/>
    </xf>
    <xf numFmtId="0" fontId="63" fillId="4" borderId="739" xfId="0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Font="1" applyFill="1" applyBorder="1" applyAlignment="1">
      <alignment horizontal="center" vertical="center" wrapText="1"/>
    </xf>
    <xf numFmtId="0" fontId="63" fillId="3" borderId="770" xfId="0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Font="1" applyFill="1" applyBorder="1" applyAlignment="1">
      <alignment horizontal="center" vertical="center" wrapText="1"/>
    </xf>
    <xf numFmtId="0" fontId="63" fillId="4" borderId="801" xfId="0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Font="1" applyFill="1" applyBorder="1" applyAlignment="1">
      <alignment horizontal="center" vertical="center" wrapText="1"/>
    </xf>
    <xf numFmtId="0" fontId="63" fillId="3" borderId="831" xfId="0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Font="1" applyFill="1" applyBorder="1" applyAlignment="1">
      <alignment horizontal="center" vertical="center" wrapText="1"/>
    </xf>
    <xf numFmtId="0" fontId="63" fillId="4" borderId="861" xfId="0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Font="1" applyFill="1" applyBorder="1" applyAlignment="1">
      <alignment horizontal="center" vertical="center" wrapText="1"/>
    </xf>
    <xf numFmtId="0" fontId="63" fillId="3" borderId="891" xfId="0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Font="1" applyFill="1" applyBorder="1" applyAlignment="1">
      <alignment horizontal="center" vertical="center" wrapText="1"/>
    </xf>
    <xf numFmtId="0" fontId="63" fillId="4" borderId="921" xfId="0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Font="1" applyFill="1" applyBorder="1" applyAlignment="1">
      <alignment horizontal="center" vertical="center" wrapText="1"/>
    </xf>
    <xf numFmtId="0" fontId="66" fillId="6" borderId="3" xfId="0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1" fillId="0" borderId="0" xfId="0" applyFont="1"/>
    <xf numFmtId="0" fontId="9" fillId="0" borderId="2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3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3" fillId="0" borderId="1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167" fontId="15" fillId="0" borderId="1" xfId="0" applyNumberFormat="1" applyFont="1" applyBorder="1" applyAlignment="1">
      <alignment horizontal="lef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16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104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6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26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pn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1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11" Type="http://schemas.openxmlformats.org/officeDocument/2006/relationships/image" Target="../media/image1.emf"/><Relationship Id="rId5" Type="http://schemas.openxmlformats.org/officeDocument/2006/relationships/image" Target="../media/image6.emf"/><Relationship Id="rId10" Type="http://schemas.openxmlformats.org/officeDocument/2006/relationships/image" Target="../media/image2.emf"/><Relationship Id="rId4" Type="http://schemas.openxmlformats.org/officeDocument/2006/relationships/image" Target="../media/image10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166804</xdr:rowOff>
    </xdr:to>
    <xdr:pic>
      <xdr:nvPicPr>
        <xdr:cNvPr id="101" name="Picture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262356</xdr:colOff>
      <xdr:row>60</xdr:row>
      <xdr:rowOff>354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169210</xdr:colOff>
      <xdr:row>69</xdr:row>
      <xdr:rowOff>167041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17182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605118</xdr:colOff>
      <xdr:row>57</xdr:row>
      <xdr:rowOff>52647</xdr:rowOff>
    </xdr:to>
    <xdr:pic>
      <xdr:nvPicPr>
        <xdr:cNvPr id="103" name="Picture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168828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168828</xdr:colOff>
      <xdr:row>27</xdr:row>
      <xdr:rowOff>33941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168892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168828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166735</xdr:colOff>
      <xdr:row>27</xdr:row>
      <xdr:rowOff>14475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166736</xdr:colOff>
      <xdr:row>27</xdr:row>
      <xdr:rowOff>14475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168828</xdr:colOff>
      <xdr:row>27</xdr:row>
      <xdr:rowOff>36152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168892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166736</xdr:colOff>
      <xdr:row>27</xdr:row>
      <xdr:rowOff>52447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531700</xdr:colOff>
      <xdr:row>1</xdr:row>
      <xdr:rowOff>73642</xdr:rowOff>
    </xdr:from>
    <xdr:to>
      <xdr:col>12</xdr:col>
      <xdr:colOff>154781</xdr:colOff>
      <xdr:row>3</xdr:row>
      <xdr:rowOff>185951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282575</xdr:colOff>
          <xdr:row>18</xdr:row>
          <xdr:rowOff>247650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97</xdr:col>
      <xdr:colOff>33340</xdr:colOff>
      <xdr:row>67</xdr:row>
      <xdr:rowOff>95252</xdr:rowOff>
    </xdr:from>
    <xdr:to>
      <xdr:col>108</xdr:col>
      <xdr:colOff>186533</xdr:colOff>
      <xdr:row>101</xdr:row>
      <xdr:rowOff>15083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2079002" y="13166959"/>
          <a:ext cx="6888994" cy="6308551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149452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54761</xdr:rowOff>
    </xdr:from>
    <xdr:to>
      <xdr:col>11</xdr:col>
      <xdr:colOff>35720</xdr:colOff>
      <xdr:row>34</xdr:row>
      <xdr:rowOff>55555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434975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73025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92075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73025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223838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54605" y="4098850"/>
          <a:ext cx="2724285" cy="1709290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166736</xdr:colOff>
      <xdr:row>26</xdr:row>
      <xdr:rowOff>16388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16855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816349</xdr:colOff>
      <xdr:row>18</xdr:row>
      <xdr:rowOff>112104</xdr:rowOff>
    </xdr:from>
    <xdr:to>
      <xdr:col>12</xdr:col>
      <xdr:colOff>167809</xdr:colOff>
      <xdr:row>26</xdr:row>
      <xdr:rowOff>52573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147686</xdr:colOff>
      <xdr:row>26</xdr:row>
      <xdr:rowOff>16154</xdr:rowOff>
    </xdr:to>
    <xdr:pic>
      <xdr:nvPicPr>
        <xdr:cNvPr id="72" name="Picture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167809</xdr:colOff>
      <xdr:row>26</xdr:row>
      <xdr:rowOff>15827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167809</xdr:colOff>
      <xdr:row>26</xdr:row>
      <xdr:rowOff>3243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167809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166736</xdr:colOff>
      <xdr:row>26</xdr:row>
      <xdr:rowOff>4060</xdr:rowOff>
    </xdr:to>
    <xdr:pic>
      <xdr:nvPicPr>
        <xdr:cNvPr id="78" name="Picture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167809</xdr:colOff>
      <xdr:row>26</xdr:row>
      <xdr:rowOff>3244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166736</xdr:colOff>
      <xdr:row>26</xdr:row>
      <xdr:rowOff>1262</xdr:rowOff>
    </xdr:to>
    <xdr:pic>
      <xdr:nvPicPr>
        <xdr:cNvPr id="80" name="Picture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147686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168892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168892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149076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110379</xdr:rowOff>
    </xdr:from>
    <xdr:to>
      <xdr:col>11</xdr:col>
      <xdr:colOff>606799</xdr:colOff>
      <xdr:row>17</xdr:row>
      <xdr:rowOff>172711</xdr:rowOff>
    </xdr:to>
    <xdr:pic>
      <xdr:nvPicPr>
        <xdr:cNvPr id="96" name="Picture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169139</xdr:rowOff>
    </xdr:to>
    <xdr:pic>
      <xdr:nvPicPr>
        <xdr:cNvPr id="97" name="Picture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605775</xdr:colOff>
      <xdr:row>17</xdr:row>
      <xdr:rowOff>169139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264086</xdr:colOff>
      <xdr:row>7</xdr:row>
      <xdr:rowOff>188819</xdr:rowOff>
    </xdr:from>
    <xdr:to>
      <xdr:col>9</xdr:col>
      <xdr:colOff>1102099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167060</xdr:rowOff>
    </xdr:from>
    <xdr:to>
      <xdr:col>10</xdr:col>
      <xdr:colOff>3361</xdr:colOff>
      <xdr:row>35</xdr:row>
      <xdr:rowOff>21572</xdr:rowOff>
    </xdr:to>
    <xdr:pic>
      <xdr:nvPicPr>
        <xdr:cNvPr id="154" name="Picture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15875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282575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282575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244475</xdr:colOff>
          <xdr:row>44</xdr:row>
          <xdr:rowOff>92075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71438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71441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92079</xdr:rowOff>
    </xdr:to>
    <xdr:pic>
      <xdr:nvPicPr>
        <xdr:cNvPr id="4" name="Picture 104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15063</xdr:colOff>
      <xdr:row>35</xdr:row>
      <xdr:rowOff>80943</xdr:rowOff>
    </xdr:to>
    <xdr:pic>
      <xdr:nvPicPr>
        <xdr:cNvPr id="7" name="Picture 10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3396026" y="6264301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5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5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GrpSpPr/>
      </xdr:nvGrpSpPr>
      <xdr:grpSpPr>
        <a:xfrm>
          <a:off x="250031" y="8607261"/>
          <a:ext cx="2067718" cy="1637557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5391150" y="1185862"/>
          <a:ext cx="3983039" cy="3822700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6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6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6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6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GrpSpPr/>
      </xdr:nvGrpSpPr>
      <xdr:grpSpPr>
        <a:xfrm>
          <a:off x="12121359" y="1062828"/>
          <a:ext cx="2832099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6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GrpSpPr/>
      </xdr:nvGrpSpPr>
      <xdr:grpSpPr>
        <a:xfrm>
          <a:off x="15909925" y="1058065"/>
          <a:ext cx="2643187" cy="3954463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12201526" y="6737346"/>
          <a:ext cx="2882899" cy="3954463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GrpSpPr/>
      </xdr:nvGrpSpPr>
      <xdr:grpSpPr>
        <a:xfrm>
          <a:off x="15940882" y="6743696"/>
          <a:ext cx="2826543" cy="3960813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6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GrpSpPr/>
      </xdr:nvGrpSpPr>
      <xdr:grpSpPr>
        <a:xfrm>
          <a:off x="12199938" y="12349159"/>
          <a:ext cx="2833687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GrpSpPr/>
      </xdr:nvGrpSpPr>
      <xdr:grpSpPr>
        <a:xfrm>
          <a:off x="19009520" y="1100931"/>
          <a:ext cx="2790031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6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Engineering\Brackets\Arm%20Connection\Arm%20Bracket%20Design_Version_101617_Unprotec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/>
      <sheetData sheetId="3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tabSelected="1" topLeftCell="A37" zoomScale="82" zoomScaleNormal="82" zoomScaleSheetLayoutView="82" workbookViewId="0">
      <selection activeCell="L56" sqref="L56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hidden="1" customWidth="1"/>
    <col min="37" max="38" width="9.140625" style="11" hidden="1" customWidth="1"/>
    <col min="39" max="39" width="11" style="11" hidden="1" customWidth="1"/>
    <col min="40" max="40" width="9.28515625" style="11" hidden="1" customWidth="1"/>
    <col min="41" max="41" width="9.5703125" style="11" hidden="1" customWidth="1"/>
    <col min="42" max="42" width="11.42578125" style="11" hidden="1" customWidth="1"/>
    <col min="43" max="44" width="9.140625" style="11" hidden="1" customWidth="1"/>
    <col min="45" max="45" width="12.140625" style="11" hidden="1" customWidth="1"/>
    <col min="46" max="55" width="9.140625" style="11" hidden="1" customWidth="1"/>
    <col min="56" max="56" width="9.7109375" style="11" hidden="1" customWidth="1"/>
    <col min="57" max="57" width="11" style="11" hidden="1" customWidth="1"/>
    <col min="58" max="63" width="9.140625" style="11" hidden="1" customWidth="1"/>
    <col min="64" max="64" width="10" style="11" hidden="1" customWidth="1"/>
    <col min="65" max="66" width="9.140625" style="11" hidden="1" customWidth="1"/>
    <col min="67" max="67" width="12.28515625" style="11" hidden="1" customWidth="1"/>
    <col min="68" max="71" width="9.140625" style="11" hidden="1" customWidth="1"/>
    <col min="72" max="83" width="9.85546875" style="65" hidden="1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144" t="s">
        <v>0</v>
      </c>
      <c r="C2" s="2144"/>
      <c r="D2" s="2144"/>
      <c r="E2" s="2144"/>
      <c r="F2" s="2144"/>
      <c r="G2" s="2144"/>
      <c r="H2" s="2144"/>
      <c r="I2" s="2144"/>
      <c r="O2" s="2144" t="s">
        <v>0</v>
      </c>
      <c r="P2" s="2144"/>
      <c r="Q2" s="2144"/>
      <c r="R2" s="2144"/>
      <c r="S2" s="2144"/>
      <c r="T2" s="2144"/>
      <c r="U2" s="2144"/>
      <c r="V2" s="2144"/>
      <c r="AJ2" s="45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7"/>
    </row>
    <row r="3" spans="2:83" ht="17.649999999999999" customHeight="1" x14ac:dyDescent="0.2">
      <c r="AI3" s="37"/>
      <c r="AJ3" s="48"/>
      <c r="AK3" s="49" t="s">
        <v>97</v>
      </c>
      <c r="AL3" s="50">
        <f>IF(AND(OR(D30="A325",D30="A449"),AND(D31&gt;1,D31&lt;=1.5)),3,IF(AND(OR(D30="A325",D30="A449"),D31&gt;1.5),4,IF(AND(OR(D30="A354-BC",D30="A354-BD",D30="A193-B7"),D31&gt;2.5),3,2)))</f>
        <v>3</v>
      </c>
      <c r="AM3" s="49" t="s">
        <v>90</v>
      </c>
      <c r="AN3" s="37">
        <f>MOD(D32,4)</f>
        <v>0</v>
      </c>
      <c r="AO3" s="37">
        <f>INT(D32/4)</f>
        <v>2</v>
      </c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51"/>
      <c r="BI3" s="37"/>
      <c r="BJ3" s="37"/>
      <c r="BK3" s="37"/>
      <c r="BL3" s="37"/>
      <c r="BT3" s="65">
        <f t="shared" ref="BT3:CE3" si="0">BT6*180/PI()</f>
        <v>22.5</v>
      </c>
      <c r="BU3" s="65">
        <f t="shared" si="0"/>
        <v>67.5</v>
      </c>
      <c r="BV3" s="65">
        <f t="shared" si="0"/>
        <v>112.5</v>
      </c>
      <c r="BW3" s="65">
        <f t="shared" si="0"/>
        <v>157.5</v>
      </c>
      <c r="BX3" s="65">
        <f t="shared" si="0"/>
        <v>202.49999999999997</v>
      </c>
      <c r="BY3" s="65">
        <f t="shared" si="0"/>
        <v>247.49999999999997</v>
      </c>
      <c r="BZ3" s="65">
        <f t="shared" si="0"/>
        <v>292.50000000000006</v>
      </c>
      <c r="CA3" s="65">
        <f t="shared" si="0"/>
        <v>337.49999999999994</v>
      </c>
      <c r="CB3" s="65">
        <f t="shared" si="0"/>
        <v>0</v>
      </c>
      <c r="CC3" s="65">
        <f t="shared" si="0"/>
        <v>0</v>
      </c>
      <c r="CD3" s="65">
        <f t="shared" si="0"/>
        <v>0</v>
      </c>
      <c r="CE3" s="65">
        <f t="shared" si="0"/>
        <v>0</v>
      </c>
    </row>
    <row r="4" spans="2:83" s="37" customFormat="1" ht="15" x14ac:dyDescent="0.2">
      <c r="B4" s="36" t="s">
        <v>2</v>
      </c>
      <c r="C4" s="137"/>
      <c r="D4" s="2145" t="s">
        <v>1</v>
      </c>
      <c r="E4" s="2145"/>
      <c r="F4" s="137"/>
      <c r="G4" s="36" t="s">
        <v>6</v>
      </c>
      <c r="H4" s="2147">
        <v>45462</v>
      </c>
      <c r="I4" s="2148"/>
      <c r="O4" s="36" t="s">
        <v>2</v>
      </c>
      <c r="P4" s="106">
        <f>C4</f>
        <v>0</v>
      </c>
      <c r="Q4" s="2145" t="s">
        <v>1</v>
      </c>
      <c r="R4" s="2145"/>
      <c r="S4" s="107">
        <f>F4</f>
        <v>0</v>
      </c>
      <c r="T4" s="36" t="s">
        <v>6</v>
      </c>
      <c r="U4" s="2146">
        <f>H4</f>
        <v>45462</v>
      </c>
      <c r="V4" s="2146"/>
      <c r="W4" s="108"/>
      <c r="X4" s="108"/>
      <c r="Y4" s="108"/>
      <c r="Z4" s="108"/>
      <c r="AJ4" s="52"/>
      <c r="BH4" s="51"/>
      <c r="BT4" s="65">
        <f>IF(G9="Flat-Flat",0,1)+1</f>
        <v>1</v>
      </c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</row>
    <row r="5" spans="2:83" s="37" customFormat="1" ht="15" x14ac:dyDescent="0.2">
      <c r="B5" s="36" t="s">
        <v>3</v>
      </c>
      <c r="C5" s="2148" t="s">
        <v>788</v>
      </c>
      <c r="D5" s="2148"/>
      <c r="E5" s="2148"/>
      <c r="F5" s="2148"/>
      <c r="G5" s="36" t="s">
        <v>4</v>
      </c>
      <c r="H5" s="2148" t="s">
        <v>636</v>
      </c>
      <c r="I5" s="2148"/>
      <c r="J5" s="2148"/>
      <c r="K5" s="2148"/>
      <c r="L5" s="2148"/>
      <c r="M5" s="2148"/>
      <c r="N5" s="43"/>
      <c r="O5" s="36" t="s">
        <v>3</v>
      </c>
      <c r="P5" s="2146" t="str">
        <f>C5</f>
        <v>Sabre Software Development</v>
      </c>
      <c r="Q5" s="2146"/>
      <c r="R5" s="2146"/>
      <c r="S5" s="2146"/>
      <c r="T5" s="109" t="s">
        <v>4</v>
      </c>
      <c r="U5" s="2146" t="str">
        <f>H5</f>
        <v>PT ARM TO POLE CONNECTION</v>
      </c>
      <c r="V5" s="2146"/>
      <c r="W5" s="2146"/>
      <c r="X5" s="2146"/>
      <c r="Y5" s="2146"/>
      <c r="Z5" s="2146"/>
      <c r="AJ5" s="2149" t="s">
        <v>116</v>
      </c>
      <c r="AK5" s="53" t="s">
        <v>87</v>
      </c>
      <c r="AL5" s="53" t="s">
        <v>88</v>
      </c>
      <c r="AM5" s="53" t="s">
        <v>89</v>
      </c>
      <c r="AN5" s="53" t="s">
        <v>95</v>
      </c>
      <c r="AO5" s="37" t="s">
        <v>149</v>
      </c>
      <c r="AQ5" s="37" t="s">
        <v>28</v>
      </c>
      <c r="AS5" s="37" t="s">
        <v>160</v>
      </c>
      <c r="BH5" s="51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</row>
    <row r="6" spans="2:83" s="37" customFormat="1" ht="15" x14ac:dyDescent="0.2">
      <c r="B6" s="36" t="s">
        <v>5</v>
      </c>
      <c r="C6" s="2151" t="s">
        <v>789</v>
      </c>
      <c r="D6" s="2151"/>
      <c r="E6" s="2151"/>
      <c r="F6" s="2151"/>
      <c r="G6" s="2148"/>
      <c r="H6" s="2148"/>
      <c r="I6" s="2148"/>
      <c r="O6" s="36" t="s">
        <v>5</v>
      </c>
      <c r="P6" s="2152" t="str">
        <f>C6</f>
        <v>Bracket C3-60</v>
      </c>
      <c r="Q6" s="2152"/>
      <c r="R6" s="2152"/>
      <c r="S6" s="2152"/>
      <c r="T6" s="2146"/>
      <c r="U6" s="2146"/>
      <c r="V6" s="2146"/>
      <c r="W6" s="108"/>
      <c r="X6" s="108"/>
      <c r="Y6" s="108"/>
      <c r="Z6" s="108"/>
      <c r="AI6" s="11"/>
      <c r="AJ6" s="2149"/>
      <c r="AK6" s="54">
        <f>D32*G32*(D63/2)^2</f>
        <v>296.93400000000003</v>
      </c>
      <c r="AL6" s="54">
        <f>4*G32*AL18</f>
        <v>150.3075</v>
      </c>
      <c r="AM6" s="54">
        <f>D32*G32*(D63/2)^2</f>
        <v>296.93400000000003</v>
      </c>
      <c r="AN6" s="54">
        <f>D32*G32</f>
        <v>9.8160000000000007</v>
      </c>
      <c r="AO6" s="55">
        <f>IF(AP6=99,D47+D62+D31+0.75,D47+D62+AP6)</f>
        <v>4</v>
      </c>
      <c r="AP6" s="11">
        <f>VLOOKUP(D31,BoltDim,8,FALSE)</f>
        <v>2</v>
      </c>
      <c r="AQ6" s="11">
        <f>IF(AP6=99,D31+1,AP6)</f>
        <v>2</v>
      </c>
      <c r="AR6" s="11"/>
      <c r="AS6" s="11" t="s">
        <v>161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56"/>
      <c r="BI6" s="11"/>
      <c r="BJ6" s="11"/>
      <c r="BK6" s="11"/>
      <c r="BL6" s="11"/>
      <c r="BS6" s="11"/>
      <c r="BT6" s="65">
        <f t="shared" ref="BT6:CE6" si="1">IF(BT8&gt;$AX$9,0,(2*BT8-$BT$4)*$AX$10)</f>
        <v>0.39269908169872414</v>
      </c>
      <c r="BU6" s="65">
        <f t="shared" si="1"/>
        <v>1.1780972450961724</v>
      </c>
      <c r="BV6" s="65">
        <f t="shared" si="1"/>
        <v>1.9634954084936207</v>
      </c>
      <c r="BW6" s="65">
        <f t="shared" si="1"/>
        <v>2.748893571891069</v>
      </c>
      <c r="BX6" s="65">
        <f t="shared" si="1"/>
        <v>3.5342917352885173</v>
      </c>
      <c r="BY6" s="65">
        <f t="shared" si="1"/>
        <v>4.3196898986859651</v>
      </c>
      <c r="BZ6" s="65">
        <f t="shared" si="1"/>
        <v>5.1050880620834143</v>
      </c>
      <c r="CA6" s="65">
        <f t="shared" si="1"/>
        <v>5.8904862254808616</v>
      </c>
      <c r="CB6" s="65">
        <f t="shared" si="1"/>
        <v>0</v>
      </c>
      <c r="CC6" s="65">
        <f t="shared" si="1"/>
        <v>0</v>
      </c>
      <c r="CD6" s="65">
        <f t="shared" si="1"/>
        <v>0</v>
      </c>
      <c r="CE6" s="65">
        <f t="shared" si="1"/>
        <v>0</v>
      </c>
    </row>
    <row r="7" spans="2:83" ht="9" customHeight="1" thickBot="1" x14ac:dyDescent="0.25">
      <c r="AJ7" s="48"/>
      <c r="BH7" s="56"/>
    </row>
    <row r="8" spans="2:83" ht="15.75" x14ac:dyDescent="0.25">
      <c r="B8" s="146" t="s">
        <v>166</v>
      </c>
      <c r="C8" s="147"/>
      <c r="D8" s="46"/>
      <c r="E8" s="46"/>
      <c r="F8" s="46"/>
      <c r="G8" s="46"/>
      <c r="H8" s="47"/>
      <c r="I8" s="45"/>
      <c r="J8" s="46"/>
      <c r="K8" s="46"/>
      <c r="L8" s="46"/>
      <c r="M8" s="47"/>
      <c r="O8" s="144" t="s">
        <v>213</v>
      </c>
      <c r="P8" s="147"/>
      <c r="Q8" s="150"/>
      <c r="R8" s="57"/>
      <c r="S8" s="46"/>
      <c r="T8" s="58"/>
      <c r="U8" s="58"/>
      <c r="V8" s="58"/>
      <c r="W8" s="46"/>
      <c r="X8" s="46"/>
      <c r="Y8" s="46"/>
      <c r="Z8" s="46"/>
      <c r="AA8" s="47"/>
      <c r="AJ8" s="48"/>
      <c r="AM8" s="11">
        <f>BA33/AN6</f>
        <v>0.10085574572127139</v>
      </c>
      <c r="AN8" s="11">
        <f>BA32/AN6</f>
        <v>0.50020374898125508</v>
      </c>
      <c r="AQ8" s="11">
        <f>MAX((D50+D47)/2,3)</f>
        <v>3.5625</v>
      </c>
      <c r="AR8" s="11">
        <f>MAX((D50+D47)/2,3.5)</f>
        <v>3.5625</v>
      </c>
      <c r="AU8" s="59"/>
      <c r="AV8" s="59"/>
      <c r="AW8" s="60" t="s">
        <v>106</v>
      </c>
      <c r="AX8" s="61">
        <f>IF(D9="Hexagonal",IF(G9="Flat-Flat",G11,D11), IF(G9="Flat-Flat",D11,G11))</f>
        <v>7</v>
      </c>
      <c r="BH8" s="56"/>
      <c r="BI8" s="2134" t="s">
        <v>464</v>
      </c>
      <c r="BJ8" s="2135"/>
      <c r="BK8" s="2135"/>
      <c r="BL8" s="2135"/>
      <c r="BM8" s="2135"/>
      <c r="BN8" s="2135"/>
      <c r="BO8" s="2135"/>
      <c r="BP8" s="2135"/>
      <c r="BT8" s="61">
        <v>1</v>
      </c>
      <c r="BU8" s="61">
        <v>2</v>
      </c>
      <c r="BV8" s="61">
        <v>3</v>
      </c>
      <c r="BW8" s="61">
        <v>4</v>
      </c>
      <c r="BX8" s="61">
        <v>5</v>
      </c>
      <c r="BY8" s="61">
        <v>6</v>
      </c>
      <c r="BZ8" s="61">
        <v>7</v>
      </c>
      <c r="CA8" s="61">
        <v>8</v>
      </c>
      <c r="CB8" s="61">
        <v>9</v>
      </c>
      <c r="CC8" s="61">
        <v>10</v>
      </c>
      <c r="CD8" s="61">
        <v>11</v>
      </c>
      <c r="CE8" s="61">
        <v>12</v>
      </c>
    </row>
    <row r="9" spans="2:83" ht="17.25" customHeight="1" x14ac:dyDescent="0.25">
      <c r="B9" s="24"/>
      <c r="C9" s="20" t="s">
        <v>7</v>
      </c>
      <c r="D9" s="130" t="s">
        <v>11</v>
      </c>
      <c r="E9" s="10"/>
      <c r="F9" s="20" t="s">
        <v>32</v>
      </c>
      <c r="G9" s="130" t="s">
        <v>15</v>
      </c>
      <c r="H9" s="25"/>
      <c r="I9" s="24"/>
      <c r="J9" s="10"/>
      <c r="K9" s="10"/>
      <c r="M9" s="56"/>
      <c r="O9" s="48"/>
      <c r="P9" s="62"/>
      <c r="Q9" s="63"/>
      <c r="T9" s="64"/>
      <c r="U9" s="64"/>
      <c r="V9" s="64"/>
      <c r="AA9" s="56"/>
      <c r="AJ9" s="48" t="s">
        <v>92</v>
      </c>
      <c r="AK9" s="11" t="s">
        <v>96</v>
      </c>
      <c r="AL9" s="65" t="s">
        <v>91</v>
      </c>
      <c r="AM9" s="11" t="s">
        <v>93</v>
      </c>
      <c r="AN9" s="11" t="s">
        <v>94</v>
      </c>
      <c r="AO9" s="11" t="s">
        <v>98</v>
      </c>
      <c r="AP9" s="11" t="s">
        <v>99</v>
      </c>
      <c r="AQ9" s="65" t="s">
        <v>104</v>
      </c>
      <c r="AU9" s="66"/>
      <c r="AV9" s="66"/>
      <c r="AW9" s="67" t="s">
        <v>100</v>
      </c>
      <c r="AX9" s="68">
        <f>VLOOKUP(D9,Sheet2!B3:C7,2,FALSE)</f>
        <v>8</v>
      </c>
      <c r="BH9" s="56"/>
      <c r="BK9" s="926" t="s">
        <v>448</v>
      </c>
      <c r="BL9" s="937">
        <f>IF(BO14&gt;BO10,IF(AX9=1,BO11+BP11,BO11-BP11*BO14),G12)</f>
        <v>65</v>
      </c>
      <c r="BM9"/>
      <c r="BN9" s="926" t="s">
        <v>450</v>
      </c>
      <c r="BO9" s="162">
        <v>4</v>
      </c>
      <c r="BP9" t="s">
        <v>451</v>
      </c>
      <c r="BS9" s="77" t="s">
        <v>475</v>
      </c>
      <c r="BT9" s="947">
        <f>IF(BT8&gt;$AX$9,0,$G$11*COS(BT6)/2)</f>
        <v>3.5</v>
      </c>
      <c r="BU9" s="947">
        <f t="shared" ref="BU9:CE9" si="2">IF(BU8&gt;$AX$9,0,$G$11*COS(BU6)/2)</f>
        <v>1.4497474683058329</v>
      </c>
      <c r="BV9" s="947">
        <f t="shared" si="2"/>
        <v>-1.4497474683058325</v>
      </c>
      <c r="BW9" s="947">
        <f t="shared" si="2"/>
        <v>-3.5</v>
      </c>
      <c r="BX9" s="947">
        <f t="shared" si="2"/>
        <v>-3.5000000000000004</v>
      </c>
      <c r="BY9" s="947">
        <f t="shared" si="2"/>
        <v>-1.4497474683058347</v>
      </c>
      <c r="BZ9" s="947">
        <f t="shared" si="2"/>
        <v>1.4497474683058336</v>
      </c>
      <c r="CA9" s="947">
        <f t="shared" si="2"/>
        <v>3.4999999999999991</v>
      </c>
      <c r="CB9" s="947">
        <f t="shared" si="2"/>
        <v>0</v>
      </c>
      <c r="CC9" s="947">
        <f t="shared" si="2"/>
        <v>0</v>
      </c>
      <c r="CD9" s="947">
        <f t="shared" si="2"/>
        <v>0</v>
      </c>
      <c r="CE9" s="947">
        <f t="shared" si="2"/>
        <v>0</v>
      </c>
    </row>
    <row r="10" spans="2:83" ht="14.25" customHeight="1" x14ac:dyDescent="0.25">
      <c r="B10" s="24"/>
      <c r="C10" s="20" t="s">
        <v>117</v>
      </c>
      <c r="D10" s="130">
        <v>6</v>
      </c>
      <c r="E10" s="10" t="s">
        <v>31</v>
      </c>
      <c r="F10" s="20" t="s">
        <v>157</v>
      </c>
      <c r="G10" s="952">
        <f>IF(D9="Round",D10,D10/COS(AX10))</f>
        <v>6.4943532017543637</v>
      </c>
      <c r="H10" s="25" t="s">
        <v>31</v>
      </c>
      <c r="I10" s="24"/>
      <c r="J10" s="10"/>
      <c r="K10" s="10"/>
      <c r="M10" s="56"/>
      <c r="O10" s="48"/>
      <c r="P10" s="62"/>
      <c r="Q10" s="63"/>
      <c r="R10" s="79" t="s">
        <v>162</v>
      </c>
      <c r="S10" s="81" t="str">
        <f>D9</f>
        <v>Octagonal</v>
      </c>
      <c r="T10" s="10"/>
      <c r="U10" s="64"/>
      <c r="V10" s="79" t="s">
        <v>244</v>
      </c>
      <c r="W10" s="81" t="str">
        <f>G9</f>
        <v>Flat-Flat</v>
      </c>
      <c r="AA10" s="69"/>
      <c r="AJ10" s="48">
        <v>1</v>
      </c>
      <c r="AK10" s="11">
        <f>IF(AO3&gt;0,D36,0)</f>
        <v>1.75</v>
      </c>
      <c r="AL10" s="11">
        <f>AK10^2</f>
        <v>3.0625</v>
      </c>
      <c r="AM10" s="70">
        <f>IF(D32=2,($BE$34*12*$D$63/2)/$AM$6+$AM$8,IF(AK10=0,0,($BE$32*12*AK10)/$AL$6+($BE$34*12*$D$63/2)/$AM$6+$AM$8))</f>
        <v>7.6999888864192032</v>
      </c>
      <c r="AN10" s="70">
        <f>IF(D32=2,($BE$33*12*$D$63/2)/$AK$6+$AN$8,IF(AK10=0,0,($BE$33*12*$D$63/2)/$AK$6+$AN$8))</f>
        <v>0.52243091057271984</v>
      </c>
      <c r="AO10" s="70">
        <f t="shared" ref="AO10:AO17" si="3">SQRT(AM10^2+AN10^2)</f>
        <v>7.7176915530034682</v>
      </c>
      <c r="AP10" s="71">
        <f t="shared" ref="AP10:AP17" si="4">AM10*$G$32</f>
        <v>9.4478863636363624</v>
      </c>
      <c r="AQ10" s="11">
        <f>AP10*$AQ$30*(3*$AQ$30+2*$AQ$8)/(2*(3*$AQ$30+$AQ$8))</f>
        <v>15.61303255007704</v>
      </c>
      <c r="AR10" s="11">
        <f>AP10*$AQ$30/2</f>
        <v>11.809857954545453</v>
      </c>
      <c r="AS10" s="11">
        <f>3*AP10*$AQ$30*$AQ$30/(2*(3*$AQ$30+$AQ$8))</f>
        <v>8.0066833590138664</v>
      </c>
      <c r="AU10" s="72"/>
      <c r="AV10" s="73"/>
      <c r="AW10" s="60" t="s">
        <v>113</v>
      </c>
      <c r="AX10" s="66">
        <f>PI()/AX9</f>
        <v>0.39269908169872414</v>
      </c>
      <c r="BD10" s="74" t="s">
        <v>128</v>
      </c>
      <c r="BE10" s="74" t="s">
        <v>129</v>
      </c>
      <c r="BH10" s="56"/>
      <c r="BK10" s="926" t="s">
        <v>449</v>
      </c>
      <c r="BL10" s="927">
        <f>IF(AX9=8,3.32,IF(AX9=12,3.22,3.19))*(D11-D12)*D12</f>
        <v>4.2407812499999995</v>
      </c>
      <c r="BM10"/>
      <c r="BN10" s="926" t="s">
        <v>624</v>
      </c>
      <c r="BO10" s="934">
        <f>IF(AX9=1,3800/G12,IF(AX9&lt;12,260/SQRT(G12),IF(AX9=12,240/SQRT(G12),215/SQRT(G12))))</f>
        <v>32.249030993194204</v>
      </c>
      <c r="BP10" s="932">
        <f>IF(AX9=1,12000/G12,365/SQRT(G12))</f>
        <v>45.272678125061091</v>
      </c>
      <c r="BS10" s="77" t="s">
        <v>474</v>
      </c>
      <c r="BT10" s="947">
        <f>IF(BT8&gt;$AX$9,0,$G$11*SIN(BT6)/2)</f>
        <v>1.4497474683058327</v>
      </c>
      <c r="BU10" s="947">
        <f t="shared" ref="BU10:CE10" si="5">IF(BU8&gt;$AX$9,0,$G$11*SIN(BU6)/2)</f>
        <v>3.5</v>
      </c>
      <c r="BV10" s="947">
        <f t="shared" si="5"/>
        <v>3.5</v>
      </c>
      <c r="BW10" s="947">
        <f t="shared" si="5"/>
        <v>1.4497474683058331</v>
      </c>
      <c r="BX10" s="947">
        <f t="shared" si="5"/>
        <v>-1.4497474683058322</v>
      </c>
      <c r="BY10" s="947">
        <f t="shared" si="5"/>
        <v>-3.4999999999999991</v>
      </c>
      <c r="BZ10" s="947">
        <f t="shared" si="5"/>
        <v>-3.4999999999999996</v>
      </c>
      <c r="CA10" s="947">
        <f t="shared" si="5"/>
        <v>-1.4497474683058349</v>
      </c>
      <c r="CB10" s="947">
        <f t="shared" si="5"/>
        <v>0</v>
      </c>
      <c r="CC10" s="947">
        <f t="shared" si="5"/>
        <v>0</v>
      </c>
      <c r="CD10" s="947">
        <f t="shared" si="5"/>
        <v>0</v>
      </c>
      <c r="CE10" s="947">
        <f t="shared" si="5"/>
        <v>0</v>
      </c>
    </row>
    <row r="11" spans="2:83" ht="14.25" customHeight="1" x14ac:dyDescent="0.25">
      <c r="B11" s="24"/>
      <c r="C11" s="20" t="s">
        <v>118</v>
      </c>
      <c r="D11" s="130">
        <v>7</v>
      </c>
      <c r="E11" s="10" t="s">
        <v>31</v>
      </c>
      <c r="F11" s="20" t="s">
        <v>119</v>
      </c>
      <c r="G11" s="16">
        <f>IF(D9="Round",D11,D11/COS(AX10))</f>
        <v>7.5767454020467575</v>
      </c>
      <c r="H11" s="25" t="s">
        <v>31</v>
      </c>
      <c r="I11" s="24"/>
      <c r="J11" s="10"/>
      <c r="K11" s="10"/>
      <c r="M11" s="56"/>
      <c r="O11" s="48"/>
      <c r="P11" s="62"/>
      <c r="Q11" s="63"/>
      <c r="R11" s="79" t="s">
        <v>163</v>
      </c>
      <c r="S11" s="111">
        <f>D10</f>
        <v>6</v>
      </c>
      <c r="T11" s="10" t="s">
        <v>31</v>
      </c>
      <c r="U11" s="64"/>
      <c r="V11" s="79" t="s">
        <v>242</v>
      </c>
      <c r="W11" s="75">
        <f>G10</f>
        <v>6.4943532017543637</v>
      </c>
      <c r="X11" s="11" t="s">
        <v>31</v>
      </c>
      <c r="AA11" s="76"/>
      <c r="AJ11" s="48">
        <v>2</v>
      </c>
      <c r="AK11" s="11">
        <f>IF(AO3&gt;1,D36+D37,0)</f>
        <v>5.25</v>
      </c>
      <c r="AL11" s="11">
        <f t="shared" ref="AL11:AL17" si="6">AK11^2</f>
        <v>27.5625</v>
      </c>
      <c r="AM11" s="70">
        <f t="shared" ref="AM11:AM17" si="7">IF(AK11=0,0,($BE$32*12*AK11)/$AL$6+($BE$34*12*$D$63/2)/$AM$6+$AM$8)</f>
        <v>10.149866637030447</v>
      </c>
      <c r="AN11" s="70">
        <f t="shared" ref="AN11:AN17" si="8">IF(AK11=0,0,($BE$33*12*$D$63/2)/$AK$6+$AN$8)</f>
        <v>0.52243091057271984</v>
      </c>
      <c r="AO11" s="70">
        <f t="shared" si="3"/>
        <v>10.16330294765563</v>
      </c>
      <c r="AP11" s="71">
        <f t="shared" si="4"/>
        <v>12.453886363636359</v>
      </c>
      <c r="AQ11" s="11">
        <f t="shared" ref="AQ11:AQ17" si="9">AP11*$AQ$30*(3*$AQ$30+2*$AQ$8)/(2*(3*$AQ$30+$AQ$8))</f>
        <v>20.580574922958387</v>
      </c>
      <c r="AR11" s="11">
        <f t="shared" ref="AR11:AR17" si="10">AP11*$AQ$30/2</f>
        <v>15.567357954545448</v>
      </c>
      <c r="AS11" s="11">
        <f t="shared" ref="AS11:AS17" si="11">3*AP11*$AQ$30*$AQ$30/(2*(3*$AQ$30+$AQ$8))</f>
        <v>10.554140986132508</v>
      </c>
      <c r="AU11" s="59"/>
      <c r="AV11" s="59"/>
      <c r="AW11" s="60" t="s">
        <v>103</v>
      </c>
      <c r="AX11" s="61">
        <f>D11*TAN(AX10)</f>
        <v>2.8994949366116654</v>
      </c>
      <c r="BC11" s="77" t="s">
        <v>121</v>
      </c>
      <c r="BD11" s="11">
        <v>0.125</v>
      </c>
      <c r="BH11" s="56"/>
      <c r="BK11" s="926" t="s">
        <v>478</v>
      </c>
      <c r="BL11" s="937">
        <f>2*BO12</f>
        <v>51.930789367675786</v>
      </c>
      <c r="BM11"/>
      <c r="BN11" s="926" t="s">
        <v>454</v>
      </c>
      <c r="BO11" s="933">
        <f>IF(AX9=1,0.75*G12,IF(AX9&lt;12,1.42*G12,IF(AX9=12,1.45*G12,1.42*G12)))</f>
        <v>92.3</v>
      </c>
      <c r="BP11" s="931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4"/>
      <c r="C12" s="20" t="s">
        <v>30</v>
      </c>
      <c r="D12" s="135">
        <v>0.1875</v>
      </c>
      <c r="E12" s="10" t="s">
        <v>31</v>
      </c>
      <c r="F12" s="20" t="s">
        <v>86</v>
      </c>
      <c r="G12" s="1200">
        <v>65</v>
      </c>
      <c r="H12" s="25" t="s">
        <v>55</v>
      </c>
      <c r="I12" s="24"/>
      <c r="J12" s="10"/>
      <c r="K12" s="10"/>
      <c r="M12" s="56"/>
      <c r="O12" s="48"/>
      <c r="P12" s="62"/>
      <c r="Q12" s="63"/>
      <c r="R12" s="79" t="s">
        <v>164</v>
      </c>
      <c r="S12" s="111">
        <f>D11</f>
        <v>7</v>
      </c>
      <c r="T12" s="10" t="s">
        <v>31</v>
      </c>
      <c r="U12" s="64"/>
      <c r="V12" s="79" t="s">
        <v>243</v>
      </c>
      <c r="W12" s="75">
        <f>G11</f>
        <v>7.5767454020467575</v>
      </c>
      <c r="X12" s="11" t="s">
        <v>31</v>
      </c>
      <c r="AA12" s="56"/>
      <c r="AJ12" s="48">
        <v>3</v>
      </c>
      <c r="AK12" s="11">
        <f>IF(AO3&gt;2,D36+2*D37,0)</f>
        <v>0</v>
      </c>
      <c r="AL12" s="11">
        <f t="shared" si="6"/>
        <v>0</v>
      </c>
      <c r="AM12" s="70">
        <f t="shared" si="7"/>
        <v>0</v>
      </c>
      <c r="AN12" s="70">
        <f t="shared" si="8"/>
        <v>0</v>
      </c>
      <c r="AO12" s="70">
        <f t="shared" si="3"/>
        <v>0</v>
      </c>
      <c r="AP12" s="71">
        <f t="shared" si="4"/>
        <v>0</v>
      </c>
      <c r="AQ12" s="11">
        <f t="shared" si="9"/>
        <v>0</v>
      </c>
      <c r="AR12" s="11">
        <f t="shared" si="10"/>
        <v>0</v>
      </c>
      <c r="AS12" s="11">
        <f t="shared" si="11"/>
        <v>0</v>
      </c>
      <c r="AU12" s="66"/>
      <c r="AV12" s="66"/>
      <c r="AW12" s="67" t="s">
        <v>115</v>
      </c>
      <c r="AX12" s="68">
        <f>D63/2</f>
        <v>5.5</v>
      </c>
      <c r="BC12" s="77" t="s">
        <v>123</v>
      </c>
      <c r="BD12" s="11">
        <f>D52+D47</f>
        <v>4</v>
      </c>
      <c r="BH12" s="56"/>
      <c r="BK12" s="926"/>
      <c r="BL12" s="928"/>
      <c r="BM12"/>
      <c r="BN12" s="926" t="s">
        <v>452</v>
      </c>
      <c r="BO12" s="949">
        <f>BO15*D12*(D11-D12)^3</f>
        <v>25.965394683837893</v>
      </c>
      <c r="BP12"/>
      <c r="BS12" s="943" t="s">
        <v>465</v>
      </c>
    </row>
    <row r="13" spans="2:83" ht="15.75" x14ac:dyDescent="0.25">
      <c r="B13" s="24"/>
      <c r="C13" s="10"/>
      <c r="H13" s="56"/>
      <c r="I13" s="24"/>
      <c r="J13" s="10"/>
      <c r="K13" s="10"/>
      <c r="M13" s="56"/>
      <c r="O13" s="48"/>
      <c r="P13" s="62"/>
      <c r="Q13" s="63"/>
      <c r="R13" s="79" t="s">
        <v>165</v>
      </c>
      <c r="S13" s="112">
        <f>D12</f>
        <v>0.1875</v>
      </c>
      <c r="T13" s="78" t="s">
        <v>31</v>
      </c>
      <c r="U13" s="64"/>
      <c r="V13" s="64"/>
      <c r="W13" s="65"/>
      <c r="AA13" s="56"/>
      <c r="AJ13" s="48">
        <v>4</v>
      </c>
      <c r="AK13" s="11">
        <f>IF(AO3&gt;3,D36+3*D37,0)</f>
        <v>0</v>
      </c>
      <c r="AL13" s="11">
        <f t="shared" si="6"/>
        <v>0</v>
      </c>
      <c r="AM13" s="70">
        <f t="shared" si="7"/>
        <v>0</v>
      </c>
      <c r="AN13" s="70">
        <f t="shared" si="8"/>
        <v>0</v>
      </c>
      <c r="AO13" s="70">
        <f t="shared" si="3"/>
        <v>0</v>
      </c>
      <c r="AP13" s="71">
        <f t="shared" si="4"/>
        <v>0</v>
      </c>
      <c r="AQ13" s="11">
        <f t="shared" si="9"/>
        <v>0</v>
      </c>
      <c r="AR13" s="11">
        <f t="shared" si="10"/>
        <v>0</v>
      </c>
      <c r="AS13" s="11">
        <f t="shared" si="11"/>
        <v>0</v>
      </c>
      <c r="AU13" s="59"/>
      <c r="AV13" s="66"/>
      <c r="AW13" s="67" t="s">
        <v>102</v>
      </c>
      <c r="AX13" s="68">
        <f>12*D62</f>
        <v>12</v>
      </c>
      <c r="BC13" s="77" t="s">
        <v>124</v>
      </c>
      <c r="BD13" s="11">
        <f>ACOS((BD12-BD11)/BD12)</f>
        <v>0.25065566233613068</v>
      </c>
      <c r="BH13" s="56"/>
      <c r="BK13" s="926" t="s">
        <v>456</v>
      </c>
      <c r="BL13" s="950">
        <f>BL9*BO13/12</f>
        <v>40.184539391653878</v>
      </c>
      <c r="BM13"/>
      <c r="BN13" s="926" t="s">
        <v>453</v>
      </c>
      <c r="BO13" s="949">
        <f>2*BP15*BO12/D11</f>
        <v>7.4186841953822551</v>
      </c>
      <c r="BP13"/>
      <c r="BS13" s="77" t="s">
        <v>466</v>
      </c>
      <c r="BT13" s="65">
        <f>BL33/BL10</f>
        <v>0.23344755167458828</v>
      </c>
    </row>
    <row r="14" spans="2:83" ht="15.75" x14ac:dyDescent="0.25">
      <c r="B14" s="24"/>
      <c r="C14" s="20" t="s">
        <v>235</v>
      </c>
      <c r="D14" s="131">
        <v>6</v>
      </c>
      <c r="E14" s="11" t="s">
        <v>37</v>
      </c>
      <c r="F14" s="20" t="s">
        <v>159</v>
      </c>
      <c r="G14" s="130" t="s">
        <v>160</v>
      </c>
      <c r="H14" s="25"/>
      <c r="I14" s="24"/>
      <c r="J14" s="10"/>
      <c r="K14" s="10"/>
      <c r="M14" s="56"/>
      <c r="O14" s="48"/>
      <c r="P14" s="62"/>
      <c r="Q14" s="63"/>
      <c r="R14" s="79" t="s">
        <v>214</v>
      </c>
      <c r="S14" s="110">
        <f>IF(G14="Pole Face",D14-(D64+D50+D47)/12,D14)</f>
        <v>5.15625</v>
      </c>
      <c r="T14" s="78" t="s">
        <v>37</v>
      </c>
      <c r="U14" s="64"/>
      <c r="V14" s="79" t="s">
        <v>215</v>
      </c>
      <c r="W14" s="81">
        <f>D16</f>
        <v>-0.5</v>
      </c>
      <c r="X14" s="11" t="s">
        <v>31</v>
      </c>
      <c r="AA14" s="56"/>
      <c r="AJ14" s="48">
        <v>5</v>
      </c>
      <c r="AK14" s="11">
        <f>IF(AO3&gt;4,D36+4*D37,0)</f>
        <v>0</v>
      </c>
      <c r="AL14" s="11">
        <f t="shared" si="6"/>
        <v>0</v>
      </c>
      <c r="AM14" s="70">
        <f t="shared" si="7"/>
        <v>0</v>
      </c>
      <c r="AN14" s="70">
        <f t="shared" si="8"/>
        <v>0</v>
      </c>
      <c r="AO14" s="70">
        <f t="shared" si="3"/>
        <v>0</v>
      </c>
      <c r="AP14" s="71">
        <f t="shared" si="4"/>
        <v>0</v>
      </c>
      <c r="AQ14" s="11">
        <f t="shared" si="9"/>
        <v>0</v>
      </c>
      <c r="AR14" s="11">
        <f t="shared" si="10"/>
        <v>0</v>
      </c>
      <c r="AS14" s="11">
        <f t="shared" si="11"/>
        <v>0</v>
      </c>
      <c r="AU14" s="59"/>
      <c r="AV14" s="59"/>
      <c r="AW14" s="60"/>
      <c r="AX14" s="61"/>
      <c r="BC14" s="77"/>
      <c r="BH14" s="56"/>
      <c r="BM14"/>
      <c r="BN14" s="926" t="s">
        <v>623</v>
      </c>
      <c r="BO14" s="949">
        <f>IF(AX9=1, D11/D12,(D11-2*(BO9+1)*D12)*TAN(PI()/AX9)/D12)</f>
        <v>11.321837371531265</v>
      </c>
      <c r="BP14" s="1205"/>
      <c r="BS14" s="77" t="s">
        <v>482</v>
      </c>
      <c r="BT14" s="65">
        <f>12*BP33*(G11/2)/BL11</f>
        <v>8.7540499510637762E-2</v>
      </c>
    </row>
    <row r="15" spans="2:83" ht="15.75" x14ac:dyDescent="0.25">
      <c r="B15" s="24"/>
      <c r="C15" s="20" t="s">
        <v>36</v>
      </c>
      <c r="D15" s="80">
        <v>0</v>
      </c>
      <c r="E15" s="10" t="s">
        <v>37</v>
      </c>
      <c r="H15" s="25"/>
      <c r="I15" s="24"/>
      <c r="J15" s="10"/>
      <c r="K15" s="10"/>
      <c r="M15" s="56"/>
      <c r="O15" s="48"/>
      <c r="P15" s="62"/>
      <c r="Q15" s="63"/>
      <c r="R15" s="79"/>
      <c r="T15" s="64"/>
      <c r="U15" s="64"/>
      <c r="V15" s="64"/>
      <c r="AA15" s="56"/>
      <c r="AJ15" s="48">
        <v>6</v>
      </c>
      <c r="AK15" s="11">
        <f>IF(AO3&gt;5,D36+5*D37,0)</f>
        <v>0</v>
      </c>
      <c r="AL15" s="11">
        <f t="shared" si="6"/>
        <v>0</v>
      </c>
      <c r="AM15" s="70">
        <f t="shared" si="7"/>
        <v>0</v>
      </c>
      <c r="AN15" s="70">
        <f t="shared" si="8"/>
        <v>0</v>
      </c>
      <c r="AO15" s="70">
        <f t="shared" si="3"/>
        <v>0</v>
      </c>
      <c r="AP15" s="71">
        <f t="shared" si="4"/>
        <v>0</v>
      </c>
      <c r="AQ15" s="11">
        <f t="shared" si="9"/>
        <v>0</v>
      </c>
      <c r="AR15" s="11">
        <f t="shared" si="10"/>
        <v>0</v>
      </c>
      <c r="AS15" s="11">
        <f t="shared" si="11"/>
        <v>0</v>
      </c>
      <c r="AU15" s="59"/>
      <c r="AV15" s="59"/>
      <c r="AW15" s="60"/>
      <c r="AX15" s="61"/>
      <c r="BC15" s="77"/>
      <c r="BH15" s="56"/>
      <c r="BM15"/>
      <c r="BN15" s="926" t="s">
        <v>455</v>
      </c>
      <c r="BO15" s="936">
        <f>IF(AX9=4, 0.666, IF(AX9=6, 0.481, IF(AX9=8,0.438,IF(AX9=12,0.411,0.393))))</f>
        <v>0.438</v>
      </c>
      <c r="BP15" s="935">
        <v>1</v>
      </c>
      <c r="BS15" s="77" t="s">
        <v>476</v>
      </c>
      <c r="BT15" s="65">
        <f>BL32/BL10</f>
        <v>1.157805534062857</v>
      </c>
    </row>
    <row r="16" spans="2:83" ht="15.75" x14ac:dyDescent="0.25">
      <c r="B16" s="24"/>
      <c r="C16" s="20" t="s">
        <v>34</v>
      </c>
      <c r="D16" s="136">
        <f>IF(F16="",(D11-D10)/2,F16)</f>
        <v>-0.5</v>
      </c>
      <c r="E16" s="10" t="s">
        <v>31</v>
      </c>
      <c r="F16" s="131">
        <v>-0.5</v>
      </c>
      <c r="G16" s="104" t="s">
        <v>35</v>
      </c>
      <c r="H16" s="25"/>
      <c r="I16" s="24"/>
      <c r="J16" s="10"/>
      <c r="K16" s="10"/>
      <c r="M16" s="56"/>
      <c r="O16" s="48"/>
      <c r="P16" s="62"/>
      <c r="Q16" s="63"/>
      <c r="R16" s="79" t="s">
        <v>271</v>
      </c>
      <c r="S16" s="948">
        <f>BT25</f>
        <v>0.75256234042442005</v>
      </c>
      <c r="T16" s="64"/>
      <c r="V16" s="951" t="s">
        <v>485</v>
      </c>
      <c r="W16" s="1206">
        <f>BL9</f>
        <v>65</v>
      </c>
      <c r="X16" s="11" t="s">
        <v>55</v>
      </c>
      <c r="AA16" s="56"/>
      <c r="AJ16" s="48">
        <v>7</v>
      </c>
      <c r="AK16" s="11">
        <f>IF(AO3&gt;6,D36+6*D37,0)</f>
        <v>0</v>
      </c>
      <c r="AL16" s="11">
        <f t="shared" si="6"/>
        <v>0</v>
      </c>
      <c r="AM16" s="70">
        <f t="shared" si="7"/>
        <v>0</v>
      </c>
      <c r="AN16" s="70">
        <f t="shared" si="8"/>
        <v>0</v>
      </c>
      <c r="AO16" s="70">
        <f t="shared" si="3"/>
        <v>0</v>
      </c>
      <c r="AP16" s="71">
        <f t="shared" si="4"/>
        <v>0</v>
      </c>
      <c r="AQ16" s="11">
        <f t="shared" si="9"/>
        <v>0</v>
      </c>
      <c r="AR16" s="11">
        <f t="shared" si="10"/>
        <v>0</v>
      </c>
      <c r="AS16" s="11">
        <f t="shared" si="11"/>
        <v>0</v>
      </c>
      <c r="AU16" s="59"/>
      <c r="AV16" s="61"/>
      <c r="AW16" s="60" t="s">
        <v>114</v>
      </c>
      <c r="AX16" s="81">
        <v>0.5</v>
      </c>
      <c r="BC16" s="77" t="s">
        <v>122</v>
      </c>
      <c r="BD16" s="11">
        <f>BD12*SIN(BD13)</f>
        <v>0.99215674164922107</v>
      </c>
      <c r="BH16" s="56"/>
      <c r="BM16"/>
      <c r="BN16" s="929"/>
      <c r="BO16" s="930"/>
      <c r="BP16"/>
      <c r="BS16" s="77" t="s">
        <v>477</v>
      </c>
      <c r="BT16" s="65">
        <f>BL34/BL10</f>
        <v>0.41030175748867032</v>
      </c>
    </row>
    <row r="17" spans="2:83" ht="15.75" x14ac:dyDescent="0.25">
      <c r="B17" s="24"/>
      <c r="C17" s="20" t="s">
        <v>236</v>
      </c>
      <c r="D17" s="80">
        <v>0</v>
      </c>
      <c r="E17" s="11" t="s">
        <v>37</v>
      </c>
      <c r="H17" s="25"/>
      <c r="I17" s="24"/>
      <c r="J17" s="10"/>
      <c r="K17" s="10"/>
      <c r="M17" s="56"/>
      <c r="O17" s="148"/>
      <c r="P17" s="59"/>
      <c r="Q17" s="149"/>
      <c r="R17" s="79"/>
      <c r="T17" s="64"/>
      <c r="U17" s="64"/>
      <c r="V17" s="64"/>
      <c r="AA17" s="56"/>
      <c r="AJ17" s="83">
        <v>8</v>
      </c>
      <c r="AK17" s="59">
        <f>IF(AO3&gt;7,D36+7*D37,0)</f>
        <v>0</v>
      </c>
      <c r="AL17" s="11">
        <f t="shared" si="6"/>
        <v>0</v>
      </c>
      <c r="AM17" s="1526">
        <f t="shared" si="7"/>
        <v>0</v>
      </c>
      <c r="AN17" s="1526">
        <f t="shared" si="8"/>
        <v>0</v>
      </c>
      <c r="AO17" s="1526">
        <f t="shared" si="3"/>
        <v>0</v>
      </c>
      <c r="AP17" s="1527">
        <f t="shared" si="4"/>
        <v>0</v>
      </c>
      <c r="AQ17" s="59">
        <f t="shared" si="9"/>
        <v>0</v>
      </c>
      <c r="AR17" s="59">
        <f t="shared" si="10"/>
        <v>0</v>
      </c>
      <c r="AS17" s="59">
        <f t="shared" si="11"/>
        <v>0</v>
      </c>
      <c r="AU17" s="66"/>
      <c r="AV17" s="68"/>
      <c r="AW17" s="67" t="s">
        <v>130</v>
      </c>
      <c r="AX17" s="68">
        <f>2*(AK18+AX18)</f>
        <v>14.25</v>
      </c>
      <c r="BC17" s="77" t="s">
        <v>125</v>
      </c>
      <c r="BD17" s="11">
        <f>IF(AX8+2*(D52-BD16-D12)&gt;AX8+0.125,AX8+2*(D52-BD16-D12),AX8+0.125)</f>
        <v>10.640686516701557</v>
      </c>
      <c r="BE17" s="11">
        <f>AX8+0.125</f>
        <v>7.125</v>
      </c>
      <c r="BH17" s="56"/>
      <c r="BM17"/>
      <c r="BN17"/>
      <c r="BO17"/>
      <c r="BP17"/>
      <c r="BS17" s="77"/>
    </row>
    <row r="18" spans="2:83" ht="15.75" customHeight="1" thickBot="1" x14ac:dyDescent="0.25">
      <c r="B18" s="26"/>
      <c r="C18" s="29"/>
      <c r="D18" s="30"/>
      <c r="E18" s="27"/>
      <c r="F18" s="84"/>
      <c r="G18" s="84"/>
      <c r="H18" s="28"/>
      <c r="I18" s="24"/>
      <c r="J18" s="10"/>
      <c r="K18" s="10"/>
      <c r="M18" s="56"/>
      <c r="O18" s="48"/>
      <c r="Q18" s="77"/>
      <c r="R18" s="82"/>
      <c r="V18" s="64"/>
      <c r="AA18" s="56"/>
      <c r="AJ18" s="86"/>
      <c r="AK18" s="66">
        <f>MAX(AK10:AK17)</f>
        <v>5.25</v>
      </c>
      <c r="AL18" s="66">
        <f>SUM(AL10:AL17)</f>
        <v>30.625</v>
      </c>
      <c r="AO18" s="87">
        <f>MAX(AO10:AO17)</f>
        <v>10.16330294765563</v>
      </c>
      <c r="AP18" s="88">
        <f>SUM(AP10:AP17)</f>
        <v>21.901772727272721</v>
      </c>
      <c r="AQ18" s="11">
        <f>SUM(AQ10:AQ17)</f>
        <v>36.193607473035428</v>
      </c>
      <c r="AR18" s="11">
        <f>SUM(AR10:AR17)</f>
        <v>27.3772159090909</v>
      </c>
      <c r="AS18" s="11">
        <f>SUM(AS10:AS17)</f>
        <v>18.560824345146372</v>
      </c>
      <c r="AU18" s="66"/>
      <c r="AV18" s="68"/>
      <c r="AW18" s="67" t="s">
        <v>131</v>
      </c>
      <c r="AX18" s="68">
        <f>CEILING(MAX(VLOOKUP(D31,BoltDim,2,FALSE),D47+D31/2, D55+D31/2),0.125)</f>
        <v>1.875</v>
      </c>
      <c r="AY18" s="65"/>
      <c r="BC18" s="77" t="s">
        <v>126</v>
      </c>
      <c r="BD18" s="11">
        <f>CEILING(BD17-0.15625,1)</f>
        <v>11</v>
      </c>
      <c r="BE18" s="11">
        <f>CEILING(BE17,1)</f>
        <v>8</v>
      </c>
      <c r="BH18" s="56"/>
      <c r="BO18" s="65" t="s">
        <v>460</v>
      </c>
      <c r="BP18" s="11" t="s">
        <v>461</v>
      </c>
    </row>
    <row r="19" spans="2:83" ht="20.25" customHeight="1" x14ac:dyDescent="0.3">
      <c r="B19" s="146" t="s">
        <v>43</v>
      </c>
      <c r="C19" s="22"/>
      <c r="D19" s="22"/>
      <c r="E19" s="22"/>
      <c r="F19" s="22"/>
      <c r="G19" s="22"/>
      <c r="H19" s="23"/>
      <c r="I19" s="24"/>
      <c r="J19" s="10"/>
      <c r="K19" s="10"/>
      <c r="M19" s="56"/>
      <c r="O19" s="48"/>
      <c r="R19" s="119" t="s">
        <v>245</v>
      </c>
      <c r="S19" s="82">
        <v>0</v>
      </c>
      <c r="T19" s="85" t="s">
        <v>217</v>
      </c>
      <c r="V19" s="2154" t="s">
        <v>216</v>
      </c>
      <c r="W19" s="2155"/>
      <c r="X19" s="2155"/>
      <c r="Y19" s="2155"/>
      <c r="Z19" s="2156"/>
      <c r="AA19" s="56"/>
      <c r="AJ19" s="48"/>
      <c r="AU19" s="66"/>
      <c r="AV19" s="66"/>
      <c r="AW19" s="67" t="s">
        <v>132</v>
      </c>
      <c r="AX19" s="68">
        <f>VLOOKUP(D31,BoltDim,3,FALSE)</f>
        <v>3.5</v>
      </c>
      <c r="AY19" s="70"/>
      <c r="BC19" s="77" t="s">
        <v>122</v>
      </c>
      <c r="BD19" s="11">
        <f>((D11-2*D12)-(BD18-2*D52))/2</f>
        <v>0.8125</v>
      </c>
      <c r="BH19" s="56"/>
      <c r="BK19" s="77" t="s">
        <v>146</v>
      </c>
      <c r="BL19" s="11">
        <f>D25*(BO19+BO20)+D26*(BP19+BP20)+BO21*BG67*D21</f>
        <v>0.132670401397601</v>
      </c>
      <c r="BN19" s="11">
        <v>1</v>
      </c>
      <c r="BO19" s="71">
        <f>IF(G21="",0,S14-G21)</f>
        <v>0</v>
      </c>
      <c r="BP19" s="65">
        <f>BO19*D16/(S14*12)</f>
        <v>0</v>
      </c>
      <c r="BS19" s="77" t="s">
        <v>479</v>
      </c>
      <c r="BT19" s="65">
        <f>IF(AX9=1,12*BL13/BO13,12*($BP$32*BT9+$BP$34*BT10)/$BO$12+$BT$13)</f>
        <v>28.221476845221591</v>
      </c>
      <c r="BU19" s="65">
        <f t="shared" ref="BU19:CE19" si="12">12*($BP$32*BU9+$BP$34*BU10)/$BO$12+$BT$13</f>
        <v>48.870261800917859</v>
      </c>
      <c r="BV19" s="65">
        <f t="shared" si="12"/>
        <v>41.028260600028432</v>
      </c>
      <c r="BW19" s="65">
        <f t="shared" si="12"/>
        <v>9.2892111898882241</v>
      </c>
      <c r="BX19" s="65">
        <f t="shared" si="12"/>
        <v>-27.754581741872414</v>
      </c>
      <c r="BY19" s="65">
        <f t="shared" si="12"/>
        <v>-48.403366697568678</v>
      </c>
      <c r="BZ19" s="65">
        <f t="shared" si="12"/>
        <v>-40.561365496679244</v>
      </c>
      <c r="CA19" s="65">
        <f t="shared" si="12"/>
        <v>-8.8223160865390717</v>
      </c>
      <c r="CB19" s="65">
        <f t="shared" si="12"/>
        <v>0.23344755167458828</v>
      </c>
      <c r="CC19" s="65">
        <f t="shared" si="12"/>
        <v>0.23344755167458828</v>
      </c>
      <c r="CD19" s="65">
        <f t="shared" si="12"/>
        <v>0.23344755167458828</v>
      </c>
      <c r="CE19" s="65">
        <f t="shared" si="12"/>
        <v>0.23344755167458828</v>
      </c>
    </row>
    <row r="20" spans="2:83" ht="18" customHeight="1" x14ac:dyDescent="0.25">
      <c r="B20" s="938"/>
      <c r="C20" s="1202"/>
      <c r="D20" s="1202"/>
      <c r="E20" s="1202"/>
      <c r="F20" s="2137" t="s">
        <v>458</v>
      </c>
      <c r="G20" s="2137"/>
      <c r="H20" s="1090"/>
      <c r="I20" s="24"/>
      <c r="J20" s="10"/>
      <c r="K20" s="10"/>
      <c r="M20" s="56"/>
      <c r="O20" s="48"/>
      <c r="R20" s="120" t="s">
        <v>246</v>
      </c>
      <c r="S20" s="121">
        <v>0</v>
      </c>
      <c r="T20" s="128" t="s">
        <v>31</v>
      </c>
      <c r="V20" s="2120" t="str">
        <f>IF(D34="Include Threads","Note: Threads are included in shear plane!","")</f>
        <v/>
      </c>
      <c r="W20" s="2121"/>
      <c r="X20" s="2121"/>
      <c r="Y20" s="2121"/>
      <c r="Z20" s="2122"/>
      <c r="AA20" s="56"/>
      <c r="AJ20" s="48"/>
      <c r="AK20" s="11" t="s">
        <v>108</v>
      </c>
      <c r="AL20" s="11" t="s">
        <v>109</v>
      </c>
      <c r="AM20" s="11" t="s">
        <v>111</v>
      </c>
      <c r="AN20" s="11" t="s">
        <v>112</v>
      </c>
      <c r="AO20" s="11" t="s">
        <v>110</v>
      </c>
      <c r="AY20" s="70"/>
      <c r="BC20" s="77" t="s">
        <v>127</v>
      </c>
      <c r="BD20" s="11">
        <f>BD12-SQRT(BD12^2-BD19^2)</f>
        <v>8.3388741526675414E-2</v>
      </c>
      <c r="BH20" s="56"/>
      <c r="BK20" s="77" t="s">
        <v>147</v>
      </c>
      <c r="BL20" s="11">
        <f>D27*(BP19+BP20)</f>
        <v>0</v>
      </c>
      <c r="BN20" s="11">
        <v>2</v>
      </c>
      <c r="BO20" s="71">
        <f>IF(G22="",0,S14-G22)</f>
        <v>0</v>
      </c>
      <c r="BP20" s="65">
        <f>BO20*D16/(S14*12)</f>
        <v>0</v>
      </c>
      <c r="BS20" s="77" t="s">
        <v>480</v>
      </c>
      <c r="BT20" s="65">
        <f>$BT$15+BT14*BT10/($G$11/2)</f>
        <v>1.1913058328865422</v>
      </c>
      <c r="BU20" s="65">
        <f t="shared" ref="BU20:CE20" si="13">$BT$15+BU14*BU10/($G$11/2)</f>
        <v>1.157805534062857</v>
      </c>
      <c r="BV20" s="65">
        <f t="shared" si="13"/>
        <v>1.157805534062857</v>
      </c>
      <c r="BW20" s="65">
        <f t="shared" si="13"/>
        <v>1.157805534062857</v>
      </c>
      <c r="BX20" s="65">
        <f t="shared" si="13"/>
        <v>1.157805534062857</v>
      </c>
      <c r="BY20" s="65">
        <f t="shared" si="13"/>
        <v>1.157805534062857</v>
      </c>
      <c r="BZ20" s="65">
        <f t="shared" si="13"/>
        <v>1.157805534062857</v>
      </c>
      <c r="CA20" s="65">
        <f t="shared" si="13"/>
        <v>1.157805534062857</v>
      </c>
      <c r="CB20" s="65">
        <f t="shared" si="13"/>
        <v>1.157805534062857</v>
      </c>
      <c r="CC20" s="65">
        <f t="shared" si="13"/>
        <v>1.157805534062857</v>
      </c>
      <c r="CD20" s="65">
        <f t="shared" si="13"/>
        <v>1.157805534062857</v>
      </c>
      <c r="CE20" s="65">
        <f t="shared" si="13"/>
        <v>1.157805534062857</v>
      </c>
    </row>
    <row r="21" spans="2:83" ht="15.75" customHeight="1" x14ac:dyDescent="0.25">
      <c r="B21" s="938"/>
      <c r="C21" s="1091" t="s">
        <v>620</v>
      </c>
      <c r="D21" s="1204">
        <v>1</v>
      </c>
      <c r="E21" s="1202"/>
      <c r="F21" s="1091" t="s">
        <v>462</v>
      </c>
      <c r="G21" s="945"/>
      <c r="H21" s="1090" t="s">
        <v>37</v>
      </c>
      <c r="I21" s="24"/>
      <c r="J21" s="10"/>
      <c r="K21" s="10"/>
      <c r="M21" s="56"/>
      <c r="O21" s="48"/>
      <c r="R21" s="20" t="s">
        <v>237</v>
      </c>
      <c r="S21" s="122">
        <f>D15</f>
        <v>0</v>
      </c>
      <c r="T21" s="129" t="s">
        <v>169</v>
      </c>
      <c r="V21" s="2120" t="str">
        <f>IF(D37=AX19,"", "Warning: Non-standard bolt spacing!")</f>
        <v/>
      </c>
      <c r="W21" s="2121"/>
      <c r="X21" s="2121"/>
      <c r="Y21" s="2121"/>
      <c r="Z21" s="2122"/>
      <c r="AA21" s="56"/>
      <c r="AJ21" s="48" t="s">
        <v>107</v>
      </c>
      <c r="AK21" s="11">
        <f>IF(D54&gt;1,D55,0)</f>
        <v>1.25</v>
      </c>
      <c r="AL21" s="11">
        <f>IF(D54&gt;1,D56,0)</f>
        <v>3.75</v>
      </c>
      <c r="AM21" s="11">
        <f>(D62*D49/2*D62/2+AK21*AL21*(D62+AL21/2))/(D49/2*D62+AK21*AL21)</f>
        <v>1.3774630541871922</v>
      </c>
      <c r="AN21" s="11">
        <f>D62+AL21-AM21</f>
        <v>3.3725369458128078</v>
      </c>
      <c r="AO21" s="11">
        <f>AT26*D62^3/12+AK21*AL21^3/12+AT26*D62*(D62/2-AM21)^2+AK21*AL21*(D62+AL21/2-AM21)^2+IF(D32=2,AK21*AL21^3/12+AK21*AL21*(D62+AL21/2-AM21)^2,0)</f>
        <v>22.831628758723319</v>
      </c>
      <c r="AW21" s="77" t="s">
        <v>156</v>
      </c>
      <c r="AX21" s="11">
        <f>VLOOKUP(D12,Arm_Brkt_Weld,2,FALSE)</f>
        <v>17</v>
      </c>
      <c r="AY21" s="1092">
        <v>0</v>
      </c>
      <c r="BC21" s="77"/>
      <c r="BH21" s="56"/>
      <c r="BK21" s="77" t="s">
        <v>148</v>
      </c>
      <c r="BL21" s="11">
        <f>D27*(BO19+BO20)</f>
        <v>0</v>
      </c>
      <c r="BN21" s="11">
        <v>3</v>
      </c>
      <c r="BO21" s="88">
        <f>S14-BP62</f>
        <v>0.5949345354152511</v>
      </c>
      <c r="BS21" s="77" t="s">
        <v>481</v>
      </c>
      <c r="BT21" s="65">
        <f>$BT$16+BT14*BT9/($G$11/2)</f>
        <v>0.49117863325236288</v>
      </c>
      <c r="BU21" s="65">
        <f t="shared" ref="BU21:CE21" si="14">$BT$16+BU14*BU9/($G$11/2)</f>
        <v>0.41030175748867032</v>
      </c>
      <c r="BV21" s="65">
        <f t="shared" si="14"/>
        <v>0.41030175748867032</v>
      </c>
      <c r="BW21" s="65">
        <f t="shared" si="14"/>
        <v>0.41030175748867032</v>
      </c>
      <c r="BX21" s="65">
        <f t="shared" si="14"/>
        <v>0.41030175748867032</v>
      </c>
      <c r="BY21" s="65">
        <f t="shared" si="14"/>
        <v>0.41030175748867032</v>
      </c>
      <c r="BZ21" s="65">
        <f t="shared" si="14"/>
        <v>0.41030175748867032</v>
      </c>
      <c r="CA21" s="65">
        <f t="shared" si="14"/>
        <v>0.41030175748867032</v>
      </c>
      <c r="CB21" s="65">
        <f t="shared" si="14"/>
        <v>0.41030175748867032</v>
      </c>
      <c r="CC21" s="65">
        <f t="shared" si="14"/>
        <v>0.41030175748867032</v>
      </c>
      <c r="CD21" s="65">
        <f t="shared" si="14"/>
        <v>0.41030175748867032</v>
      </c>
      <c r="CE21" s="65">
        <f t="shared" si="14"/>
        <v>0.41030175748867032</v>
      </c>
    </row>
    <row r="22" spans="2:83" ht="15.75" customHeight="1" x14ac:dyDescent="0.25">
      <c r="B22" s="24"/>
      <c r="C22" s="1091"/>
      <c r="D22" s="1203"/>
      <c r="E22" s="1202"/>
      <c r="F22" s="1091" t="s">
        <v>463</v>
      </c>
      <c r="G22" s="945"/>
      <c r="H22" s="1090" t="s">
        <v>37</v>
      </c>
      <c r="I22" s="24"/>
      <c r="J22" s="10"/>
      <c r="K22" s="10"/>
      <c r="M22" s="56"/>
      <c r="O22" s="48"/>
      <c r="R22" s="20" t="s">
        <v>167</v>
      </c>
      <c r="S22" s="123">
        <f>D17</f>
        <v>0</v>
      </c>
      <c r="T22" s="129" t="s">
        <v>169</v>
      </c>
      <c r="V22" s="2120" t="str">
        <f>IF(OR(D38&lt;AX18,D39&lt;AX18),"Warning: Edge distance not meet minimum!","")</f>
        <v/>
      </c>
      <c r="W22" s="2121"/>
      <c r="X22" s="2121"/>
      <c r="Y22" s="2121"/>
      <c r="Z22" s="2122"/>
      <c r="AA22" s="56"/>
      <c r="AJ22" s="163">
        <v>2</v>
      </c>
      <c r="AW22" s="77" t="s">
        <v>155</v>
      </c>
      <c r="AX22" s="11">
        <f>IF(AY21=0,IF(D11&lt;AX21,VLOOKUP(D12,Arm_Brkt_Weld,3,FALSE),VLOOKUP(D12,Arm_Brkt_Weld,4,FALSE)),VLOOKUP(D12,Arm_Brkt_Weld,5,FALSE))</f>
        <v>0.375</v>
      </c>
      <c r="AY22" s="70"/>
      <c r="BC22" s="77"/>
      <c r="BH22" s="56"/>
      <c r="BS22" s="77" t="s">
        <v>471</v>
      </c>
      <c r="BT22" s="65">
        <f>SQRT(BT19^2+3*(BT20^2+BT21^2))</f>
        <v>28.309594723999105</v>
      </c>
      <c r="BU22" s="65">
        <f t="shared" ref="BU22:CE22" si="15">SQRT(BU19^2+3*(BU20^2+BU21^2))</f>
        <v>48.916552127587302</v>
      </c>
      <c r="BV22" s="65">
        <f t="shared" si="15"/>
        <v>41.083387779302718</v>
      </c>
      <c r="BW22" s="65">
        <f t="shared" si="15"/>
        <v>9.5297443874985017</v>
      </c>
      <c r="BX22" s="65">
        <f t="shared" si="15"/>
        <v>27.836008895439594</v>
      </c>
      <c r="BY22" s="65">
        <f t="shared" si="15"/>
        <v>48.450103108455977</v>
      </c>
      <c r="BZ22" s="65">
        <f t="shared" si="15"/>
        <v>40.6171263694998</v>
      </c>
      <c r="CA22" s="65">
        <f t="shared" si="15"/>
        <v>9.0752324869129772</v>
      </c>
      <c r="CB22" s="65">
        <f t="shared" si="15"/>
        <v>2.1403460748433809</v>
      </c>
      <c r="CC22" s="65">
        <f t="shared" si="15"/>
        <v>2.1403460748433809</v>
      </c>
      <c r="CD22" s="65">
        <f t="shared" si="15"/>
        <v>2.1403460748433809</v>
      </c>
      <c r="CE22" s="65">
        <f t="shared" si="15"/>
        <v>2.1403460748433809</v>
      </c>
    </row>
    <row r="23" spans="2:83" ht="14.25" customHeight="1" x14ac:dyDescent="0.25">
      <c r="B23" s="24"/>
      <c r="C23" s="946" t="str">
        <f>"Reactions At " &amp; G14</f>
        <v>Reactions At Pole Face</v>
      </c>
      <c r="D23" s="9"/>
      <c r="E23" s="10"/>
      <c r="F23" s="1201"/>
      <c r="G23" s="9"/>
      <c r="H23" s="25"/>
      <c r="I23" s="24"/>
      <c r="J23" s="10"/>
      <c r="K23" s="10"/>
      <c r="M23" s="56"/>
      <c r="O23" s="48"/>
      <c r="R23" s="20" t="s">
        <v>238</v>
      </c>
      <c r="S23" s="124" t="str">
        <f>Sheet1!AZ64</f>
        <v>NA</v>
      </c>
      <c r="T23" s="129" t="s">
        <v>169</v>
      </c>
      <c r="V23" s="2120" t="str">
        <f>IF(OR(D31=0.875, D31=1.125,D31=1.375),"Warning: Non-standard bolt size!","")</f>
        <v/>
      </c>
      <c r="W23" s="2121"/>
      <c r="X23" s="2121"/>
      <c r="Y23" s="2121"/>
      <c r="Z23" s="2122"/>
      <c r="AA23" s="56"/>
      <c r="AJ23" s="48"/>
      <c r="AY23" s="70"/>
      <c r="BC23" s="77"/>
      <c r="BH23" s="56"/>
      <c r="BI23" s="83"/>
      <c r="BJ23" s="944" t="s">
        <v>465</v>
      </c>
      <c r="BS23" s="77" t="s">
        <v>483</v>
      </c>
      <c r="BT23" s="65">
        <f>ABS(BT22/$BL$9)</f>
        <v>0.43553222652306317</v>
      </c>
      <c r="BU23" s="65">
        <f t="shared" ref="BU23:CE23" si="16">ABS(BU22/$BL$9)</f>
        <v>0.75256234042442005</v>
      </c>
      <c r="BV23" s="65">
        <f t="shared" si="16"/>
        <v>0.63205211968158026</v>
      </c>
      <c r="BW23" s="65">
        <f t="shared" si="16"/>
        <v>0.14661145211536156</v>
      </c>
      <c r="BX23" s="65">
        <f t="shared" si="16"/>
        <v>0.42824629069907066</v>
      </c>
      <c r="BY23" s="65">
        <f t="shared" si="16"/>
        <v>0.74538620166855352</v>
      </c>
      <c r="BZ23" s="65">
        <f t="shared" si="16"/>
        <v>0.62487886722307384</v>
      </c>
      <c r="CA23" s="65">
        <f t="shared" si="16"/>
        <v>0.13961896133712273</v>
      </c>
      <c r="CB23" s="65">
        <f t="shared" si="16"/>
        <v>3.292840115143663E-2</v>
      </c>
      <c r="CC23" s="65">
        <f t="shared" si="16"/>
        <v>3.292840115143663E-2</v>
      </c>
      <c r="CD23" s="65">
        <f t="shared" si="16"/>
        <v>3.292840115143663E-2</v>
      </c>
      <c r="CE23" s="65">
        <f t="shared" si="16"/>
        <v>3.292840115143663E-2</v>
      </c>
    </row>
    <row r="24" spans="2:83" ht="15" customHeight="1" x14ac:dyDescent="0.25">
      <c r="B24" s="48"/>
      <c r="C24" s="2136" t="s">
        <v>40</v>
      </c>
      <c r="D24" s="2136"/>
      <c r="E24" s="10"/>
      <c r="F24" s="2136" t="s">
        <v>39</v>
      </c>
      <c r="G24" s="2136"/>
      <c r="H24" s="25"/>
      <c r="I24" s="24"/>
      <c r="J24" s="10"/>
      <c r="K24" s="10"/>
      <c r="M24" s="56"/>
      <c r="O24" s="48"/>
      <c r="R24" s="20" t="s">
        <v>239</v>
      </c>
      <c r="S24" s="124" t="str">
        <f>Sheet1!AZ65</f>
        <v>NA</v>
      </c>
      <c r="T24" s="129" t="s">
        <v>169</v>
      </c>
      <c r="V24" s="2120" t="str">
        <f>IF(D48&lt;=BD17-0.03125,"Warning: Shaft will be coped to fit bracket!","")</f>
        <v/>
      </c>
      <c r="W24" s="2121"/>
      <c r="X24" s="2121"/>
      <c r="Y24" s="2121"/>
      <c r="Z24" s="2122"/>
      <c r="AA24" s="44"/>
      <c r="AJ24" s="48"/>
      <c r="AU24" s="11" t="s">
        <v>120</v>
      </c>
      <c r="AV24" s="65"/>
      <c r="AW24" s="65"/>
      <c r="AX24" s="65"/>
      <c r="AY24" s="70"/>
      <c r="BC24" s="77" t="s">
        <v>133</v>
      </c>
      <c r="BD24" s="11">
        <f>IF(D44="No",BD18,BE18)</f>
        <v>11</v>
      </c>
      <c r="BH24" s="56"/>
      <c r="BL24" s="103" t="s">
        <v>470</v>
      </c>
      <c r="BN24" s="103" t="s">
        <v>472</v>
      </c>
      <c r="BP24" s="103" t="s">
        <v>473</v>
      </c>
    </row>
    <row r="25" spans="2:83" ht="15" x14ac:dyDescent="0.2">
      <c r="B25" s="24"/>
      <c r="C25" s="940" t="s">
        <v>143</v>
      </c>
      <c r="D25" s="941">
        <v>4.91</v>
      </c>
      <c r="E25" s="2116" t="s">
        <v>41</v>
      </c>
      <c r="F25" s="940" t="s">
        <v>146</v>
      </c>
      <c r="G25" s="941">
        <v>9.9949999999999992</v>
      </c>
      <c r="H25" s="939" t="s">
        <v>42</v>
      </c>
      <c r="I25" s="24"/>
      <c r="J25" s="10"/>
      <c r="K25" s="10"/>
      <c r="M25" s="56"/>
      <c r="O25" s="48"/>
      <c r="R25" s="20" t="s">
        <v>240</v>
      </c>
      <c r="S25" s="125">
        <f>Sheet1!AZ66</f>
        <v>5.1564183474201464</v>
      </c>
      <c r="T25" s="129" t="s">
        <v>169</v>
      </c>
      <c r="V25" s="2117"/>
      <c r="W25" s="2118"/>
      <c r="X25" s="2118"/>
      <c r="Y25" s="2118"/>
      <c r="Z25" s="2119"/>
      <c r="AA25" s="56"/>
      <c r="AJ25" s="48" t="s">
        <v>648</v>
      </c>
      <c r="AK25" s="65" t="s">
        <v>649</v>
      </c>
      <c r="AL25" s="65" t="s">
        <v>111</v>
      </c>
      <c r="AM25" s="65" t="s">
        <v>650</v>
      </c>
      <c r="AN25" s="11" t="s">
        <v>651</v>
      </c>
      <c r="AR25" s="11">
        <f>AQ26^2/0.75^2</f>
        <v>0.74243297380585505</v>
      </c>
      <c r="AV25" s="65">
        <v>0</v>
      </c>
      <c r="AW25" s="65">
        <f>IF(D32=2,0,IF(AN3=0,D37/2,D37))</f>
        <v>1.75</v>
      </c>
      <c r="AX25" s="65"/>
      <c r="AY25" s="70"/>
      <c r="BH25" s="56"/>
      <c r="BL25" s="97">
        <f>BL33/BL10</f>
        <v>0.23344755167458828</v>
      </c>
      <c r="BS25" s="77" t="s">
        <v>484</v>
      </c>
      <c r="BT25" s="65">
        <f>MAX(BT23:CE23)</f>
        <v>0.75256234042442005</v>
      </c>
    </row>
    <row r="26" spans="2:83" ht="15" x14ac:dyDescent="0.25">
      <c r="B26" s="24"/>
      <c r="C26" s="940" t="s">
        <v>144</v>
      </c>
      <c r="D26" s="941">
        <v>0.99</v>
      </c>
      <c r="E26" s="2116" t="s">
        <v>41</v>
      </c>
      <c r="F26" s="940" t="s">
        <v>147</v>
      </c>
      <c r="G26" s="941">
        <v>0.1</v>
      </c>
      <c r="H26" s="939" t="s">
        <v>42</v>
      </c>
      <c r="I26" s="24"/>
      <c r="J26" s="10"/>
      <c r="K26" s="10"/>
      <c r="M26" s="56"/>
      <c r="O26" s="48"/>
      <c r="R26" s="20" t="s">
        <v>241</v>
      </c>
      <c r="S26" s="125">
        <f>Sheet1!AZ67</f>
        <v>5.1520412430430422</v>
      </c>
      <c r="T26" s="129" t="s">
        <v>169</v>
      </c>
      <c r="V26" s="2120" t="str">
        <f>IF(BE67&gt;0,"Note: Stiffeners required for bracket!","")</f>
        <v>Note: Stiffeners required for bracket!</v>
      </c>
      <c r="W26" s="2121"/>
      <c r="X26" s="2121"/>
      <c r="Y26" s="2121"/>
      <c r="Z26" s="2122"/>
      <c r="AA26" s="56"/>
      <c r="AJ26" s="65">
        <f>IF(G9="Flat-Flat",D11/2,(D11/COS(AX10)-AX11/2*SIN(AX10))/2)</f>
        <v>3.5</v>
      </c>
      <c r="AK26" s="11">
        <f>(AX12*D47^3)/12+(D47*AN26^3)/12+(AX12*D47)*(AL26-D47/2)^2+(D47*AN26)*(D51/2-AL26)^2</f>
        <v>95.273148148148152</v>
      </c>
      <c r="AL26" s="11">
        <f>(AX12*D47/2+AN26*D51/2)/(AX12+AN26)</f>
        <v>2.8703703703703702</v>
      </c>
      <c r="AM26" s="11">
        <f>D51-AL26</f>
        <v>6.1296296296296298</v>
      </c>
      <c r="AN26" s="11">
        <f>D50+D38</f>
        <v>8</v>
      </c>
      <c r="AP26" s="77" t="s">
        <v>105</v>
      </c>
      <c r="AQ26" s="11">
        <f>SQRT(6*AQ18/(AT26*D45))</f>
        <v>0.64623412767029986</v>
      </c>
      <c r="AR26" s="11">
        <f>6*AQ18/(AT26*D47^2)</f>
        <v>27.145205604776571</v>
      </c>
      <c r="AS26" s="90">
        <f>(AR26/D45)</f>
        <v>0.41761854776579338</v>
      </c>
      <c r="AT26" s="11">
        <f>IF(D32=2,MIN(D49,24*D47),D49/2)</f>
        <v>8</v>
      </c>
      <c r="AV26" s="65">
        <v>1</v>
      </c>
      <c r="AW26" s="65">
        <f>IF(D32=2,"",$AW$25+AV26*$D$37/2)</f>
        <v>3.5</v>
      </c>
      <c r="AX26" s="65"/>
      <c r="BC26" s="11" t="s">
        <v>254</v>
      </c>
      <c r="BE26" s="11" t="s">
        <v>457</v>
      </c>
      <c r="BH26" s="56"/>
      <c r="BK26" s="77" t="s">
        <v>467</v>
      </c>
      <c r="BL26" s="97">
        <f>BL34/BL10</f>
        <v>0.41030175748867032</v>
      </c>
    </row>
    <row r="27" spans="2:83" ht="15" x14ac:dyDescent="0.25">
      <c r="B27" s="24"/>
      <c r="C27" s="940" t="s">
        <v>145</v>
      </c>
      <c r="D27" s="941">
        <v>1.74</v>
      </c>
      <c r="E27" s="2116" t="s">
        <v>41</v>
      </c>
      <c r="F27" s="940" t="s">
        <v>148</v>
      </c>
      <c r="G27" s="941">
        <v>29.112500000000001</v>
      </c>
      <c r="H27" s="939" t="s">
        <v>42</v>
      </c>
      <c r="I27" s="24"/>
      <c r="J27" s="10"/>
      <c r="K27" s="10"/>
      <c r="M27" s="56"/>
      <c r="O27" s="48"/>
      <c r="R27" s="20" t="s">
        <v>247</v>
      </c>
      <c r="S27" s="126" t="str">
        <f>Sheet1!AZ62</f>
        <v>NA</v>
      </c>
      <c r="T27" s="129" t="s">
        <v>168</v>
      </c>
      <c r="V27" s="2120" t="str">
        <f>IF(AY21=1,"Note: CJP weld required!","")</f>
        <v/>
      </c>
      <c r="W27" s="2121"/>
      <c r="X27" s="2121"/>
      <c r="Y27" s="2121"/>
      <c r="Z27" s="2122"/>
      <c r="AA27" s="56"/>
      <c r="AJ27" s="1525" t="s">
        <v>647</v>
      </c>
      <c r="AK27" s="61" t="s">
        <v>460</v>
      </c>
      <c r="AL27" s="61" t="s">
        <v>104</v>
      </c>
      <c r="AP27" s="77" t="s">
        <v>134</v>
      </c>
      <c r="AQ27" s="11">
        <f>IF(D32=2,AQ18*AN21/(2*AO21),AQ18*AN21/AO21)</f>
        <v>5.3462799213753511</v>
      </c>
      <c r="AS27" s="90">
        <f>(AQ27/D45)</f>
        <v>8.2250460328851555E-2</v>
      </c>
      <c r="AV27" s="65">
        <v>2</v>
      </c>
      <c r="AW27" s="65">
        <f>IF(D32=2,"",$AW$25+AV27*$D$37/2)</f>
        <v>5.25</v>
      </c>
      <c r="BC27" s="11" t="s">
        <v>203</v>
      </c>
      <c r="BE27" s="11" t="s">
        <v>459</v>
      </c>
      <c r="BH27" s="56"/>
      <c r="BK27" s="77" t="s">
        <v>468</v>
      </c>
      <c r="BL27" s="97">
        <f>BL32/BL10</f>
        <v>1.157805534062857</v>
      </c>
    </row>
    <row r="28" spans="2:83" ht="15" customHeight="1" thickBot="1" x14ac:dyDescent="0.3">
      <c r="B28" s="26"/>
      <c r="C28" s="29"/>
      <c r="D28" s="30"/>
      <c r="E28" s="27"/>
      <c r="F28" s="29"/>
      <c r="G28" s="30"/>
      <c r="H28" s="28"/>
      <c r="I28" s="24"/>
      <c r="J28" s="10"/>
      <c r="K28" s="10"/>
      <c r="M28" s="56"/>
      <c r="O28" s="48"/>
      <c r="R28" s="20" t="s">
        <v>248</v>
      </c>
      <c r="S28" s="127">
        <f>Sheet1!AZ61</f>
        <v>-0.46298612067988537</v>
      </c>
      <c r="T28" s="129" t="s">
        <v>168</v>
      </c>
      <c r="V28" s="2129"/>
      <c r="W28" s="2130"/>
      <c r="X28" s="2130"/>
      <c r="Y28" s="2130"/>
      <c r="Z28" s="2131"/>
      <c r="AA28" s="56"/>
      <c r="AJ28" s="1524">
        <v>1</v>
      </c>
      <c r="AK28" s="65">
        <f t="shared" ref="AK28:AK35" si="17">IF(AK10&gt;$AJ$26,AK10-$AJ$26,0)</f>
        <v>0</v>
      </c>
      <c r="AL28" s="65">
        <f>AP10*AK28</f>
        <v>0</v>
      </c>
      <c r="AP28" s="77" t="s">
        <v>652</v>
      </c>
      <c r="AQ28" s="11">
        <f>MAX(AQ27,AM36)</f>
        <v>5.3462799213753511</v>
      </c>
      <c r="AS28" s="90">
        <f>(AQ28/D45)</f>
        <v>8.2250460328851555E-2</v>
      </c>
      <c r="AV28" s="65">
        <v>3</v>
      </c>
      <c r="AW28" s="65">
        <f>IF(D32=2,"",$AW$25+AV28*$D$37/2)</f>
        <v>7</v>
      </c>
      <c r="BC28" s="11" t="s">
        <v>199</v>
      </c>
      <c r="BE28" s="11" t="s">
        <v>621</v>
      </c>
      <c r="BH28" s="56"/>
      <c r="BK28" s="77" t="s">
        <v>471</v>
      </c>
    </row>
    <row r="29" spans="2:83" ht="16.5" customHeight="1" x14ac:dyDescent="0.25">
      <c r="B29" s="146" t="s">
        <v>44</v>
      </c>
      <c r="C29" s="22"/>
      <c r="D29" s="22"/>
      <c r="E29" s="22"/>
      <c r="F29" s="22"/>
      <c r="G29" s="22"/>
      <c r="H29" s="23"/>
      <c r="I29" s="24"/>
      <c r="J29" s="10"/>
      <c r="K29" s="10"/>
      <c r="M29" s="56"/>
      <c r="O29" s="48"/>
      <c r="R29" s="20" t="s">
        <v>249</v>
      </c>
      <c r="S29" s="127">
        <f>Sheet1!AZ63</f>
        <v>-0.46298612067988537</v>
      </c>
      <c r="T29" s="129" t="s">
        <v>168</v>
      </c>
      <c r="V29" s="2123" t="str">
        <f>IF(AND(D15&gt;0,S28="NA"), "Curve Arm Will Not Work!","")</f>
        <v/>
      </c>
      <c r="W29" s="2124"/>
      <c r="X29" s="2124"/>
      <c r="Y29" s="2124"/>
      <c r="Z29" s="2125"/>
      <c r="AA29" s="56"/>
      <c r="AJ29" s="1524">
        <v>2</v>
      </c>
      <c r="AK29" s="65">
        <f t="shared" si="17"/>
        <v>1.75</v>
      </c>
      <c r="AL29" s="65">
        <f t="shared" ref="AL29:AL35" si="18">AP11*AK29</f>
        <v>21.794301136363629</v>
      </c>
      <c r="AV29" s="65">
        <v>4</v>
      </c>
      <c r="AW29" s="65">
        <f>IF(D32=2,"",$AW$25+AV29*$D$37/2)</f>
        <v>8.75</v>
      </c>
      <c r="BE29" s="11" t="s">
        <v>622</v>
      </c>
      <c r="BH29" s="56"/>
      <c r="BJ29" s="158" t="s">
        <v>469</v>
      </c>
      <c r="BK29" s="152"/>
      <c r="BL29" s="152"/>
      <c r="BM29" s="152"/>
      <c r="BN29" s="152"/>
      <c r="BO29" s="152"/>
      <c r="BP29" s="152"/>
      <c r="BQ29" s="153"/>
    </row>
    <row r="30" spans="2:83" ht="18" customHeight="1" x14ac:dyDescent="0.25">
      <c r="B30" s="48"/>
      <c r="C30" s="20" t="s">
        <v>45</v>
      </c>
      <c r="D30" s="133" t="s">
        <v>47</v>
      </c>
      <c r="E30" s="10"/>
      <c r="F30" s="20" t="s">
        <v>53</v>
      </c>
      <c r="G30" s="7">
        <f>VLOOKUP(D30,BoltProperties,AL3,FALSE)</f>
        <v>81</v>
      </c>
      <c r="H30" s="25" t="s">
        <v>55</v>
      </c>
      <c r="I30" s="24"/>
      <c r="J30" s="10"/>
      <c r="K30" s="10"/>
      <c r="M30" s="56"/>
      <c r="O30" s="48"/>
      <c r="V30" s="2126"/>
      <c r="W30" s="2127"/>
      <c r="X30" s="2127"/>
      <c r="Y30" s="2127"/>
      <c r="Z30" s="2128"/>
      <c r="AA30" s="56"/>
      <c r="AJ30" s="1524">
        <v>3</v>
      </c>
      <c r="AK30" s="65">
        <f t="shared" si="17"/>
        <v>0</v>
      </c>
      <c r="AL30" s="65">
        <f t="shared" si="18"/>
        <v>0</v>
      </c>
      <c r="AP30" s="77" t="s">
        <v>646</v>
      </c>
      <c r="AQ30" s="11">
        <f>IF(D9="Hexagonal",IF(G9="Flat-Flat",MIN((D63+D47-(D11+0))/2,(D63+D47-(D11+0)/COS(AX10)+AX11/2*SIN(AX10))/2),(D63+D47-(D11+0))/2),IF(G9="Flat-Flat",(D63+D47-(D11+0))/2,MIN((D63+D47-(D11+0))/2,(D63+D47-(D11+0)/COS(AX10)+AX11/2*SIN(AX10))/2)))</f>
        <v>2.5</v>
      </c>
      <c r="AV30" s="65">
        <v>5</v>
      </c>
      <c r="AW30" s="65">
        <f>IF(D32=2,"",$AW$25+AV30*$D$37/2)</f>
        <v>10.5</v>
      </c>
      <c r="AY30" s="158" t="s">
        <v>256</v>
      </c>
      <c r="AZ30" s="152"/>
      <c r="BA30" s="152"/>
      <c r="BB30" s="152"/>
      <c r="BC30" s="152"/>
      <c r="BD30" s="152"/>
      <c r="BE30" s="152"/>
      <c r="BF30" s="153"/>
      <c r="BH30" s="56"/>
      <c r="BJ30" s="154"/>
      <c r="BQ30" s="155"/>
    </row>
    <row r="31" spans="2:83" ht="15" x14ac:dyDescent="0.25">
      <c r="B31" s="24"/>
      <c r="C31" s="20" t="s">
        <v>59</v>
      </c>
      <c r="D31" s="134">
        <v>1.25</v>
      </c>
      <c r="E31" s="10" t="s">
        <v>31</v>
      </c>
      <c r="F31" s="20" t="s">
        <v>54</v>
      </c>
      <c r="G31" s="8">
        <f>VLOOKUP(D30,BoltProperties,AL3+3,FALSE)</f>
        <v>105</v>
      </c>
      <c r="H31" s="25" t="s">
        <v>55</v>
      </c>
      <c r="I31" s="24"/>
      <c r="J31" s="10"/>
      <c r="M31" s="56"/>
      <c r="O31" s="48"/>
      <c r="R31" s="77" t="s">
        <v>262</v>
      </c>
      <c r="S31" s="81">
        <f>BE65</f>
        <v>68</v>
      </c>
      <c r="T31" s="11" t="s">
        <v>264</v>
      </c>
      <c r="V31" s="2120" t="str">
        <f>IF(D15=0,"",IFERROR(IF(Sheet1!BE63/Sheet1!D12&gt;40,"WARNING! D/T &gt; 40!",""),""))</f>
        <v/>
      </c>
      <c r="W31" s="2121"/>
      <c r="X31" s="2121"/>
      <c r="Y31" s="2121"/>
      <c r="Z31" s="2122"/>
      <c r="AA31" s="56"/>
      <c r="AJ31" s="1524">
        <v>4</v>
      </c>
      <c r="AK31" s="65">
        <f t="shared" si="17"/>
        <v>0</v>
      </c>
      <c r="AL31" s="65">
        <f t="shared" si="18"/>
        <v>0</v>
      </c>
      <c r="AV31" s="65">
        <v>6</v>
      </c>
      <c r="AW31" s="65">
        <f>IF(D32=2,"",$AW$25+AV31*$D$37/2)</f>
        <v>12.25</v>
      </c>
      <c r="AY31" s="154"/>
      <c r="AZ31" s="2136" t="s">
        <v>40</v>
      </c>
      <c r="BA31" s="2136"/>
      <c r="BB31" s="10"/>
      <c r="BD31" s="2136" t="s">
        <v>39</v>
      </c>
      <c r="BE31" s="2136"/>
      <c r="BF31" s="156"/>
      <c r="BH31" s="56"/>
      <c r="BJ31" s="154"/>
      <c r="BK31" s="2136" t="s">
        <v>40</v>
      </c>
      <c r="BL31" s="2136"/>
      <c r="BM31" s="10"/>
      <c r="BO31" s="2136" t="s">
        <v>39</v>
      </c>
      <c r="BP31" s="2136"/>
      <c r="BQ31" s="156"/>
    </row>
    <row r="32" spans="2:83" ht="15.75" customHeight="1" thickBot="1" x14ac:dyDescent="0.3">
      <c r="B32" s="24"/>
      <c r="C32" s="20" t="s">
        <v>58</v>
      </c>
      <c r="D32" s="133">
        <v>8</v>
      </c>
      <c r="E32" s="10"/>
      <c r="F32" s="20" t="s">
        <v>60</v>
      </c>
      <c r="G32" s="8">
        <f>VLOOKUP(D31,BoltDim,4,FALSE)</f>
        <v>1.2270000000000001</v>
      </c>
      <c r="H32" s="25" t="s">
        <v>68</v>
      </c>
      <c r="I32" s="24"/>
      <c r="J32" s="10"/>
      <c r="M32" s="56"/>
      <c r="O32" s="48"/>
      <c r="R32" s="77" t="s">
        <v>618</v>
      </c>
      <c r="S32" s="164">
        <f>BE66+BE67</f>
        <v>155</v>
      </c>
      <c r="T32" s="11" t="s">
        <v>264</v>
      </c>
      <c r="V32" s="2120" t="str">
        <f>IF(D15=0,"",IFERROR(IF(Sheet1!BE61&gt;0.65,"WARNING! Taper is to large!",""),""))</f>
        <v/>
      </c>
      <c r="W32" s="2121"/>
      <c r="X32" s="2121"/>
      <c r="Y32" s="2121"/>
      <c r="Z32" s="2122"/>
      <c r="AA32" s="56"/>
      <c r="AJ32" s="1524">
        <v>5</v>
      </c>
      <c r="AK32" s="65">
        <f t="shared" si="17"/>
        <v>0</v>
      </c>
      <c r="AL32" s="65">
        <f t="shared" si="18"/>
        <v>0</v>
      </c>
      <c r="AQ32" s="11">
        <f>IF(G9="Flat-Flat",(D63+D47-(D11+0))/2,MIN((D63+D47-(D11+0))/2,(D63+D47-(D11+0)/COS(AX10)+AX11/2*SIN(AX10))/2))</f>
        <v>2.5</v>
      </c>
      <c r="AR32" s="11">
        <f>6*AR18/(D49/2*D47^2)</f>
        <v>20.532911931818177</v>
      </c>
      <c r="AS32" s="11">
        <f>(AR32/D45)^2</f>
        <v>9.9787094059124545E-2</v>
      </c>
      <c r="AV32" s="65">
        <v>7</v>
      </c>
      <c r="AW32" s="65">
        <f>IF(D32=2,"",$AW$25+AV32*$D$37/2)</f>
        <v>14</v>
      </c>
      <c r="AY32" s="154"/>
      <c r="AZ32" s="20" t="s">
        <v>143</v>
      </c>
      <c r="BA32" s="942">
        <f>D25</f>
        <v>4.91</v>
      </c>
      <c r="BB32" s="160" t="s">
        <v>41</v>
      </c>
      <c r="BC32" s="78"/>
      <c r="BD32" s="161" t="s">
        <v>146</v>
      </c>
      <c r="BE32" s="942">
        <f>IF(G14="Pole Face", G25-D25*D64/12,G25+D25*(D50+D47)/12)</f>
        <v>8.7674999999999983</v>
      </c>
      <c r="BF32" s="156" t="s">
        <v>42</v>
      </c>
      <c r="BH32" s="56"/>
      <c r="BJ32" s="154"/>
      <c r="BK32" s="20" t="s">
        <v>143</v>
      </c>
      <c r="BL32" s="942">
        <f>D25</f>
        <v>4.91</v>
      </c>
      <c r="BM32" s="160" t="s">
        <v>41</v>
      </c>
      <c r="BN32" s="78"/>
      <c r="BO32" s="161" t="s">
        <v>146</v>
      </c>
      <c r="BP32" s="942">
        <f>IF(G14="Pole Face", G25-D25*(D64+D50+D47)/12,G25)</f>
        <v>5.8521874999999985</v>
      </c>
      <c r="BQ32" s="156" t="s">
        <v>42</v>
      </c>
    </row>
    <row r="33" spans="2:69" ht="15.75" thickTop="1" x14ac:dyDescent="0.25">
      <c r="B33" s="24"/>
      <c r="F33" s="20" t="s">
        <v>61</v>
      </c>
      <c r="G33" s="8">
        <f>VLOOKUP(D31,BoltDim,5,FALSE)</f>
        <v>0.96899999999999997</v>
      </c>
      <c r="H33" s="25" t="s">
        <v>68</v>
      </c>
      <c r="I33" s="48"/>
      <c r="K33" s="138">
        <v>3.75</v>
      </c>
      <c r="L33" s="2153">
        <f>G56</f>
        <v>3.75</v>
      </c>
      <c r="M33" s="56"/>
      <c r="O33" s="48"/>
      <c r="R33" s="77" t="s">
        <v>263</v>
      </c>
      <c r="S33" s="81">
        <f>S31+S32</f>
        <v>223</v>
      </c>
      <c r="T33" s="11" t="s">
        <v>264</v>
      </c>
      <c r="V33" s="2120" t="str">
        <f>IF(D15=0,"",IFERROR(IF(S27&gt;15,"WARNING! Too much rise!",""),""))</f>
        <v/>
      </c>
      <c r="W33" s="2121"/>
      <c r="X33" s="2121"/>
      <c r="Y33" s="2121"/>
      <c r="Z33" s="2122"/>
      <c r="AA33" s="56"/>
      <c r="AJ33" s="1524">
        <v>6</v>
      </c>
      <c r="AK33" s="65">
        <f t="shared" si="17"/>
        <v>0</v>
      </c>
      <c r="AL33" s="65">
        <f t="shared" si="18"/>
        <v>0</v>
      </c>
      <c r="AV33" s="65">
        <v>8</v>
      </c>
      <c r="AW33" s="65">
        <f>IF(D32=2,"",$AW$25+AV33*$D$37/2)</f>
        <v>15.75</v>
      </c>
      <c r="AY33" s="154"/>
      <c r="AZ33" s="20" t="s">
        <v>144</v>
      </c>
      <c r="BA33" s="942">
        <f>D26</f>
        <v>0.99</v>
      </c>
      <c r="BB33" s="160" t="s">
        <v>41</v>
      </c>
      <c r="BC33" s="78"/>
      <c r="BD33" s="161" t="s">
        <v>147</v>
      </c>
      <c r="BE33" s="942">
        <f>G26</f>
        <v>0.1</v>
      </c>
      <c r="BF33" s="156" t="s">
        <v>42</v>
      </c>
      <c r="BH33" s="56"/>
      <c r="BJ33" s="154"/>
      <c r="BK33" s="20" t="s">
        <v>144</v>
      </c>
      <c r="BL33" s="942">
        <f>D26</f>
        <v>0.99</v>
      </c>
      <c r="BM33" s="160" t="s">
        <v>41</v>
      </c>
      <c r="BN33" s="78"/>
      <c r="BO33" s="161" t="s">
        <v>147</v>
      </c>
      <c r="BP33" s="942">
        <f>G26</f>
        <v>0.1</v>
      </c>
      <c r="BQ33" s="156" t="s">
        <v>42</v>
      </c>
    </row>
    <row r="34" spans="2:69" ht="15" x14ac:dyDescent="0.25">
      <c r="B34" s="24"/>
      <c r="C34" s="20" t="s">
        <v>62</v>
      </c>
      <c r="D34" s="2150" t="s">
        <v>65</v>
      </c>
      <c r="E34" s="2150"/>
      <c r="F34" s="20" t="s">
        <v>70</v>
      </c>
      <c r="G34" s="6">
        <f>IF(D34="Exclude Threads",0.45,0.35)*G31</f>
        <v>47.25</v>
      </c>
      <c r="H34" s="25" t="s">
        <v>55</v>
      </c>
      <c r="I34" s="48"/>
      <c r="K34" s="10"/>
      <c r="L34" s="2153"/>
      <c r="M34" s="56"/>
      <c r="O34" s="48"/>
      <c r="V34" s="2120" t="str">
        <f>IF(D15=0,"",IFERROR(IF(OR(AND(D15=10,S14&lt;6),AND(D15=20,Sheet1!S14&lt;10)),"WARNING! Arm is too short!",IF(OR(AND(D15=10,S23&lt;=2.5),AND(D15=20,S23&lt;=5)),"WARNING! Arm is too short!","")),""))</f>
        <v/>
      </c>
      <c r="W34" s="2121"/>
      <c r="X34" s="2121"/>
      <c r="Y34" s="2121"/>
      <c r="Z34" s="2122"/>
      <c r="AA34" s="56"/>
      <c r="AJ34" s="1524">
        <v>7</v>
      </c>
      <c r="AK34" s="65">
        <f t="shared" si="17"/>
        <v>0</v>
      </c>
      <c r="AL34" s="65">
        <f t="shared" si="18"/>
        <v>0</v>
      </c>
      <c r="AV34" s="65">
        <v>9</v>
      </c>
      <c r="AW34" s="65">
        <f>IF(D32=2,"",$AW$25+AV34*$D$37/2)</f>
        <v>17.5</v>
      </c>
      <c r="AY34" s="154"/>
      <c r="AZ34" s="20" t="s">
        <v>145</v>
      </c>
      <c r="BA34" s="942">
        <f>D27</f>
        <v>1.74</v>
      </c>
      <c r="BB34" s="160" t="s">
        <v>41</v>
      </c>
      <c r="BC34" s="78"/>
      <c r="BD34" s="161" t="s">
        <v>148</v>
      </c>
      <c r="BE34" s="942">
        <f>IF(G14="Pole Face", G27-D27*D64/12,G27+D27*(D50+D47)/12)</f>
        <v>28.677500000000002</v>
      </c>
      <c r="BF34" s="156" t="s">
        <v>42</v>
      </c>
      <c r="BH34" s="56"/>
      <c r="BJ34" s="154"/>
      <c r="BK34" s="20" t="s">
        <v>145</v>
      </c>
      <c r="BL34" s="942">
        <f>D27</f>
        <v>1.74</v>
      </c>
      <c r="BM34" s="160" t="s">
        <v>41</v>
      </c>
      <c r="BN34" s="78"/>
      <c r="BO34" s="161" t="s">
        <v>148</v>
      </c>
      <c r="BP34" s="942">
        <f>IF(G14="Pole Face", G27-D27*(D64+D50+D47)/12,G27)</f>
        <v>27.644375</v>
      </c>
      <c r="BQ34" s="156" t="s">
        <v>42</v>
      </c>
    </row>
    <row r="35" spans="2:69" ht="15" x14ac:dyDescent="0.25">
      <c r="B35" s="24"/>
      <c r="C35" s="20"/>
      <c r="D35" s="9"/>
      <c r="E35" s="10"/>
      <c r="F35" s="10"/>
      <c r="G35" s="10"/>
      <c r="H35" s="25"/>
      <c r="I35" s="24"/>
      <c r="J35" s="10"/>
      <c r="K35" s="10"/>
      <c r="M35" s="56"/>
      <c r="O35" s="48"/>
      <c r="V35" s="2120" t="str">
        <f>IF(D15=0,"",IF(OR(AND(Sheet1!AQ43&gt;7,Sheet1!D15=10),AND(Sheet1!AQ43&gt;10,Sheet1!D15=20)), "WARNING! Tip diameter is too large!",""))</f>
        <v/>
      </c>
      <c r="W35" s="2121"/>
      <c r="X35" s="2121"/>
      <c r="Y35" s="2121"/>
      <c r="Z35" s="2122"/>
      <c r="AA35" s="56"/>
      <c r="AJ35" s="1525">
        <v>8</v>
      </c>
      <c r="AK35" s="61">
        <f t="shared" si="17"/>
        <v>0</v>
      </c>
      <c r="AL35" s="61">
        <f t="shared" si="18"/>
        <v>0</v>
      </c>
      <c r="AM35" s="61" t="s">
        <v>653</v>
      </c>
      <c r="AV35" s="65">
        <v>10</v>
      </c>
      <c r="AW35" s="65">
        <f>IF(D32=2,"",$AW$25+AV35*$D$37/2)</f>
        <v>19.25</v>
      </c>
      <c r="AY35" s="157"/>
      <c r="AZ35" s="59"/>
      <c r="BA35" s="59"/>
      <c r="BB35" s="59"/>
      <c r="BC35" s="59"/>
      <c r="BD35" s="59"/>
      <c r="BE35" s="59"/>
      <c r="BF35" s="159"/>
      <c r="BH35" s="56"/>
      <c r="BJ35" s="157"/>
      <c r="BK35" s="59"/>
      <c r="BL35" s="59"/>
      <c r="BM35" s="59"/>
      <c r="BN35" s="59"/>
      <c r="BO35" s="59"/>
      <c r="BP35" s="59"/>
      <c r="BQ35" s="159"/>
    </row>
    <row r="36" spans="2:69" ht="15" x14ac:dyDescent="0.25">
      <c r="B36" s="24"/>
      <c r="C36" s="20" t="s">
        <v>72</v>
      </c>
      <c r="D36" s="133">
        <v>1.75</v>
      </c>
      <c r="E36" s="10" t="s">
        <v>31</v>
      </c>
      <c r="F36" s="10"/>
      <c r="G36" s="10"/>
      <c r="H36" s="25"/>
      <c r="I36" s="24"/>
      <c r="K36" s="10"/>
      <c r="M36" s="56"/>
      <c r="O36" s="48"/>
      <c r="V36" s="2120" t="str">
        <f>IF(D15=0,"",IFERROR(IF(OR(AND(Sheet1!BE62&gt;11,Sheet1!D15=10),AND(Sheet1!BE62&gt;16.5,Sheet1!D15=20)), "WARNING! Bend end diameter is too large!",""),""))</f>
        <v/>
      </c>
      <c r="W36" s="2121"/>
      <c r="X36" s="2121"/>
      <c r="Y36" s="2121"/>
      <c r="Z36" s="2122"/>
      <c r="AA36" s="56"/>
      <c r="AJ36" s="48"/>
      <c r="AL36" s="11">
        <f>SUM(AL28:AL35)</f>
        <v>21.794301136363629</v>
      </c>
      <c r="AM36" s="11">
        <f>AL36*AM26/AK26</f>
        <v>1.4021893534450383</v>
      </c>
      <c r="BH36" s="56"/>
    </row>
    <row r="37" spans="2:69" ht="15.75" thickBot="1" x14ac:dyDescent="0.3">
      <c r="B37" s="24"/>
      <c r="C37" s="20" t="s">
        <v>73</v>
      </c>
      <c r="D37" s="113">
        <f>IF(F37="",AX19,F37)</f>
        <v>3.5</v>
      </c>
      <c r="E37" s="10" t="s">
        <v>31</v>
      </c>
      <c r="F37" s="130"/>
      <c r="G37" s="104" t="s">
        <v>35</v>
      </c>
      <c r="H37" s="56"/>
      <c r="I37" s="24"/>
      <c r="J37" s="139">
        <v>11</v>
      </c>
      <c r="K37" s="10"/>
      <c r="M37" s="56"/>
      <c r="O37" s="48"/>
      <c r="V37" s="2141" t="str">
        <f>IF(OR(D15=0,AND(D15=10,D12&gt;0.1875,D12&lt;0.375),AND(D15=20,D12&gt;0.1875,D12&lt;0.4375)),"","WARNING! Incorrect Shaft Thickness")</f>
        <v/>
      </c>
      <c r="W37" s="2142"/>
      <c r="X37" s="2142"/>
      <c r="Y37" s="2142"/>
      <c r="Z37" s="2143"/>
      <c r="AA37" s="56"/>
      <c r="AJ37" s="92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91"/>
    </row>
    <row r="38" spans="2:69" ht="15" customHeight="1" thickBot="1" x14ac:dyDescent="0.25">
      <c r="B38" s="24"/>
      <c r="C38" s="20" t="s">
        <v>74</v>
      </c>
      <c r="D38" s="113">
        <f>IF(F38="",AX18,F38)</f>
        <v>1.875</v>
      </c>
      <c r="E38" s="10" t="s">
        <v>31</v>
      </c>
      <c r="F38" s="130"/>
      <c r="G38" s="104" t="s">
        <v>35</v>
      </c>
      <c r="H38" s="56"/>
      <c r="I38" s="24"/>
      <c r="J38" s="139"/>
      <c r="K38" s="10"/>
      <c r="M38" s="56"/>
      <c r="O38" s="48"/>
      <c r="AA38" s="56"/>
    </row>
    <row r="39" spans="2:69" ht="15.75" thickBot="1" x14ac:dyDescent="0.3">
      <c r="B39" s="24"/>
      <c r="C39" s="20" t="s">
        <v>75</v>
      </c>
      <c r="D39" s="113">
        <f>D49/2-AK18</f>
        <v>2.75</v>
      </c>
      <c r="E39" s="10" t="s">
        <v>31</v>
      </c>
      <c r="F39" s="20"/>
      <c r="G39" s="9"/>
      <c r="H39" s="25"/>
      <c r="I39" s="24"/>
      <c r="J39" s="139"/>
      <c r="K39" s="10"/>
      <c r="M39" s="56"/>
      <c r="N39" s="10"/>
      <c r="O39" s="48"/>
      <c r="AA39" s="56"/>
      <c r="AJ39" s="2138" t="s">
        <v>196</v>
      </c>
      <c r="AK39" s="2139"/>
      <c r="AL39" s="2139"/>
      <c r="AM39" s="2139"/>
      <c r="AN39" s="2139"/>
      <c r="AO39" s="2139"/>
      <c r="AP39" s="2139"/>
      <c r="AQ39" s="2139"/>
      <c r="AR39" s="2139"/>
      <c r="AS39" s="2139"/>
      <c r="AT39" s="2139"/>
      <c r="AU39" s="2139"/>
      <c r="AV39" s="2139"/>
      <c r="AW39" s="2140"/>
      <c r="AX39" s="2138" t="s">
        <v>196</v>
      </c>
      <c r="AY39" s="2139"/>
      <c r="AZ39" s="2139"/>
      <c r="BA39" s="2139"/>
      <c r="BB39" s="2139"/>
      <c r="BC39" s="2139"/>
      <c r="BD39" s="2139"/>
      <c r="BE39" s="2139"/>
      <c r="BF39" s="2139"/>
      <c r="BG39" s="2139"/>
      <c r="BH39" s="2140"/>
    </row>
    <row r="40" spans="2:69" ht="15.75" customHeight="1" thickBot="1" x14ac:dyDescent="0.25">
      <c r="B40" s="26"/>
      <c r="C40" s="29"/>
      <c r="D40" s="30"/>
      <c r="E40" s="27"/>
      <c r="F40" s="29"/>
      <c r="G40" s="30"/>
      <c r="H40" s="28"/>
      <c r="I40" s="26"/>
      <c r="J40" s="27"/>
      <c r="K40" s="27"/>
      <c r="L40" s="84"/>
      <c r="M40" s="91"/>
      <c r="O40" s="48"/>
      <c r="AA40" s="56"/>
      <c r="AJ40" s="48"/>
      <c r="AW40" s="56"/>
      <c r="AX40" s="48"/>
      <c r="BH40" s="56"/>
    </row>
    <row r="41" spans="2:69" ht="18" customHeight="1" x14ac:dyDescent="0.2">
      <c r="B41" s="144" t="s">
        <v>85</v>
      </c>
      <c r="C41" s="145"/>
      <c r="D41" s="46"/>
      <c r="E41" s="46"/>
      <c r="F41" s="22"/>
      <c r="G41" s="22"/>
      <c r="H41" s="23"/>
      <c r="I41" s="144" t="s">
        <v>138</v>
      </c>
      <c r="J41" s="22"/>
      <c r="K41" s="22"/>
      <c r="L41" s="46"/>
      <c r="M41" s="47"/>
      <c r="N41" s="20"/>
      <c r="O41" s="48"/>
      <c r="AA41" s="56"/>
      <c r="AJ41" s="94" t="s">
        <v>212</v>
      </c>
      <c r="AW41" s="56"/>
      <c r="AX41" s="94"/>
      <c r="BH41" s="56"/>
    </row>
    <row r="42" spans="2:69" ht="7.5" customHeight="1" x14ac:dyDescent="0.2">
      <c r="B42" s="93"/>
      <c r="C42" s="10"/>
      <c r="D42" s="10"/>
      <c r="E42" s="10"/>
      <c r="F42" s="10"/>
      <c r="G42" s="10"/>
      <c r="H42" s="25"/>
      <c r="I42" s="10"/>
      <c r="J42" s="10"/>
      <c r="K42" s="10"/>
      <c r="M42" s="56"/>
      <c r="N42" s="21"/>
      <c r="O42" s="48"/>
      <c r="AA42" s="56"/>
      <c r="AJ42" s="94"/>
      <c r="AM42" s="96"/>
      <c r="AW42" s="56"/>
      <c r="AX42" s="94"/>
      <c r="BH42" s="56"/>
    </row>
    <row r="43" spans="2:69" x14ac:dyDescent="0.2">
      <c r="B43" s="143" t="s">
        <v>77</v>
      </c>
      <c r="C43" s="10"/>
      <c r="D43" s="10"/>
      <c r="E43" s="10"/>
      <c r="F43" s="161" t="s">
        <v>490</v>
      </c>
      <c r="H43" s="31"/>
      <c r="I43" s="142" t="s">
        <v>44</v>
      </c>
      <c r="J43" s="10"/>
      <c r="K43" s="10"/>
      <c r="M43" s="25"/>
      <c r="N43" s="21"/>
      <c r="O43" s="48"/>
      <c r="AA43" s="56"/>
      <c r="AJ43" s="48"/>
      <c r="AL43" s="77" t="s">
        <v>158</v>
      </c>
      <c r="AM43" s="11">
        <f>Sheet1!S14*12</f>
        <v>61.875</v>
      </c>
      <c r="AN43" s="11" t="s">
        <v>31</v>
      </c>
      <c r="AP43" s="77" t="s">
        <v>211</v>
      </c>
      <c r="AQ43" s="97">
        <f>G10</f>
        <v>6.4943532017543637</v>
      </c>
      <c r="AR43" s="11" t="s">
        <v>210</v>
      </c>
      <c r="AS43" s="11">
        <f>CEILING((AQ44-AQ43)/2,0.5)</f>
        <v>1</v>
      </c>
      <c r="AU43" s="77" t="s">
        <v>209</v>
      </c>
      <c r="AV43" s="11">
        <f>12*SQRT(Sheet1!S14^2+(Sheet1!D16/12)^2)</f>
        <v>61.877020169041757</v>
      </c>
      <c r="AW43" s="56" t="s">
        <v>31</v>
      </c>
      <c r="AX43" s="48"/>
      <c r="BD43" s="77"/>
      <c r="BH43" s="56"/>
    </row>
    <row r="44" spans="2:69" x14ac:dyDescent="0.2">
      <c r="B44" s="35"/>
      <c r="C44" s="20" t="s">
        <v>33</v>
      </c>
      <c r="D44" s="133" t="s">
        <v>19</v>
      </c>
      <c r="E44" s="10"/>
      <c r="H44" s="31"/>
      <c r="I44" s="48"/>
      <c r="J44" s="20" t="s">
        <v>136</v>
      </c>
      <c r="K44" s="89">
        <f>K45*G32</f>
        <v>12.470372716773459</v>
      </c>
      <c r="L44" s="11" t="s">
        <v>41</v>
      </c>
      <c r="M44" s="56"/>
      <c r="O44" s="48"/>
      <c r="AA44" s="56"/>
      <c r="AJ44" s="48"/>
      <c r="AL44" s="77" t="s">
        <v>208</v>
      </c>
      <c r="AM44" s="11">
        <f>Sheet1!D17*12</f>
        <v>0</v>
      </c>
      <c r="AN44" s="11" t="s">
        <v>31</v>
      </c>
      <c r="AP44" s="77" t="s">
        <v>207</v>
      </c>
      <c r="AQ44" s="97">
        <f>G11</f>
        <v>7.5767454020467575</v>
      </c>
      <c r="AU44" s="77" t="s">
        <v>206</v>
      </c>
      <c r="AV44" s="11">
        <f>ATAN(Sheet1!D16/(12*Sheet1!S14))</f>
        <v>-8.080632196899808E-3</v>
      </c>
      <c r="AW44" s="56"/>
      <c r="AX44" s="48"/>
      <c r="AZ44" s="77" t="s">
        <v>205</v>
      </c>
      <c r="BA44" s="11">
        <f>AV43*COS(AV44-BE45)</f>
        <v>61.875000000000007</v>
      </c>
      <c r="BD44" s="77"/>
      <c r="BH44" s="56"/>
      <c r="BK44" s="77" t="s">
        <v>205</v>
      </c>
      <c r="BL44" s="11">
        <f>Sheet1!S14*12</f>
        <v>61.875</v>
      </c>
    </row>
    <row r="45" spans="2:69" x14ac:dyDescent="0.2">
      <c r="B45" s="32"/>
      <c r="C45" s="20" t="s">
        <v>86</v>
      </c>
      <c r="D45" s="130">
        <v>65</v>
      </c>
      <c r="E45" s="10" t="s">
        <v>55</v>
      </c>
      <c r="G45" s="33"/>
      <c r="H45" s="34"/>
      <c r="I45" s="48"/>
      <c r="J45" s="20" t="s">
        <v>69</v>
      </c>
      <c r="K45" s="18">
        <f>AO18</f>
        <v>10.16330294765563</v>
      </c>
      <c r="L45" s="10" t="s">
        <v>55</v>
      </c>
      <c r="M45" s="38"/>
      <c r="O45" s="48"/>
      <c r="AA45" s="56"/>
      <c r="AJ45" s="48"/>
      <c r="AL45" s="77" t="s">
        <v>204</v>
      </c>
      <c r="AM45" s="11">
        <f>Sheet1!D16</f>
        <v>-0.5</v>
      </c>
      <c r="AN45" s="11" t="s">
        <v>31</v>
      </c>
      <c r="AP45" s="77" t="s">
        <v>181</v>
      </c>
      <c r="AQ45" s="11">
        <v>0</v>
      </c>
      <c r="AU45" s="11" t="s">
        <v>203</v>
      </c>
      <c r="AW45" s="98">
        <v>10</v>
      </c>
      <c r="AX45" s="48"/>
      <c r="AZ45" s="77" t="s">
        <v>202</v>
      </c>
      <c r="BA45" s="11">
        <f>AV43*SIN(AV44-BE45)</f>
        <v>-0.50000000000000011</v>
      </c>
      <c r="BB45" s="11" t="s">
        <v>31</v>
      </c>
      <c r="BD45" s="77" t="s">
        <v>201</v>
      </c>
      <c r="BE45" s="11">
        <f>ATAN(Sheet1!S20/AM43)</f>
        <v>0</v>
      </c>
      <c r="BF45" s="77" t="s">
        <v>218</v>
      </c>
      <c r="BG45" s="11">
        <f>BE45*180/PI()</f>
        <v>0</v>
      </c>
      <c r="BH45" s="56"/>
      <c r="BK45" s="77" t="s">
        <v>202</v>
      </c>
      <c r="BL45" s="11">
        <f>Sheet1!D16</f>
        <v>-0.5</v>
      </c>
    </row>
    <row r="46" spans="2:69" ht="15" x14ac:dyDescent="0.25">
      <c r="B46" s="48"/>
      <c r="C46" s="79" t="s">
        <v>54</v>
      </c>
      <c r="D46" s="95">
        <f>VLOOKUP(D45,Grade,2,FALSE)</f>
        <v>80</v>
      </c>
      <c r="E46" s="11" t="s">
        <v>55</v>
      </c>
      <c r="G46" s="10"/>
      <c r="H46" s="25"/>
      <c r="I46" s="48"/>
      <c r="J46" s="20" t="s">
        <v>71</v>
      </c>
      <c r="K46" s="19">
        <f>K45/G34</f>
        <v>0.21509635868054244</v>
      </c>
      <c r="L46" s="10"/>
      <c r="M46" s="39"/>
      <c r="O46" s="48"/>
      <c r="AA46" s="56"/>
      <c r="AJ46" s="48"/>
      <c r="AL46" s="77" t="s">
        <v>200</v>
      </c>
      <c r="AM46" s="11">
        <f>Sheet1!D15*12</f>
        <v>0</v>
      </c>
      <c r="AN46" s="11" t="s">
        <v>31</v>
      </c>
      <c r="AP46" s="77" t="s">
        <v>198</v>
      </c>
      <c r="AQ46" s="11">
        <v>0</v>
      </c>
      <c r="AU46" s="11" t="s">
        <v>199</v>
      </c>
      <c r="AW46" s="98">
        <v>20</v>
      </c>
      <c r="AX46" s="48"/>
      <c r="AZ46" s="77"/>
      <c r="BD46" s="77" t="s">
        <v>198</v>
      </c>
      <c r="BE46" s="11">
        <v>0</v>
      </c>
      <c r="BH46" s="56"/>
      <c r="BK46" s="77"/>
    </row>
    <row r="47" spans="2:69" x14ac:dyDescent="0.2">
      <c r="B47" s="24"/>
      <c r="C47" s="20" t="s">
        <v>84</v>
      </c>
      <c r="D47" s="132">
        <v>1</v>
      </c>
      <c r="E47" s="10" t="s">
        <v>31</v>
      </c>
      <c r="G47" s="10"/>
      <c r="H47" s="56"/>
      <c r="I47" s="48"/>
      <c r="M47" s="39"/>
      <c r="O47" s="48"/>
      <c r="AA47" s="56"/>
      <c r="AJ47" s="48"/>
      <c r="AW47" s="56"/>
      <c r="AX47" s="48"/>
      <c r="BH47" s="56"/>
    </row>
    <row r="48" spans="2:69" x14ac:dyDescent="0.2">
      <c r="B48" s="48"/>
      <c r="C48" s="20" t="s">
        <v>80</v>
      </c>
      <c r="D48" s="113">
        <f>D63+0.125</f>
        <v>11.125</v>
      </c>
      <c r="E48" s="10" t="s">
        <v>31</v>
      </c>
      <c r="F48" s="105" t="s">
        <v>35</v>
      </c>
      <c r="G48" s="10"/>
      <c r="H48" s="25"/>
      <c r="J48" s="41" t="str">
        <f>"("&amp;D32&amp;") "&amp;D31&amp;""" Dia. x "&amp;AO6&amp;""" Long - "&amp;D30&amp;" Bolts"</f>
        <v>(8) 1.25" Dia. x 4" Long - A325 Bolts</v>
      </c>
      <c r="M48" s="56"/>
      <c r="O48" s="48"/>
      <c r="AA48" s="56"/>
      <c r="AJ48" s="48"/>
      <c r="AL48" s="77" t="s">
        <v>179</v>
      </c>
      <c r="AM48" s="11">
        <f>(2*($AM$43-$AM$44)+SQRT((-2*($AM$43-$AM$44))^2-4*(AM45+2*$AM$46)*AM45))/(2*(AM45+2*$AM$46))</f>
        <v>-247.4959595299984</v>
      </c>
      <c r="AP48" s="77" t="s">
        <v>178</v>
      </c>
      <c r="AQ48" s="11">
        <f>2*ATAN(AM48)</f>
        <v>-3.133511757561001</v>
      </c>
      <c r="AS48" s="11">
        <f>AQ48*180/PI()</f>
        <v>-179.53699876286618</v>
      </c>
      <c r="AT48" s="11" t="s">
        <v>185</v>
      </c>
      <c r="AW48" s="56"/>
      <c r="AX48" s="48"/>
      <c r="AZ48" s="77" t="s">
        <v>179</v>
      </c>
      <c r="BA48" s="11">
        <f>(2*(BA44-$AM$44)+SQRT((-2*(BA44-$AM$44))^2-4*(BA45+2*$AM$46)*BA45))/(2*(BA45+2*$AM$46))</f>
        <v>-247.49595952999834</v>
      </c>
      <c r="BD48" s="77" t="s">
        <v>178</v>
      </c>
      <c r="BE48" s="11">
        <f>2*ATAN(BA48)</f>
        <v>-3.133511757561001</v>
      </c>
      <c r="BG48" s="11">
        <f>BE48*180/PI()</f>
        <v>-179.53699876286618</v>
      </c>
      <c r="BH48" s="56" t="s">
        <v>185</v>
      </c>
      <c r="BK48" s="77" t="s">
        <v>178</v>
      </c>
      <c r="BL48" s="11">
        <f>ATAN(BL45/BL44)</f>
        <v>-8.080632196899808E-3</v>
      </c>
      <c r="BN48" s="11">
        <f>BL48*180/PI()</f>
        <v>-0.46298612067988537</v>
      </c>
      <c r="BO48" s="11" t="s">
        <v>185</v>
      </c>
    </row>
    <row r="49" spans="2:68" x14ac:dyDescent="0.2">
      <c r="B49" s="48"/>
      <c r="C49" s="20" t="s">
        <v>78</v>
      </c>
      <c r="D49" s="114">
        <f>MAX(IF(F49="",AX17,F49),D11+3)</f>
        <v>16</v>
      </c>
      <c r="E49" s="10" t="s">
        <v>31</v>
      </c>
      <c r="F49" s="131">
        <v>16</v>
      </c>
      <c r="G49" s="10"/>
      <c r="H49" s="25"/>
      <c r="J49" s="20"/>
      <c r="K49" s="141" t="str">
        <f>AQ6 &amp;"""  Thread Length"</f>
        <v>2"  Thread Length</v>
      </c>
      <c r="M49" s="56"/>
      <c r="O49" s="48"/>
      <c r="AA49" s="56"/>
      <c r="AJ49" s="48"/>
      <c r="AL49" s="77"/>
      <c r="AM49" s="11">
        <f>(2*($AM$43-$AM$44)-SQRT((-2*($AM$43-$AM$44))^2-4*(AM45+2*$AM$46)*AM45))/(2*(AM45+2*$AM$46))</f>
        <v>-4.0404700016125616E-3</v>
      </c>
      <c r="AP49" s="77"/>
      <c r="AQ49" s="11">
        <f>2*ATAN(AM49)</f>
        <v>-8.0808960288023882E-3</v>
      </c>
      <c r="AS49" s="11">
        <f>AQ49*180/PI()</f>
        <v>-0.46300123713440416</v>
      </c>
      <c r="AT49" s="11" t="s">
        <v>185</v>
      </c>
      <c r="AW49" s="56"/>
      <c r="AX49" s="48"/>
      <c r="AZ49" s="77"/>
      <c r="BA49" s="11">
        <f>(2*(BA44-$AM$44)-SQRT((-2*(BA44-$AM$44))^2-4*(BA45+2*$AM$46)*BA45))/(2*(BA45+2*$AM$46))</f>
        <v>-4.0404700016125608E-3</v>
      </c>
      <c r="BD49" s="77"/>
      <c r="BE49" s="11">
        <f>2*ATAN(BA49)</f>
        <v>-8.0808960288023864E-3</v>
      </c>
      <c r="BF49" s="77" t="s">
        <v>219</v>
      </c>
      <c r="BG49" s="11">
        <f>(BE50+BE45)*180/PI()</f>
        <v>-179.53699876286618</v>
      </c>
      <c r="BH49" s="56" t="s">
        <v>185</v>
      </c>
      <c r="BK49" s="77" t="s">
        <v>173</v>
      </c>
      <c r="BL49" s="11">
        <f>SQRT(BL45^2+BL44^2)/12+IF(D44="Yes",BD20/COS(BL48)/12,0)</f>
        <v>5.1564183474201464</v>
      </c>
    </row>
    <row r="50" spans="2:68" x14ac:dyDescent="0.2">
      <c r="B50" s="24"/>
      <c r="C50" s="20" t="s">
        <v>252</v>
      </c>
      <c r="D50" s="115">
        <f>IF(F50="",MAX(D52+D38+0.5,D38+D56+0.5), F50)</f>
        <v>6.125</v>
      </c>
      <c r="E50" s="10" t="s">
        <v>31</v>
      </c>
      <c r="F50" s="130"/>
      <c r="H50" s="25"/>
      <c r="J50" s="20"/>
      <c r="K50" s="141"/>
      <c r="M50" s="56"/>
      <c r="O50" s="48"/>
      <c r="AA50" s="56"/>
      <c r="AJ50" s="48"/>
      <c r="AL50" s="77"/>
      <c r="AP50" s="77"/>
      <c r="AQ50" s="11">
        <f>MIN(AQ48:AQ49)</f>
        <v>-3.133511757561001</v>
      </c>
      <c r="AS50" s="11">
        <f>AQ50-AQ45</f>
        <v>-3.133511757561001</v>
      </c>
      <c r="AT50" s="11" t="s">
        <v>184</v>
      </c>
      <c r="AW50" s="56"/>
      <c r="AX50" s="48"/>
      <c r="AZ50" s="77"/>
      <c r="BD50" s="77"/>
      <c r="BE50" s="11">
        <f>MIN(BE48:BE49)</f>
        <v>-3.133511757561001</v>
      </c>
      <c r="BF50" s="77" t="s">
        <v>220</v>
      </c>
      <c r="BG50" s="11">
        <f>BE50*180/PI()</f>
        <v>-179.53699876286618</v>
      </c>
      <c r="BH50" s="56" t="s">
        <v>184</v>
      </c>
      <c r="BK50" s="77" t="s">
        <v>170</v>
      </c>
      <c r="BL50" s="11">
        <f>BL49+IF(G9="Point-Point",(AQ43+AQ44)*TAN(BL48)/24,(D10+D11)*TAN(BL48)/24)</f>
        <v>5.1520412430430422</v>
      </c>
    </row>
    <row r="51" spans="2:68" x14ac:dyDescent="0.2">
      <c r="B51" s="48"/>
      <c r="C51" s="20" t="s">
        <v>82</v>
      </c>
      <c r="D51" s="115">
        <f>IF(F51="",D50+D38+D47,F51)</f>
        <v>9</v>
      </c>
      <c r="E51" s="10" t="s">
        <v>31</v>
      </c>
      <c r="F51" s="130"/>
      <c r="H51" s="25"/>
      <c r="I51" s="143" t="s">
        <v>234</v>
      </c>
      <c r="M51" s="56"/>
      <c r="O51" s="48"/>
      <c r="AA51" s="56"/>
      <c r="AJ51" s="48"/>
      <c r="AL51" s="77"/>
      <c r="AP51" s="77"/>
      <c r="AW51" s="56"/>
      <c r="AX51" s="48"/>
      <c r="AZ51" s="77"/>
      <c r="BD51" s="77"/>
      <c r="BH51" s="56"/>
    </row>
    <row r="52" spans="2:68" ht="15" x14ac:dyDescent="0.25">
      <c r="B52" s="48"/>
      <c r="C52" s="20" t="s">
        <v>81</v>
      </c>
      <c r="D52" s="115">
        <f>VLOOKUP(D47,BendRds,2,FALSE)</f>
        <v>3</v>
      </c>
      <c r="E52" s="10" t="s">
        <v>31</v>
      </c>
      <c r="H52" s="25"/>
      <c r="I52" s="48"/>
      <c r="J52" s="79" t="s">
        <v>137</v>
      </c>
      <c r="K52" s="89">
        <f>AQ28</f>
        <v>5.3462799213753511</v>
      </c>
      <c r="L52" s="10" t="s">
        <v>55</v>
      </c>
      <c r="M52" s="56"/>
      <c r="O52" s="48"/>
      <c r="AA52" s="56"/>
      <c r="AJ52" s="48"/>
      <c r="AL52" s="77" t="s">
        <v>177</v>
      </c>
      <c r="AM52" s="11">
        <f>$AM$46*TAN(AQ48/2)+$AM$44</f>
        <v>0</v>
      </c>
      <c r="AP52" s="77" t="s">
        <v>176</v>
      </c>
      <c r="AQ52" s="11">
        <f>$AM$46*SIN(AQ50)+$AM$44</f>
        <v>0</v>
      </c>
      <c r="AW52" s="56"/>
      <c r="AX52" s="48"/>
      <c r="AZ52" s="77" t="s">
        <v>177</v>
      </c>
      <c r="BA52" s="11">
        <f>$AM$46*TAN(BE48/2)+$AM$44</f>
        <v>0</v>
      </c>
      <c r="BD52" s="77" t="s">
        <v>176</v>
      </c>
      <c r="BE52" s="11">
        <f>$AM$46*SIN(BE50)+$AM$44</f>
        <v>0</v>
      </c>
      <c r="BH52" s="56"/>
    </row>
    <row r="53" spans="2:68" ht="15" x14ac:dyDescent="0.25">
      <c r="B53" s="48"/>
      <c r="C53" s="20"/>
      <c r="D53" s="40"/>
      <c r="E53" s="10"/>
      <c r="H53" s="25"/>
      <c r="I53" s="24"/>
      <c r="J53" s="79" t="s">
        <v>71</v>
      </c>
      <c r="K53" s="99">
        <f>AS28</f>
        <v>8.2250460328851555E-2</v>
      </c>
      <c r="M53" s="56"/>
      <c r="O53" s="48"/>
      <c r="AA53" s="56"/>
      <c r="AJ53" s="48"/>
      <c r="AM53" s="11">
        <f>$AM$46*TAN(AQ49/2)+$AM$44</f>
        <v>0</v>
      </c>
      <c r="AP53" s="77" t="s">
        <v>175</v>
      </c>
      <c r="AQ53" s="11">
        <f>$AM$43-AQ52</f>
        <v>61.875</v>
      </c>
      <c r="AW53" s="56"/>
      <c r="AX53" s="48"/>
      <c r="BA53" s="11">
        <f>$AM$46*TAN(BE49/2)+$AM$44</f>
        <v>0</v>
      </c>
      <c r="BD53" s="77" t="s">
        <v>175</v>
      </c>
      <c r="BE53" s="11">
        <f>BA44-BE52</f>
        <v>61.875000000000007</v>
      </c>
      <c r="BF53" s="77" t="s">
        <v>174</v>
      </c>
      <c r="BG53" s="11">
        <f>BE53/(12*COS(BE50))</f>
        <v>-5.1564183584136805</v>
      </c>
      <c r="BH53" s="56"/>
    </row>
    <row r="54" spans="2:68" x14ac:dyDescent="0.2">
      <c r="B54" s="48"/>
      <c r="C54" s="20"/>
      <c r="D54" s="136">
        <f>AJ22</f>
        <v>2</v>
      </c>
      <c r="F54" s="118"/>
      <c r="H54" s="56"/>
      <c r="I54" s="48"/>
      <c r="M54" s="56"/>
      <c r="O54" s="48"/>
      <c r="AA54" s="56"/>
      <c r="AJ54" s="48"/>
      <c r="AM54" s="11">
        <f>MIN(AM52:AM53)</f>
        <v>0</v>
      </c>
      <c r="AP54" s="77" t="s">
        <v>173</v>
      </c>
      <c r="AQ54" s="11">
        <f>(AM44+AQ53/COS(AQ50)+AM46*AQ50)/12</f>
        <v>-5.1564183584136796</v>
      </c>
      <c r="AW54" s="56"/>
      <c r="AX54" s="48"/>
      <c r="BA54" s="11">
        <f>MIN(BA52:BA53)</f>
        <v>0</v>
      </c>
      <c r="BD54" s="77" t="s">
        <v>173</v>
      </c>
      <c r="BE54" s="11">
        <f>(AM44+BE53/COS(BE50)+AM46*BE50)/12+IF(D44="Yes",BD20/COS(BE50)/12,0)</f>
        <v>-5.1564183584136805</v>
      </c>
      <c r="BG54" s="11" t="s">
        <v>171</v>
      </c>
      <c r="BH54" s="98">
        <f>Sheet1!S20+BA45/COS(BE45)</f>
        <v>-0.50000000000000011</v>
      </c>
    </row>
    <row r="55" spans="2:68" ht="15" x14ac:dyDescent="0.25">
      <c r="B55" s="48"/>
      <c r="C55" s="20" t="s">
        <v>30</v>
      </c>
      <c r="D55" s="80">
        <v>1.25</v>
      </c>
      <c r="E55" s="10" t="s">
        <v>31</v>
      </c>
      <c r="H55" s="56"/>
      <c r="I55" s="48"/>
      <c r="J55" s="79" t="s">
        <v>139</v>
      </c>
      <c r="K55" s="89">
        <f>K44/(2*(D38-(D31+0.125)/2)*MIN(D47,D62))</f>
        <v>5.2506832491677722</v>
      </c>
      <c r="L55" s="11" t="s">
        <v>55</v>
      </c>
      <c r="M55" s="56"/>
      <c r="O55" s="48"/>
      <c r="AA55" s="56"/>
      <c r="AJ55" s="94" t="s">
        <v>197</v>
      </c>
      <c r="AW55" s="56"/>
      <c r="AX55" s="48"/>
      <c r="BD55" s="77" t="s">
        <v>172</v>
      </c>
      <c r="BE55" s="11">
        <f>AV43/12</f>
        <v>5.1564183474201464</v>
      </c>
      <c r="BH55" s="56"/>
    </row>
    <row r="56" spans="2:68" ht="15.75" thickBot="1" x14ac:dyDescent="0.3">
      <c r="B56" s="48"/>
      <c r="C56" s="20" t="s">
        <v>250</v>
      </c>
      <c r="D56" s="80">
        <v>3.75</v>
      </c>
      <c r="E56" s="10" t="s">
        <v>31</v>
      </c>
      <c r="F56" s="20" t="s">
        <v>251</v>
      </c>
      <c r="G56" s="140">
        <v>3.75</v>
      </c>
      <c r="H56" s="25" t="s">
        <v>31</v>
      </c>
      <c r="I56" s="48"/>
      <c r="J56" s="79" t="s">
        <v>140</v>
      </c>
      <c r="K56" s="68">
        <f>0.45*MIN(D46,D61)</f>
        <v>36</v>
      </c>
      <c r="L56" s="11" t="s">
        <v>55</v>
      </c>
      <c r="M56" s="56"/>
      <c r="O56" s="48"/>
      <c r="AA56" s="56"/>
      <c r="AJ56" s="94"/>
      <c r="AL56" s="77" t="s">
        <v>182</v>
      </c>
      <c r="AM56" s="11">
        <f>$AV$43*COS($AV$44-AQ56)</f>
        <v>61.877006468207661</v>
      </c>
      <c r="AN56" s="11" t="s">
        <v>31</v>
      </c>
      <c r="AP56" s="77" t="s">
        <v>181</v>
      </c>
      <c r="AQ56" s="11">
        <f>ATAN(($AQ$44-$AQ$43)/(24*AQ54))</f>
        <v>-8.7460950445447383E-3</v>
      </c>
      <c r="AS56" s="77"/>
      <c r="AW56" s="56"/>
      <c r="AX56" s="92"/>
      <c r="AY56" s="84"/>
      <c r="AZ56" s="84"/>
      <c r="BA56" s="84"/>
      <c r="BB56" s="84"/>
      <c r="BC56" s="84"/>
      <c r="BD56" s="102" t="s">
        <v>170</v>
      </c>
      <c r="BE56" s="84">
        <f>BE54+(AQ43*TAN(BE45)+AQ44*TAN(BE50+BE45))/24</f>
        <v>-5.1538671823891509</v>
      </c>
      <c r="BF56" s="84"/>
      <c r="BG56" s="84"/>
      <c r="BH56" s="91"/>
    </row>
    <row r="57" spans="2:68" ht="15" x14ac:dyDescent="0.25">
      <c r="B57" s="48"/>
      <c r="C57" s="20" t="s">
        <v>253</v>
      </c>
      <c r="D57" s="101">
        <f>IF(D54=3,(D11+D55)/2,IF(D54=2,D11+D55,0))</f>
        <v>8.25</v>
      </c>
      <c r="E57" s="10" t="s">
        <v>31</v>
      </c>
      <c r="H57" s="56"/>
      <c r="I57" s="48"/>
      <c r="J57" s="79" t="s">
        <v>71</v>
      </c>
      <c r="K57" s="100">
        <f>K55/K56</f>
        <v>0.14585231247688257</v>
      </c>
      <c r="M57" s="56"/>
      <c r="O57" s="48"/>
      <c r="AA57" s="56"/>
      <c r="AJ57" s="94"/>
      <c r="AL57" s="77" t="s">
        <v>180</v>
      </c>
      <c r="AM57" s="11">
        <f>$AV$43*SIN($AV$44-AQ56)</f>
        <v>4.1176855006341238E-2</v>
      </c>
      <c r="AW57" s="56"/>
      <c r="AX57" s="48"/>
    </row>
    <row r="58" spans="2:68" ht="15" thickBot="1" x14ac:dyDescent="0.25">
      <c r="B58" s="24"/>
      <c r="H58" s="56"/>
      <c r="M58" s="56"/>
      <c r="O58" s="48"/>
      <c r="AA58" s="56"/>
      <c r="AJ58" s="48"/>
      <c r="AW58" s="56"/>
      <c r="BK58" s="2130" t="s">
        <v>268</v>
      </c>
      <c r="BL58" s="2130"/>
      <c r="BO58" s="59" t="s">
        <v>611</v>
      </c>
      <c r="BP58" s="59"/>
    </row>
    <row r="59" spans="2:68" ht="15.75" thickBot="1" x14ac:dyDescent="0.3">
      <c r="B59" s="143" t="s">
        <v>76</v>
      </c>
      <c r="C59" s="20"/>
      <c r="D59" s="95"/>
      <c r="E59" s="10"/>
      <c r="H59" s="56"/>
      <c r="J59" s="79" t="s">
        <v>141</v>
      </c>
      <c r="K59" s="89">
        <f>K44/(D31*MIN(D47,D62))</f>
        <v>9.9762981734187672</v>
      </c>
      <c r="L59" s="11" t="s">
        <v>55</v>
      </c>
      <c r="M59" s="56"/>
      <c r="O59" s="48"/>
      <c r="AA59" s="56"/>
      <c r="AJ59" s="48"/>
      <c r="AL59" s="77" t="s">
        <v>179</v>
      </c>
      <c r="AM59" s="11">
        <f>(2*(AM56-$AM$44)+SQRT((-2*(AM56-$AM$44))^2-4*(AM57+2*$AM$46)*AM57))/(2*(AM57+2*$AM$46))</f>
        <v>3005.426208886523</v>
      </c>
      <c r="AP59" s="77" t="s">
        <v>178</v>
      </c>
      <c r="AQ59" s="11">
        <f>2*ATAN(AM59)</f>
        <v>3.1409271905948013</v>
      </c>
      <c r="AS59" s="11">
        <f>AQ59*180/PI()</f>
        <v>179.96187177896485</v>
      </c>
      <c r="AT59" s="11" t="s">
        <v>185</v>
      </c>
      <c r="AW59" s="56"/>
      <c r="AX59" s="2138" t="s">
        <v>138</v>
      </c>
      <c r="AY59" s="2139"/>
      <c r="AZ59" s="2139"/>
      <c r="BA59" s="2139"/>
      <c r="BB59" s="2139"/>
      <c r="BC59" s="2139"/>
      <c r="BD59" s="2139"/>
      <c r="BE59" s="2139"/>
      <c r="BF59" s="2139"/>
      <c r="BG59" s="2139"/>
      <c r="BH59" s="2140"/>
      <c r="BK59" s="77" t="s">
        <v>267</v>
      </c>
      <c r="BL59" s="11">
        <f>(D10+D11)/2-D12</f>
        <v>6.3125</v>
      </c>
      <c r="BO59" s="77" t="s">
        <v>612</v>
      </c>
      <c r="BP59" s="11">
        <f>(BL44/3)*(D10+2*D11)/(D10+D11)</f>
        <v>31.73076923076923</v>
      </c>
    </row>
    <row r="60" spans="2:68" ht="15" x14ac:dyDescent="0.25">
      <c r="B60" s="143"/>
      <c r="C60" s="20" t="s">
        <v>86</v>
      </c>
      <c r="D60" s="130">
        <v>65</v>
      </c>
      <c r="E60" s="10"/>
      <c r="H60" s="56"/>
      <c r="J60" s="79" t="s">
        <v>142</v>
      </c>
      <c r="K60" s="68">
        <f>1.9*MIN(D46,D61)</f>
        <v>152</v>
      </c>
      <c r="L60" s="11" t="s">
        <v>55</v>
      </c>
      <c r="M60" s="56"/>
      <c r="O60" s="48"/>
      <c r="AA60" s="56"/>
      <c r="AJ60" s="48"/>
      <c r="AL60" s="77"/>
      <c r="AM60" s="11">
        <f>(2*(AM56-$AM$44)-SQRT((-2*(AM56-$AM$44))^2-4*(AM57+2*$AM$46)*AM57))/(2*(AM57+2*$AM$46))</f>
        <v>3.327315096695544E-4</v>
      </c>
      <c r="AP60" s="77"/>
      <c r="AQ60" s="11">
        <f>2*ATAN(AM60)</f>
        <v>6.6546299478124969E-4</v>
      </c>
      <c r="AS60" s="11">
        <f>AQ60*180/PI()</f>
        <v>3.8128221023101934E-2</v>
      </c>
      <c r="AT60" s="11" t="s">
        <v>185</v>
      </c>
      <c r="AW60" s="56"/>
      <c r="AX60" s="48"/>
      <c r="BH60" s="56"/>
      <c r="BK60" s="77" t="s">
        <v>265</v>
      </c>
      <c r="BL60" s="11">
        <f>AX9*TAN(PI()/AX9)</f>
        <v>3.3137084989847603</v>
      </c>
      <c r="BO60" s="77" t="s">
        <v>613</v>
      </c>
      <c r="BP60" s="11">
        <f>BL44+(D51^2+D48*D47/2)/(2*D51+D48)</f>
        <v>64.847103004291853</v>
      </c>
    </row>
    <row r="61" spans="2:68" ht="15" x14ac:dyDescent="0.25">
      <c r="B61" s="48"/>
      <c r="C61" s="79" t="s">
        <v>54</v>
      </c>
      <c r="D61" s="95">
        <f>VLOOKUP(D60,Grade,2,FALSE)</f>
        <v>80</v>
      </c>
      <c r="E61" s="11" t="s">
        <v>55</v>
      </c>
      <c r="F61" s="105" t="s">
        <v>35</v>
      </c>
      <c r="H61" s="56"/>
      <c r="I61" s="48"/>
      <c r="J61" s="79" t="s">
        <v>71</v>
      </c>
      <c r="K61" s="100">
        <f>K59/K60</f>
        <v>6.5633540614597155E-2</v>
      </c>
      <c r="M61" s="56"/>
      <c r="O61" s="48"/>
      <c r="AA61" s="56"/>
      <c r="AJ61" s="48"/>
      <c r="AL61" s="77"/>
      <c r="AP61" s="77"/>
      <c r="AQ61" s="11">
        <f>MIN(AQ59:AQ60)</f>
        <v>6.6546299478124969E-4</v>
      </c>
      <c r="AS61" s="11">
        <f>AQ61-AQ56</f>
        <v>9.4115580393259873E-3</v>
      </c>
      <c r="AT61" s="11" t="s">
        <v>184</v>
      </c>
      <c r="AW61" s="56"/>
      <c r="AX61" s="48"/>
      <c r="AY61" s="77" t="s">
        <v>219</v>
      </c>
      <c r="AZ61" s="11">
        <f>IF(D15=0,BN48,IFERROR(IF(Sheet1!S20=0,AS104,BG49),"NA"))</f>
        <v>-0.46298612067988537</v>
      </c>
      <c r="BD61" s="77" t="s">
        <v>195</v>
      </c>
      <c r="BE61" s="11">
        <f>IF(Sheet1!S20=0,($AQ$44-$AQ$43)/(AQ109),($AQ$44-$AQ$43)/(BE54))</f>
        <v>0.20991163388320286</v>
      </c>
      <c r="BH61" s="56"/>
      <c r="BK61" s="77" t="s">
        <v>266</v>
      </c>
      <c r="BL61" s="11">
        <f>BL60*(BL59-9*D12)+9*D12*PI()</f>
        <v>20.627339410737292</v>
      </c>
      <c r="BO61" s="77" t="s">
        <v>615</v>
      </c>
      <c r="BP61" s="11">
        <f>BL44+D47+(D56+G56)/4</f>
        <v>64.75</v>
      </c>
    </row>
    <row r="62" spans="2:68" x14ac:dyDescent="0.2">
      <c r="B62" s="48"/>
      <c r="C62" s="20" t="s">
        <v>79</v>
      </c>
      <c r="D62" s="116">
        <f>IF(F62="",D47,F62)</f>
        <v>1</v>
      </c>
      <c r="E62" s="10" t="s">
        <v>31</v>
      </c>
      <c r="F62" s="130"/>
      <c r="H62" s="56"/>
      <c r="M62" s="56"/>
      <c r="O62" s="48"/>
      <c r="AA62" s="56"/>
      <c r="AJ62" s="48"/>
      <c r="AL62" s="77"/>
      <c r="AP62" s="77"/>
      <c r="AW62" s="56"/>
      <c r="AX62" s="48"/>
      <c r="AY62" s="77" t="s">
        <v>220</v>
      </c>
      <c r="AZ62" s="65" t="str">
        <f>IF(D15=0,"NA",IFERROR(IF(Sheet1!S20=0,AS105,BG50),"NA"))</f>
        <v>NA</v>
      </c>
      <c r="BD62" s="77" t="s">
        <v>194</v>
      </c>
      <c r="BE62" s="11">
        <f>AQ43+ IF(Sheet1!D15=20,10*BE61,6*BE61)</f>
        <v>7.7538230050535812</v>
      </c>
      <c r="BH62" s="56"/>
      <c r="BO62" s="77" t="s">
        <v>614</v>
      </c>
      <c r="BP62" s="11">
        <f>(BE65*BP59+BE66*BP60+BE67*BP61)/(SUM(BE65:BE67))/12</f>
        <v>4.5613154645847489</v>
      </c>
    </row>
    <row r="63" spans="2:68" ht="15" x14ac:dyDescent="0.25">
      <c r="B63" s="48"/>
      <c r="C63" s="20" t="s">
        <v>67</v>
      </c>
      <c r="D63" s="113">
        <f>IF(F63="",BD24,F63)</f>
        <v>11</v>
      </c>
      <c r="E63" s="10" t="s">
        <v>31</v>
      </c>
      <c r="F63" s="130"/>
      <c r="H63" s="56"/>
      <c r="I63" s="151" t="s">
        <v>151</v>
      </c>
      <c r="J63" s="103" t="str">
        <f>"(2) PL "&amp;D62&amp;" x "&amp;D65&amp;" x As Req'd"</f>
        <v>(2) PL 1 x 16 x As Req'd</v>
      </c>
      <c r="M63" s="56"/>
      <c r="O63" s="48"/>
      <c r="AA63" s="56"/>
      <c r="AJ63" s="48"/>
      <c r="AL63" s="77" t="s">
        <v>177</v>
      </c>
      <c r="AM63" s="11">
        <f>$AM$46*TAN(AQ59/2)+$AM$44</f>
        <v>0</v>
      </c>
      <c r="AP63" s="77" t="s">
        <v>176</v>
      </c>
      <c r="AQ63" s="11">
        <f>$AM$46*SIN(AQ61)+$AM$44</f>
        <v>0</v>
      </c>
      <c r="AW63" s="56"/>
      <c r="AX63" s="48"/>
      <c r="AY63" s="77" t="s">
        <v>218</v>
      </c>
      <c r="AZ63" s="11">
        <f>IF(D15=0,BN48,IFERROR(IF(Sheet1!S20=0,AS100,BG45),"NA"))</f>
        <v>-0.46298612067988537</v>
      </c>
      <c r="BD63" s="77" t="s">
        <v>193</v>
      </c>
      <c r="BE63" s="11">
        <f>$AQ$43+IF(Sheet1!S20=0,($AM$44+$AM$46*AQ105)*($AQ$44-$AQ$43)/(12*AQ109),($AM$44+$AM$46*BE50)*($AQ$44-$AQ$43)/(12*BE54))</f>
        <v>6.4943532017543637</v>
      </c>
      <c r="BH63" s="56"/>
      <c r="BK63" s="2130" t="s">
        <v>77</v>
      </c>
      <c r="BL63" s="2130"/>
    </row>
    <row r="64" spans="2:68" x14ac:dyDescent="0.2">
      <c r="B64" s="48"/>
      <c r="C64" s="20" t="s">
        <v>83</v>
      </c>
      <c r="D64" s="117">
        <f>IF(F64="",CEILING(MAX(VLOOKUP(D31,BoltDim,10,FALSE),D38+0.75),0.25),F64)</f>
        <v>3</v>
      </c>
      <c r="E64" s="10" t="s">
        <v>31</v>
      </c>
      <c r="F64" s="80"/>
      <c r="H64" s="56"/>
      <c r="M64" s="56"/>
      <c r="O64" s="48"/>
      <c r="AA64" s="56"/>
      <c r="AJ64" s="48"/>
      <c r="AM64" s="11">
        <f>$AM$46*TAN(AQ60/2)+$AM$44</f>
        <v>0</v>
      </c>
      <c r="AP64" s="77" t="s">
        <v>175</v>
      </c>
      <c r="AQ64" s="11">
        <f>AM56-AQ63</f>
        <v>61.877006468207661</v>
      </c>
      <c r="AW64" s="56"/>
      <c r="AX64" s="48"/>
      <c r="AY64" s="77" t="s">
        <v>192</v>
      </c>
      <c r="AZ64" s="65" t="str">
        <f>IF(D15=0,"NA",IFERROR(IF(Sheet1!S20=0,AS108,BG53),"NA"))</f>
        <v>NA</v>
      </c>
      <c r="BH64" s="56"/>
      <c r="BK64" s="77" t="s">
        <v>269</v>
      </c>
      <c r="BL64" s="11">
        <f>D47*D49*(2*D51+D48-4*D52+(D52+0.5*D47)*PI())</f>
        <v>449.92918860102839</v>
      </c>
    </row>
    <row r="65" spans="2:64" ht="15" x14ac:dyDescent="0.25">
      <c r="B65" s="48"/>
      <c r="C65" s="20" t="s">
        <v>78</v>
      </c>
      <c r="D65" s="115">
        <f>IF(F65="",D49,F65)</f>
        <v>16</v>
      </c>
      <c r="E65" s="10" t="s">
        <v>31</v>
      </c>
      <c r="F65" s="80"/>
      <c r="H65" s="56"/>
      <c r="I65" s="151" t="s">
        <v>150</v>
      </c>
      <c r="J65" s="103" t="str">
        <f>"(1) PL "&amp;D47&amp;" x "&amp;D49&amp;" x As Req'd"</f>
        <v>(1) PL 1 x 16 x As Req'd</v>
      </c>
      <c r="M65" s="56"/>
      <c r="O65" s="48"/>
      <c r="AA65" s="56"/>
      <c r="AJ65" s="48"/>
      <c r="AM65" s="11">
        <f>MIN(AM63:AM64)</f>
        <v>0</v>
      </c>
      <c r="AP65" s="77" t="s">
        <v>173</v>
      </c>
      <c r="AQ65" s="11">
        <f>($AM$44/COS(AQ56)+AQ64/COS(AQ61)+$AM$46*AQ61)/12</f>
        <v>5.1564183474206517</v>
      </c>
      <c r="AW65" s="56"/>
      <c r="AX65" s="48"/>
      <c r="AY65" s="77" t="s">
        <v>191</v>
      </c>
      <c r="AZ65" s="65" t="str">
        <f>IF(D15=0,"NA",IFERROR(IF(Sheet1!S20=0,AQ110,BE55),"NA"))</f>
        <v>NA</v>
      </c>
      <c r="BD65" s="77" t="s">
        <v>262</v>
      </c>
      <c r="BE65" s="11">
        <f>CEILING(12*AZ66*BL61*D12*0.2836,1)</f>
        <v>68</v>
      </c>
      <c r="BH65" s="56"/>
      <c r="BK65" s="77" t="s">
        <v>270</v>
      </c>
      <c r="BL65" s="11">
        <f>D47*(D32*PI()/4*(D31+0.125)^2)</f>
        <v>11.879147221386406</v>
      </c>
    </row>
    <row r="66" spans="2:64" ht="15" x14ac:dyDescent="0.25">
      <c r="B66" s="48"/>
      <c r="H66" s="56"/>
      <c r="I66" s="151" t="str">
        <f>IF(D54=0,"","Stiffener:")</f>
        <v>Stiffener:</v>
      </c>
      <c r="J66" s="103" t="str">
        <f>IF(D54=0,"","("&amp;D54&amp;") PL "&amp;D55&amp;""" x "&amp;G56&amp;""" x "&amp;D63&amp;""" Spaced @ "&amp;D57&amp;"""")</f>
        <v>(2) PL 1.25" x 3.75" x 11" Spaced @ 8.25"</v>
      </c>
      <c r="M66" s="56"/>
      <c r="O66" s="48"/>
      <c r="AA66" s="56"/>
      <c r="AJ66" s="94" t="s">
        <v>190</v>
      </c>
      <c r="AW66" s="56"/>
      <c r="AX66" s="48"/>
      <c r="AY66" s="77" t="s">
        <v>189</v>
      </c>
      <c r="AZ66" s="11">
        <f>IF(D15=0,BL49,IFERROR(IF(Sheet1!S20=0,AQ109,BE54),"NA"))</f>
        <v>5.1564183474201464</v>
      </c>
      <c r="BD66" s="77" t="s">
        <v>261</v>
      </c>
      <c r="BE66" s="11">
        <f>CEILING((BL64-BL65)*0.2836,1)</f>
        <v>125</v>
      </c>
      <c r="BH66" s="56"/>
      <c r="BK66" s="77" t="s">
        <v>617</v>
      </c>
      <c r="BL66" s="11">
        <f>D54*D55*D63*(D56+G56)/2</f>
        <v>103.125</v>
      </c>
    </row>
    <row r="67" spans="2:64" ht="15" x14ac:dyDescent="0.25">
      <c r="B67" s="2132" t="str">
        <f>IF(OR(AND(D48/D47&gt;28,D54&gt;0),AND(D48/D47&gt;24,D54=0)),"Bracket W/T too high!","")</f>
        <v/>
      </c>
      <c r="C67" s="2121"/>
      <c r="D67" s="2121"/>
      <c r="E67" s="2121"/>
      <c r="F67" s="2121"/>
      <c r="G67" s="2121"/>
      <c r="H67" s="2133"/>
      <c r="I67" s="151" t="str">
        <f>IF(D54=0,"","Weld:")</f>
        <v>Weld:</v>
      </c>
      <c r="J67" s="103" t="str">
        <f>IF(D54=0,"","Fillet "&amp;IF(D47&gt;0.75,0.3125,IF(D47&gt;0.5,0.25,IF(D47&gt;0.25,0.1875,0)))&amp;"""")</f>
        <v>Fillet 0.3125"</v>
      </c>
      <c r="M67" s="56"/>
      <c r="O67" s="48"/>
      <c r="AA67" s="56"/>
      <c r="AJ67" s="48"/>
      <c r="AL67" s="77" t="s">
        <v>182</v>
      </c>
      <c r="AM67" s="11">
        <f>$AV$43*COS($AV$44-AQ67)</f>
        <v>61.8682604846475</v>
      </c>
      <c r="AN67" s="11" t="s">
        <v>31</v>
      </c>
      <c r="AP67" s="77" t="s">
        <v>181</v>
      </c>
      <c r="AQ67" s="11">
        <f>ATAN(($AQ$44-$AQ$43)/(24*AQ65))</f>
        <v>8.7460950631896885E-3</v>
      </c>
      <c r="AW67" s="56"/>
      <c r="AX67" s="48"/>
      <c r="AY67" s="77" t="s">
        <v>188</v>
      </c>
      <c r="AZ67" s="11">
        <f>IF(D15=0,BL50,IFERROR(IF(Sheet1!S20=0,AQ111,BE56),"NA"))</f>
        <v>5.1520412430430422</v>
      </c>
      <c r="BD67" s="77" t="s">
        <v>616</v>
      </c>
      <c r="BE67" s="11">
        <f>CEILING(BL66*0.2836,1)</f>
        <v>30</v>
      </c>
      <c r="BF67" s="77" t="s">
        <v>619</v>
      </c>
      <c r="BG67" s="11">
        <f>SUM(BE65:BE67)/1000</f>
        <v>0.223</v>
      </c>
      <c r="BH67" s="56"/>
    </row>
    <row r="68" spans="2:64" ht="15" thickBot="1" x14ac:dyDescent="0.25">
      <c r="B68" s="24"/>
      <c r="C68" s="10"/>
      <c r="D68" s="10"/>
      <c r="E68" s="10"/>
      <c r="F68" s="10"/>
      <c r="G68" s="10"/>
      <c r="H68" s="25"/>
      <c r="I68" s="24"/>
      <c r="J68" s="10"/>
      <c r="K68" s="10"/>
      <c r="M68" s="56"/>
      <c r="O68" s="48"/>
      <c r="AA68" s="56"/>
      <c r="AJ68" s="48"/>
      <c r="AL68" s="77" t="s">
        <v>180</v>
      </c>
      <c r="AM68" s="11">
        <f>$AV$43*SIN($AV$44-AQ67)</f>
        <v>-1.0411386093144139</v>
      </c>
      <c r="AW68" s="56"/>
      <c r="AX68" s="92"/>
      <c r="AY68" s="84"/>
      <c r="AZ68" s="84"/>
      <c r="BA68" s="84"/>
      <c r="BB68" s="84"/>
      <c r="BC68" s="84"/>
      <c r="BD68" s="84"/>
      <c r="BE68" s="84"/>
      <c r="BF68" s="84"/>
      <c r="BG68" s="84"/>
      <c r="BH68" s="91"/>
      <c r="BK68" s="59" t="s">
        <v>489</v>
      </c>
      <c r="BL68" s="59"/>
    </row>
    <row r="69" spans="2:64" ht="15" x14ac:dyDescent="0.25">
      <c r="B69" s="24"/>
      <c r="C69" s="10"/>
      <c r="D69" s="10"/>
      <c r="E69" s="10"/>
      <c r="F69" s="10"/>
      <c r="G69" s="10"/>
      <c r="H69" s="25"/>
      <c r="I69" s="151" t="s">
        <v>152</v>
      </c>
      <c r="J69" s="42" t="str">
        <f>IF(AY21=0,"PJP with "&amp;AX22&amp;""" Fillet Overlay","CJP "&amp;AX22&amp;""" Reinforced Fillet w/ Backup Bar")</f>
        <v>PJP with 0.375" Fillet Overlay</v>
      </c>
      <c r="K69" s="10"/>
      <c r="M69" s="56"/>
      <c r="O69" s="48"/>
      <c r="AA69" s="56"/>
      <c r="AJ69" s="48"/>
      <c r="AW69" s="56"/>
      <c r="AX69" s="45"/>
      <c r="AY69" s="46"/>
      <c r="AZ69" s="46"/>
      <c r="BA69" s="46"/>
      <c r="BB69" s="46"/>
      <c r="BC69" s="46"/>
      <c r="BD69" s="46"/>
      <c r="BE69" s="46"/>
      <c r="BF69" s="46"/>
      <c r="BG69" s="46"/>
      <c r="BH69" s="47"/>
      <c r="BK69" s="11" t="s">
        <v>486</v>
      </c>
    </row>
    <row r="70" spans="2:64" ht="15" thickBot="1" x14ac:dyDescent="0.25">
      <c r="B70" s="92"/>
      <c r="C70" s="84"/>
      <c r="D70" s="84"/>
      <c r="E70" s="84"/>
      <c r="F70" s="84"/>
      <c r="G70" s="84"/>
      <c r="H70" s="91"/>
      <c r="I70" s="26"/>
      <c r="J70" s="27"/>
      <c r="K70" s="27"/>
      <c r="L70" s="84"/>
      <c r="M70" s="91"/>
      <c r="O70" s="92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91"/>
      <c r="AJ70" s="48"/>
      <c r="AL70" s="77" t="s">
        <v>179</v>
      </c>
      <c r="AM70" s="11">
        <f>(2*(AM67-$AM$44)+SQRT((-2*(AM67-$AM$44))^2-4*(AM68+2*$AM$46)*AM68))/(2*(AM68+2*$AM$46))</f>
        <v>-118.83889324395531</v>
      </c>
      <c r="AP70" s="77" t="s">
        <v>178</v>
      </c>
      <c r="AQ70" s="11">
        <f>2*ATAN(AM70)</f>
        <v>-3.1247635436744488</v>
      </c>
      <c r="AS70" s="11">
        <f>AQ70*180/PI()</f>
        <v>-179.03576302888899</v>
      </c>
      <c r="AT70" s="11" t="s">
        <v>185</v>
      </c>
      <c r="AW70" s="56"/>
      <c r="AX70" s="48"/>
      <c r="BH70" s="56"/>
      <c r="BK70" s="11" t="s">
        <v>487</v>
      </c>
    </row>
    <row r="71" spans="2:64" x14ac:dyDescent="0.2">
      <c r="AJ71" s="48"/>
      <c r="AL71" s="77"/>
      <c r="AM71" s="11">
        <f>(2*(AM67-$AM$44)-SQRT((-2*(AM67-$AM$44))^2-4*(AM68+2*$AM$46)*AM68))/(2*(AM68+2*$AM$46))</f>
        <v>-8.4147535600783557E-3</v>
      </c>
      <c r="AP71" s="77"/>
      <c r="AQ71" s="11">
        <f>2*ATAN(AM71)</f>
        <v>-1.6829109915350405E-2</v>
      </c>
      <c r="AS71" s="11">
        <f>AQ71*180/PI()</f>
        <v>-0.96423697111134432</v>
      </c>
      <c r="AT71" s="11" t="s">
        <v>185</v>
      </c>
      <c r="AW71" s="56"/>
      <c r="AX71" s="48"/>
      <c r="BH71" s="56"/>
      <c r="BK71" s="11" t="s">
        <v>488</v>
      </c>
    </row>
    <row r="72" spans="2:64" x14ac:dyDescent="0.2">
      <c r="AJ72" s="48"/>
      <c r="AL72" s="77"/>
      <c r="AP72" s="77"/>
      <c r="AQ72" s="11">
        <f>MIN(AQ70:AQ71)</f>
        <v>-3.1247635436744488</v>
      </c>
      <c r="AS72" s="11">
        <f>AQ72-AQ67</f>
        <v>-3.1335096387376384</v>
      </c>
      <c r="AT72" s="11" t="s">
        <v>184</v>
      </c>
      <c r="AW72" s="56"/>
      <c r="AX72" s="48"/>
      <c r="BH72" s="56"/>
    </row>
    <row r="73" spans="2:64" x14ac:dyDescent="0.2">
      <c r="AJ73" s="48"/>
      <c r="AL73" s="77"/>
      <c r="AP73" s="77"/>
      <c r="AW73" s="56"/>
      <c r="AX73" s="48"/>
      <c r="BH73" s="56"/>
    </row>
    <row r="74" spans="2:64" x14ac:dyDescent="0.2">
      <c r="AJ74" s="48"/>
      <c r="AL74" s="77" t="s">
        <v>177</v>
      </c>
      <c r="AM74" s="11">
        <f>$AM$46*TAN(AQ70/2)+$AM$44</f>
        <v>0</v>
      </c>
      <c r="AP74" s="77" t="s">
        <v>176</v>
      </c>
      <c r="AQ74" s="11">
        <f>$AM$46*SIN(AQ72)+$AM$44</f>
        <v>0</v>
      </c>
      <c r="AW74" s="56"/>
      <c r="AX74" s="48"/>
      <c r="BH74" s="56"/>
    </row>
    <row r="75" spans="2:64" x14ac:dyDescent="0.2">
      <c r="AJ75" s="48"/>
      <c r="AM75" s="11">
        <f>$AM$46*TAN(AQ71/2)+$AM$44</f>
        <v>0</v>
      </c>
      <c r="AP75" s="77" t="s">
        <v>175</v>
      </c>
      <c r="AQ75" s="11">
        <f>AM67-AQ74</f>
        <v>61.8682604846475</v>
      </c>
      <c r="AW75" s="56"/>
      <c r="AX75" s="48"/>
      <c r="BH75" s="56"/>
    </row>
    <row r="76" spans="2:64" x14ac:dyDescent="0.2">
      <c r="AJ76" s="48"/>
      <c r="AM76" s="11">
        <f>MIN(AM74:AM75)</f>
        <v>0</v>
      </c>
      <c r="AP76" s="77" t="s">
        <v>173</v>
      </c>
      <c r="AQ76" s="11">
        <f>($AM$44/COS(AQ67)+AQ75/COS(AQ72)+$AM$46*AQ72)/12</f>
        <v>-5.1564185541869252</v>
      </c>
      <c r="AW76" s="56"/>
      <c r="AX76" s="48"/>
      <c r="BH76" s="56"/>
    </row>
    <row r="77" spans="2:64" x14ac:dyDescent="0.2">
      <c r="AJ77" s="94" t="s">
        <v>187</v>
      </c>
      <c r="AW77" s="56"/>
      <c r="AX77" s="48"/>
      <c r="BH77" s="56"/>
    </row>
    <row r="78" spans="2:64" x14ac:dyDescent="0.2">
      <c r="AJ78" s="48"/>
      <c r="AL78" s="77" t="s">
        <v>182</v>
      </c>
      <c r="AM78" s="11">
        <f>$AV$43*COS($AV$44-AQ78)</f>
        <v>61.877006468221332</v>
      </c>
      <c r="AN78" s="11" t="s">
        <v>31</v>
      </c>
      <c r="AP78" s="77" t="s">
        <v>181</v>
      </c>
      <c r="AQ78" s="11">
        <f>ATAN(($AQ$44-$AQ$43)/(24*AQ76))</f>
        <v>-8.7460947124995258E-3</v>
      </c>
      <c r="AW78" s="56"/>
      <c r="AX78" s="48"/>
      <c r="BH78" s="56"/>
    </row>
    <row r="79" spans="2:64" x14ac:dyDescent="0.2">
      <c r="AJ79" s="48"/>
      <c r="AL79" s="77" t="s">
        <v>180</v>
      </c>
      <c r="AM79" s="11">
        <f>$AV$43*SIN($AV$44-AQ78)</f>
        <v>4.1176834460377482E-2</v>
      </c>
      <c r="AW79" s="56"/>
      <c r="AX79" s="48"/>
      <c r="BH79" s="56"/>
    </row>
    <row r="80" spans="2:64" x14ac:dyDescent="0.2">
      <c r="AJ80" s="48"/>
      <c r="AW80" s="56"/>
      <c r="AX80" s="48"/>
      <c r="BH80" s="56"/>
    </row>
    <row r="81" spans="36:60" x14ac:dyDescent="0.2">
      <c r="AJ81" s="48"/>
      <c r="AL81" s="77" t="s">
        <v>179</v>
      </c>
      <c r="AM81" s="11">
        <f>(2*(AM78-$AM$44)+SQRT((-2*(AM78-$AM$44))^2-4*(AM79+2*$AM$46)*AM79))/(2*(AM79+2*$AM$46))</f>
        <v>3005.4277085020176</v>
      </c>
      <c r="AP81" s="77" t="s">
        <v>178</v>
      </c>
      <c r="AQ81" s="11">
        <f>2*ATAN(AM81)</f>
        <v>3.1409271909268468</v>
      </c>
      <c r="AS81" s="11">
        <f>AQ81*180/PI()</f>
        <v>179.96187179798963</v>
      </c>
      <c r="AT81" s="11" t="s">
        <v>185</v>
      </c>
      <c r="AW81" s="56"/>
      <c r="AX81" s="48"/>
      <c r="BH81" s="56"/>
    </row>
    <row r="82" spans="36:60" x14ac:dyDescent="0.2">
      <c r="AJ82" s="48"/>
      <c r="AL82" s="77"/>
      <c r="AM82" s="11">
        <f>(2*(AM78-$AM$44)-SQRT((-2*(AM78-$AM$44))^2-4*(AM79+2*$AM$46)*AM79))/(2*(AM79+2*$AM$46))</f>
        <v>3.3273134368902706E-4</v>
      </c>
      <c r="AP82" s="77"/>
      <c r="AQ82" s="11">
        <f>2*ATAN(AM82)</f>
        <v>6.6546266282023177E-4</v>
      </c>
      <c r="AS82" s="11">
        <f>AQ82*180/PI()</f>
        <v>3.8128202003136644E-2</v>
      </c>
      <c r="AT82" s="11" t="s">
        <v>185</v>
      </c>
      <c r="AW82" s="56"/>
      <c r="AX82" s="48"/>
      <c r="BH82" s="56"/>
    </row>
    <row r="83" spans="36:60" x14ac:dyDescent="0.2">
      <c r="AJ83" s="48"/>
      <c r="AL83" s="77"/>
      <c r="AP83" s="77"/>
      <c r="AQ83" s="11">
        <f>MIN(AQ81:AQ82)</f>
        <v>6.6546266282023177E-4</v>
      </c>
      <c r="AS83" s="11">
        <f>AQ83-AQ78</f>
        <v>9.4115573753197571E-3</v>
      </c>
      <c r="AT83" s="11" t="s">
        <v>184</v>
      </c>
      <c r="AW83" s="56"/>
      <c r="AX83" s="48"/>
      <c r="BH83" s="56"/>
    </row>
    <row r="84" spans="36:60" x14ac:dyDescent="0.2">
      <c r="AJ84" s="48"/>
      <c r="AL84" s="77"/>
      <c r="AP84" s="77"/>
      <c r="AW84" s="56"/>
      <c r="AX84" s="48"/>
      <c r="BH84" s="56"/>
    </row>
    <row r="85" spans="36:60" x14ac:dyDescent="0.2">
      <c r="AJ85" s="48"/>
      <c r="AL85" s="77" t="s">
        <v>177</v>
      </c>
      <c r="AM85" s="11">
        <f>$AM$46*TAN(AQ81/2)+$AM$44</f>
        <v>0</v>
      </c>
      <c r="AP85" s="77" t="s">
        <v>176</v>
      </c>
      <c r="AQ85" s="11">
        <f>$AM$46*SIN(AQ83)+$AM$44</f>
        <v>0</v>
      </c>
      <c r="AW85" s="56"/>
      <c r="AX85" s="48"/>
      <c r="BH85" s="56"/>
    </row>
    <row r="86" spans="36:60" x14ac:dyDescent="0.2">
      <c r="AJ86" s="48"/>
      <c r="AM86" s="11">
        <f>$AM$46*TAN(AQ82/2)+$AM$44</f>
        <v>0</v>
      </c>
      <c r="AP86" s="77" t="s">
        <v>175</v>
      </c>
      <c r="AQ86" s="11">
        <f>AM78-AQ85</f>
        <v>61.877006468221332</v>
      </c>
      <c r="AW86" s="56"/>
      <c r="AX86" s="48"/>
      <c r="BH86" s="56"/>
    </row>
    <row r="87" spans="36:60" x14ac:dyDescent="0.2">
      <c r="AJ87" s="48"/>
      <c r="AM87" s="11">
        <f>MIN(AM85:AM86)</f>
        <v>0</v>
      </c>
      <c r="AP87" s="77" t="s">
        <v>173</v>
      </c>
      <c r="AQ87" s="11">
        <f>($AM$44/COS(AQ78)+AQ86/COS(AQ83)+$AM$46*AQ83)/12</f>
        <v>5.1564183474206517</v>
      </c>
      <c r="AW87" s="56"/>
      <c r="AX87" s="48"/>
      <c r="BH87" s="56"/>
    </row>
    <row r="88" spans="36:60" x14ac:dyDescent="0.2">
      <c r="AJ88" s="94" t="s">
        <v>186</v>
      </c>
      <c r="AW88" s="56"/>
      <c r="AX88" s="48"/>
      <c r="BH88" s="56"/>
    </row>
    <row r="89" spans="36:60" x14ac:dyDescent="0.2">
      <c r="AJ89" s="48"/>
      <c r="AL89" s="77" t="s">
        <v>182</v>
      </c>
      <c r="AM89" s="11">
        <f>$AV$43*COS($AV$44-AQ89)</f>
        <v>61.8682604846475</v>
      </c>
      <c r="AN89" s="11" t="s">
        <v>31</v>
      </c>
      <c r="AP89" s="77" t="s">
        <v>181</v>
      </c>
      <c r="AQ89" s="11">
        <f>ATAN(($AQ$44-$AQ$43)/(24*AQ87))</f>
        <v>8.7460950631896885E-3</v>
      </c>
      <c r="AW89" s="56"/>
      <c r="AX89" s="48"/>
      <c r="BH89" s="56"/>
    </row>
    <row r="90" spans="36:60" x14ac:dyDescent="0.2">
      <c r="AJ90" s="48"/>
      <c r="AL90" s="77" t="s">
        <v>180</v>
      </c>
      <c r="AM90" s="11">
        <f>$AV$43*SIN($AV$44-AQ89)</f>
        <v>-1.0411386093144139</v>
      </c>
      <c r="AW90" s="56"/>
      <c r="AX90" s="48"/>
      <c r="BH90" s="56"/>
    </row>
    <row r="91" spans="36:60" x14ac:dyDescent="0.2">
      <c r="AJ91" s="48"/>
      <c r="AW91" s="56"/>
      <c r="AX91" s="48"/>
      <c r="BH91" s="56"/>
    </row>
    <row r="92" spans="36:60" x14ac:dyDescent="0.2">
      <c r="AJ92" s="48"/>
      <c r="AL92" s="77" t="s">
        <v>179</v>
      </c>
      <c r="AM92" s="11">
        <f>(2*(AM89-$AM$44)+SQRT((-2*(AM89-$AM$44))^2-4*(AM90+2*$AM$46)*AM90))/(2*(AM90+2*$AM$46))</f>
        <v>-118.83889324395531</v>
      </c>
      <c r="AP92" s="77" t="s">
        <v>178</v>
      </c>
      <c r="AQ92" s="11">
        <f>2*ATAN(AM92)</f>
        <v>-3.1247635436744488</v>
      </c>
      <c r="AS92" s="11">
        <f>AQ92*180/PI()</f>
        <v>-179.03576302888899</v>
      </c>
      <c r="AT92" s="11" t="s">
        <v>185</v>
      </c>
      <c r="AW92" s="56"/>
      <c r="AX92" s="48"/>
      <c r="BH92" s="56"/>
    </row>
    <row r="93" spans="36:60" x14ac:dyDescent="0.2">
      <c r="AJ93" s="48"/>
      <c r="AL93" s="77"/>
      <c r="AM93" s="11">
        <f>(2*(AM89-$AM$44)-SQRT((-2*(AM89-$AM$44))^2-4*(AM90+2*$AM$46)*AM90))/(2*(AM90+2*$AM$46))</f>
        <v>-8.4147535600783557E-3</v>
      </c>
      <c r="AP93" s="77"/>
      <c r="AQ93" s="11">
        <f>2*ATAN(AM93)</f>
        <v>-1.6829109915350405E-2</v>
      </c>
      <c r="AS93" s="11">
        <f>AQ93*180/PI()</f>
        <v>-0.96423697111134432</v>
      </c>
      <c r="AT93" s="11" t="s">
        <v>185</v>
      </c>
      <c r="AW93" s="56"/>
      <c r="AX93" s="48"/>
      <c r="BH93" s="56"/>
    </row>
    <row r="94" spans="36:60" x14ac:dyDescent="0.2">
      <c r="AJ94" s="48"/>
      <c r="AL94" s="77"/>
      <c r="AP94" s="77"/>
      <c r="AQ94" s="11">
        <f>MIN(AQ92:AQ93)</f>
        <v>-3.1247635436744488</v>
      </c>
      <c r="AS94" s="11">
        <f>AQ94-AQ89</f>
        <v>-3.1335096387376384</v>
      </c>
      <c r="AT94" s="11" t="s">
        <v>184</v>
      </c>
      <c r="AW94" s="56"/>
      <c r="AX94" s="48"/>
      <c r="AY94" s="11" t="s">
        <v>221</v>
      </c>
      <c r="BH94" s="56"/>
    </row>
    <row r="95" spans="36:60" x14ac:dyDescent="0.2">
      <c r="AJ95" s="48"/>
      <c r="AL95" s="77"/>
      <c r="AP95" s="77"/>
      <c r="AW95" s="56"/>
      <c r="AX95" s="48"/>
      <c r="AY95" s="11" t="s">
        <v>222</v>
      </c>
      <c r="BH95" s="56"/>
    </row>
    <row r="96" spans="36:60" x14ac:dyDescent="0.2">
      <c r="AJ96" s="48"/>
      <c r="AL96" s="77" t="s">
        <v>177</v>
      </c>
      <c r="AM96" s="11">
        <f>$AM$46*TAN(AQ92/2)+$AM$44</f>
        <v>0</v>
      </c>
      <c r="AP96" s="77" t="s">
        <v>176</v>
      </c>
      <c r="AQ96" s="11">
        <f>$AM$46*SIN(AQ94)+$AM$44</f>
        <v>0</v>
      </c>
      <c r="AW96" s="56"/>
      <c r="AX96" s="48"/>
      <c r="AY96" s="11" t="s">
        <v>223</v>
      </c>
      <c r="BH96" s="56"/>
    </row>
    <row r="97" spans="36:60" x14ac:dyDescent="0.2">
      <c r="AJ97" s="48"/>
      <c r="AM97" s="11">
        <f>$AM$46*TAN(AQ93/2)+$AM$44</f>
        <v>0</v>
      </c>
      <c r="AP97" s="77" t="s">
        <v>175</v>
      </c>
      <c r="AQ97" s="11">
        <f>AM89-AQ96</f>
        <v>61.8682604846475</v>
      </c>
      <c r="AW97" s="56"/>
      <c r="AX97" s="48"/>
      <c r="AY97" s="11" t="s">
        <v>224</v>
      </c>
      <c r="BH97" s="56"/>
    </row>
    <row r="98" spans="36:60" x14ac:dyDescent="0.2">
      <c r="AJ98" s="48"/>
      <c r="AM98" s="11">
        <f>MIN(AM96:AM97)</f>
        <v>0</v>
      </c>
      <c r="AP98" s="77" t="s">
        <v>173</v>
      </c>
      <c r="AQ98" s="11">
        <f>($AM$44/COS(AQ89)+AQ97/COS(AQ94)+$AM$46*AQ94)/12</f>
        <v>-5.1564185541869252</v>
      </c>
      <c r="AW98" s="56"/>
      <c r="AX98" s="48"/>
      <c r="BH98" s="56"/>
    </row>
    <row r="99" spans="36:60" x14ac:dyDescent="0.2">
      <c r="AJ99" s="94" t="s">
        <v>183</v>
      </c>
      <c r="AW99" s="56"/>
      <c r="AX99" s="48"/>
      <c r="AY99" s="11" t="s">
        <v>225</v>
      </c>
      <c r="BA99" s="11" t="s">
        <v>226</v>
      </c>
      <c r="BH99" s="56"/>
    </row>
    <row r="100" spans="36:60" ht="16.5" x14ac:dyDescent="0.2">
      <c r="AJ100" s="48"/>
      <c r="AL100" s="77" t="s">
        <v>182</v>
      </c>
      <c r="AM100" s="11">
        <f>$AV$43*COS($AV$44-AQ100)</f>
        <v>61.877006468221332</v>
      </c>
      <c r="AN100" s="11" t="s">
        <v>31</v>
      </c>
      <c r="AP100" s="77" t="s">
        <v>181</v>
      </c>
      <c r="AQ100" s="11">
        <f>ATAN(($AQ$44-$AQ$43)/(24*AQ98))</f>
        <v>-8.7460947124995258E-3</v>
      </c>
      <c r="AR100" s="77" t="s">
        <v>218</v>
      </c>
      <c r="AS100" s="11">
        <f>AQ100*180/PI()</f>
        <v>-0.50111431424790798</v>
      </c>
      <c r="AW100" s="56"/>
      <c r="AX100" s="48"/>
      <c r="AY100" s="11" t="s">
        <v>228</v>
      </c>
      <c r="BH100" s="56"/>
    </row>
    <row r="101" spans="36:60" ht="16.5" x14ac:dyDescent="0.2">
      <c r="AJ101" s="48"/>
      <c r="AL101" s="77" t="s">
        <v>180</v>
      </c>
      <c r="AM101" s="11">
        <f>$AV$43*SIN($AV$44-AQ100)</f>
        <v>4.1176834460377482E-2</v>
      </c>
      <c r="AW101" s="56"/>
      <c r="AX101" s="48"/>
      <c r="AY101" s="11" t="s">
        <v>229</v>
      </c>
      <c r="BH101" s="56"/>
    </row>
    <row r="102" spans="36:60" ht="16.5" x14ac:dyDescent="0.2">
      <c r="AJ102" s="48"/>
      <c r="AW102" s="56"/>
      <c r="AX102" s="48"/>
      <c r="AY102" s="11" t="s">
        <v>230</v>
      </c>
      <c r="BH102" s="56"/>
    </row>
    <row r="103" spans="36:60" x14ac:dyDescent="0.2">
      <c r="AJ103" s="48"/>
      <c r="AL103" s="77" t="s">
        <v>179</v>
      </c>
      <c r="AM103" s="11">
        <f>(2*(AM100-$AM$44)+SQRT((-2*(AM100-$AM$44))^2-4*(AM101+2*$AM$46)*AM101))/(2*(AM101+2*$AM$46))</f>
        <v>3005.4277085020176</v>
      </c>
      <c r="AP103" s="77" t="s">
        <v>178</v>
      </c>
      <c r="AQ103" s="11">
        <f>2*ATAN(AM103)</f>
        <v>3.1409271909268468</v>
      </c>
      <c r="AS103" s="11">
        <f>AQ103*180/PI()</f>
        <v>179.96187179798963</v>
      </c>
      <c r="AW103" s="56"/>
      <c r="AX103" s="48"/>
      <c r="BH103" s="56"/>
    </row>
    <row r="104" spans="36:60" ht="16.5" x14ac:dyDescent="0.2">
      <c r="AJ104" s="48"/>
      <c r="AL104" s="77"/>
      <c r="AM104" s="11">
        <f>(2*(AM100-$AM$44)-SQRT((-2*(AM100-$AM$44))^2-4*(AM101+2*$AM$46)*AM101))/(2*(AM101+2*$AM$46))</f>
        <v>3.3273134368902706E-4</v>
      </c>
      <c r="AP104" s="77"/>
      <c r="AQ104" s="11">
        <f>2*ATAN(AM104)</f>
        <v>6.6546266282023177E-4</v>
      </c>
      <c r="AR104" s="77" t="s">
        <v>219</v>
      </c>
      <c r="AS104" s="11">
        <f>(AQ105+AQ100)*180/PI()</f>
        <v>-0.46298611224477132</v>
      </c>
      <c r="AW104" s="56"/>
      <c r="AX104" s="48"/>
      <c r="AY104" s="11" t="s">
        <v>231</v>
      </c>
      <c r="BA104" s="77" t="s">
        <v>179</v>
      </c>
      <c r="BB104" s="11" t="s">
        <v>227</v>
      </c>
      <c r="BH104" s="56"/>
    </row>
    <row r="105" spans="36:60" x14ac:dyDescent="0.2">
      <c r="AJ105" s="48"/>
      <c r="AL105" s="77"/>
      <c r="AP105" s="77"/>
      <c r="AQ105" s="11">
        <f>MIN(AQ103:AQ104)</f>
        <v>6.6546266282023177E-4</v>
      </c>
      <c r="AR105" s="77" t="s">
        <v>220</v>
      </c>
      <c r="AS105" s="11">
        <f>AQ105*180/PI()</f>
        <v>3.8128202003136644E-2</v>
      </c>
      <c r="AT105" s="11">
        <f>AS105-AS100</f>
        <v>0.53924251625104458</v>
      </c>
      <c r="AW105" s="56"/>
      <c r="AX105" s="48"/>
      <c r="BH105" s="56"/>
    </row>
    <row r="106" spans="36:60" ht="16.5" x14ac:dyDescent="0.2">
      <c r="AJ106" s="48"/>
      <c r="AL106" s="77"/>
      <c r="AP106" s="77"/>
      <c r="AW106" s="56"/>
      <c r="AX106" s="48"/>
      <c r="AY106" s="11" t="s">
        <v>232</v>
      </c>
      <c r="BH106" s="56"/>
    </row>
    <row r="107" spans="36:60" ht="16.5" x14ac:dyDescent="0.2">
      <c r="AJ107" s="48"/>
      <c r="AL107" s="77" t="s">
        <v>177</v>
      </c>
      <c r="AM107" s="11">
        <f>$AM$46*TAN(AQ103/2)+$AM$44</f>
        <v>0</v>
      </c>
      <c r="AP107" s="77" t="s">
        <v>176</v>
      </c>
      <c r="AQ107" s="11">
        <f>$AM$46*SIN(AQ105)+$AM$44</f>
        <v>0</v>
      </c>
      <c r="AW107" s="56"/>
      <c r="AX107" s="48"/>
      <c r="AY107" s="11" t="s">
        <v>233</v>
      </c>
      <c r="BH107" s="56"/>
    </row>
    <row r="108" spans="36:60" x14ac:dyDescent="0.2">
      <c r="AJ108" s="48"/>
      <c r="AM108" s="11">
        <f>$AM$46*TAN(AQ104/2)+$AM$44</f>
        <v>0</v>
      </c>
      <c r="AP108" s="77" t="s">
        <v>175</v>
      </c>
      <c r="AQ108" s="11">
        <f>AM100-AQ107</f>
        <v>61.877006468221332</v>
      </c>
      <c r="AR108" s="77" t="s">
        <v>174</v>
      </c>
      <c r="AS108" s="11">
        <f>AQ108/(12*COS(AQ105))</f>
        <v>5.1564183474206517</v>
      </c>
      <c r="AW108" s="56"/>
      <c r="AX108" s="48"/>
      <c r="BH108" s="56"/>
    </row>
    <row r="109" spans="36:60" x14ac:dyDescent="0.2">
      <c r="AJ109" s="48"/>
      <c r="AM109" s="11">
        <f>MIN(AM107:AM108)</f>
        <v>0</v>
      </c>
      <c r="AP109" s="77" t="s">
        <v>173</v>
      </c>
      <c r="AQ109" s="11">
        <f>($AM$44/COS(AQ100)+AQ108/COS(AQ105)+$AM$46*AQ105)/12+IF(D44="Yes",BD20/COS(AQ105)/12,0)</f>
        <v>5.1564183474206517</v>
      </c>
      <c r="AW109" s="56"/>
      <c r="AX109" s="48"/>
      <c r="BH109" s="56"/>
    </row>
    <row r="110" spans="36:60" x14ac:dyDescent="0.2">
      <c r="AJ110" s="48"/>
      <c r="AP110" s="77" t="s">
        <v>172</v>
      </c>
      <c r="AQ110" s="11">
        <f>AV43/12</f>
        <v>5.1564183474201464</v>
      </c>
      <c r="AU110" s="11" t="s">
        <v>171</v>
      </c>
      <c r="AV110" s="11">
        <f>AM101/COS(AQ100)+AM43*TAN(AQ100)</f>
        <v>-0.50000000000000011</v>
      </c>
      <c r="AW110" s="56"/>
      <c r="AX110" s="48"/>
      <c r="BH110" s="56"/>
    </row>
    <row r="111" spans="36:60" ht="15" thickBot="1" x14ac:dyDescent="0.25">
      <c r="AJ111" s="92"/>
      <c r="AK111" s="84"/>
      <c r="AL111" s="84"/>
      <c r="AM111" s="84"/>
      <c r="AN111" s="84"/>
      <c r="AO111" s="84"/>
      <c r="AP111" s="102" t="s">
        <v>170</v>
      </c>
      <c r="AQ111" s="84">
        <f>AQ109+(AQ43*TAN(AQ100)+AQ44*TAN(AQ105+AQ100))/24</f>
        <v>5.1515005182167215</v>
      </c>
      <c r="AR111" s="84"/>
      <c r="AS111" s="84"/>
      <c r="AT111" s="84"/>
      <c r="AU111" s="84"/>
      <c r="AV111" s="84"/>
      <c r="AW111" s="91"/>
      <c r="AX111" s="92"/>
      <c r="AY111" s="84"/>
      <c r="AZ111" s="84"/>
      <c r="BA111" s="84"/>
      <c r="BB111" s="84"/>
      <c r="BC111" s="84"/>
      <c r="BD111" s="84"/>
      <c r="BE111" s="84"/>
      <c r="BF111" s="84"/>
      <c r="BG111" s="84"/>
      <c r="BH111" s="91"/>
    </row>
  </sheetData>
  <sheetProtection algorithmName="SHA-512" hashValue="TgoS/rJEP/RRiJpmFZzrEHhNVb4kFMoEZK/Jv+iblRqaNja5fD+RMY+DXlwHVFMfotk425E4lqucKyMExBfmqw==" saltValue="lebqlgLI/RY3BM2b5jpEfQ==" spinCount="100000" sheet="1" objects="1" scenarios="1"/>
  <dataConsolidate/>
  <mergeCells count="47"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  <mergeCell ref="B2:I2"/>
    <mergeCell ref="D4:E4"/>
    <mergeCell ref="H4:I4"/>
    <mergeCell ref="C5:F5"/>
    <mergeCell ref="H5:M5"/>
    <mergeCell ref="O2:V2"/>
    <mergeCell ref="Q4:R4"/>
    <mergeCell ref="U4:V4"/>
    <mergeCell ref="P5:S5"/>
    <mergeCell ref="U5:Z5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V25:Z25"/>
    <mergeCell ref="V26:Z26"/>
    <mergeCell ref="V27:Z27"/>
    <mergeCell ref="V29:Z30"/>
    <mergeCell ref="V28:Z28"/>
  </mergeCells>
  <conditionalFormatting sqref="D36">
    <cfRule type="expression" dxfId="35" priority="18">
      <formula>COUNTIF(First_Bolt,D36)=0</formula>
    </cfRule>
  </conditionalFormatting>
  <conditionalFormatting sqref="D32">
    <cfRule type="expression" dxfId="34" priority="17">
      <formula>ISODD(D32)</formula>
    </cfRule>
  </conditionalFormatting>
  <conditionalFormatting sqref="D38:D39">
    <cfRule type="cellIs" dxfId="33" priority="26" operator="lessThan">
      <formula>$AX$18</formula>
    </cfRule>
  </conditionalFormatting>
  <conditionalFormatting sqref="D49 D65">
    <cfRule type="cellIs" dxfId="32" priority="27" operator="lessThan">
      <formula>$AX$17</formula>
    </cfRule>
  </conditionalFormatting>
  <conditionalFormatting sqref="D37">
    <cfRule type="cellIs" dxfId="31" priority="29" operator="lessThan">
      <formula>$AX$19</formula>
    </cfRule>
  </conditionalFormatting>
  <conditionalFormatting sqref="V29">
    <cfRule type="cellIs" dxfId="30" priority="15" operator="equal">
      <formula>"Curve Arm Will Not Work!"</formula>
    </cfRule>
  </conditionalFormatting>
  <conditionalFormatting sqref="S22:S29">
    <cfRule type="cellIs" dxfId="29" priority="14" operator="lessThan">
      <formula>0</formula>
    </cfRule>
  </conditionalFormatting>
  <conditionalFormatting sqref="K46">
    <cfRule type="cellIs" dxfId="28" priority="13" operator="greaterThan">
      <formula>1</formula>
    </cfRule>
  </conditionalFormatting>
  <conditionalFormatting sqref="K53">
    <cfRule type="cellIs" dxfId="27" priority="11" operator="greaterThan">
      <formula>1</formula>
    </cfRule>
  </conditionalFormatting>
  <conditionalFormatting sqref="K57">
    <cfRule type="cellIs" dxfId="26" priority="10" operator="greaterThan">
      <formula>1</formula>
    </cfRule>
  </conditionalFormatting>
  <conditionalFormatting sqref="K61">
    <cfRule type="cellIs" dxfId="25" priority="9" operator="greaterThan">
      <formula>1</formula>
    </cfRule>
  </conditionalFormatting>
  <conditionalFormatting sqref="D63">
    <cfRule type="cellIs" dxfId="24" priority="8" operator="lessThan">
      <formula>$BD$24</formula>
    </cfRule>
  </conditionalFormatting>
  <conditionalFormatting sqref="D64">
    <cfRule type="cellIs" dxfId="23" priority="4" operator="lessThan">
      <formula>MAX(VLOOKUP(D31,BoltDim,10,FALSE),D38+0.75)</formula>
    </cfRule>
    <cfRule type="expression" dxfId="22" priority="7">
      <formula>"if $D$61&lt;BD24"</formula>
    </cfRule>
  </conditionalFormatting>
  <conditionalFormatting sqref="D50">
    <cfRule type="cellIs" dxfId="21" priority="30" operator="lessThan">
      <formula>MAX(D52+D38+0.5,D38+D56+0.5)</formula>
    </cfRule>
  </conditionalFormatting>
  <conditionalFormatting sqref="D51">
    <cfRule type="cellIs" dxfId="20" priority="31" operator="lessThan">
      <formula>D50+D38+D47</formula>
    </cfRule>
  </conditionalFormatting>
  <conditionalFormatting sqref="S16">
    <cfRule type="cellIs" dxfId="19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84" r:id="rId4" name="ComboBox2">
          <controlPr defaultSize="0" disabled="1" autoLine="0" autoPict="0" listFillRange="BK69:BK71" r:id="rId5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4" name="ComboBox2"/>
      </mc:Fallback>
    </mc:AlternateContent>
    <mc:AlternateContent xmlns:mc="http://schemas.openxmlformats.org/markup-compatibility/2006">
      <mc:Choice Requires="x14">
        <control shapeId="8371" r:id="rId6" name="CheckBox5">
          <controlPr defaultSize="0" autoLine="0" r:id="rId7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8371" r:id="rId6" name="CheckBox5"/>
      </mc:Fallback>
    </mc:AlternateContent>
    <mc:AlternateContent xmlns:mc="http://schemas.openxmlformats.org/markup-compatibility/2006">
      <mc:Choice Requires="x14">
        <control shapeId="8370" r:id="rId8" name="CheckBox4">
          <controlPr defaultSize="0" autoLine="0" r:id="rId9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8370" r:id="rId8" name="CheckBox4"/>
      </mc:Fallback>
    </mc:AlternateContent>
    <mc:AlternateContent xmlns:mc="http://schemas.openxmlformats.org/markup-compatibility/2006">
      <mc:Choice Requires="x14">
        <control shapeId="8368" r:id="rId10" name="ComboBox1">
          <controlPr defaultSize="0" autoLine="0" listFillRange="BE26:BE30" r:id="rId11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0" name="ComboBox1"/>
      </mc:Fallback>
    </mc:AlternateContent>
    <mc:AlternateContent xmlns:mc="http://schemas.openxmlformats.org/markup-compatibility/2006">
      <mc:Choice Requires="x14">
        <control shapeId="8295" r:id="rId12" name="CheckBox2">
          <controlPr defaultSize="0" autoLine="0" r:id="rId13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2" name="CheckBox2"/>
      </mc:Fallback>
    </mc:AlternateContent>
    <mc:AlternateContent xmlns:mc="http://schemas.openxmlformats.org/markup-compatibility/2006">
      <mc:Choice Requires="x14">
        <control shapeId="8292" r:id="rId14" name="Image6">
          <controlPr defaultSize="0" autoLine="0" r:id="rId15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581025</xdr:colOff>
                <xdr:row>20</xdr:row>
                <xdr:rowOff>19050</xdr:rowOff>
              </to>
            </anchor>
          </controlPr>
        </control>
      </mc:Choice>
      <mc:Fallback>
        <control shapeId="8292" r:id="rId14" name="Image6"/>
      </mc:Fallback>
    </mc:AlternateContent>
    <mc:AlternateContent xmlns:mc="http://schemas.openxmlformats.org/markup-compatibility/2006">
      <mc:Choice Requires="x14">
        <control shapeId="8199" r:id="rId16" name="CurveType">
          <controlPr defaultSize="0" disabled="1" autoLine="0" listFillRange="BC26:BC28" r:id="rId17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19</xdr:row>
                <xdr:rowOff>0</xdr:rowOff>
              </to>
            </anchor>
          </controlPr>
        </control>
      </mc:Choice>
      <mc:Fallback>
        <control shapeId="8199" r:id="rId16" name="CurveType"/>
      </mc:Fallback>
    </mc:AlternateContent>
    <mc:AlternateContent xmlns:mc="http://schemas.openxmlformats.org/markup-compatibility/2006">
      <mc:Choice Requires="x14">
        <control shapeId="8274" r:id="rId18" name="CheckBox1">
          <controlPr defaultSize="0" autoLine="0" autoPict="0" r:id="rId19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8" name="CheckBox1"/>
      </mc:Fallback>
    </mc:AlternateContent>
    <mc:AlternateContent xmlns:mc="http://schemas.openxmlformats.org/markup-compatibility/2006">
      <mc:Choice Requires="x14">
        <control shapeId="8289" r:id="rId20" name="Image3">
          <controlPr defaultSize="0" autoLine="0" r:id="rId21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20" name="Image3"/>
      </mc:Fallback>
    </mc:AlternateContent>
    <mc:AlternateContent xmlns:mc="http://schemas.openxmlformats.org/markup-compatibility/2006">
      <mc:Choice Requires="x14">
        <control shapeId="8290" r:id="rId22" name="Image4">
          <controlPr defaultSize="0" autoLine="0" r:id="rId23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22" name="Image4"/>
      </mc:Fallback>
    </mc:AlternateContent>
    <mc:AlternateContent xmlns:mc="http://schemas.openxmlformats.org/markup-compatibility/2006">
      <mc:Choice Requires="x14">
        <control shapeId="8291" r:id="rId24" name="Image5">
          <controlPr defaultSize="0" autoLine="0" r:id="rId23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152400</xdr:rowOff>
              </to>
            </anchor>
          </controlPr>
        </control>
      </mc:Choice>
      <mc:Fallback>
        <control shapeId="8291" r:id="rId24" name="Image5"/>
      </mc:Fallback>
    </mc:AlternateContent>
    <mc:AlternateContent xmlns:mc="http://schemas.openxmlformats.org/markup-compatibility/2006">
      <mc:Choice Requires="x14">
        <control shapeId="8304" r:id="rId25" name="CheckBox3">
          <controlPr defaultSize="0" autoLine="0" r:id="rId26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25" name="Check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BW53"/>
  <sheetViews>
    <sheetView topLeftCell="A4" zoomScale="90" zoomScaleNormal="90" workbookViewId="0">
      <pane xSplit="21" topLeftCell="V1" activePane="topRight" state="frozen"/>
      <selection pane="topRight" activeCell="AI2" sqref="AI2"/>
    </sheetView>
  </sheetViews>
  <sheetFormatPr defaultRowHeight="15" x14ac:dyDescent="0.25"/>
  <cols>
    <col min="1" max="1" width="4.42578125" style="926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62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65" t="s">
        <v>272</v>
      </c>
      <c r="C2" s="165"/>
      <c r="G2" s="926" t="s">
        <v>703</v>
      </c>
      <c r="H2" s="2157">
        <v>43227</v>
      </c>
      <c r="I2" s="2157"/>
    </row>
    <row r="3" spans="1:75" ht="15.75" thickBot="1" x14ac:dyDescent="0.3">
      <c r="BF3" s="2158" t="s">
        <v>673</v>
      </c>
      <c r="BG3" s="2158"/>
      <c r="BH3" s="2158"/>
      <c r="BI3" s="2158"/>
      <c r="BJ3" s="2158"/>
      <c r="BK3" s="2158"/>
    </row>
    <row r="4" spans="1:75" ht="15" customHeight="1" x14ac:dyDescent="0.25">
      <c r="B4" s="2159" t="s">
        <v>273</v>
      </c>
      <c r="C4" s="2160"/>
      <c r="D4" s="2160"/>
      <c r="E4" s="2160"/>
      <c r="F4" s="2160"/>
      <c r="G4" s="2161"/>
      <c r="H4" s="2162" t="s">
        <v>386</v>
      </c>
      <c r="I4" s="2163"/>
      <c r="J4" s="2163"/>
      <c r="K4" s="2163"/>
      <c r="L4" s="2164"/>
      <c r="M4" s="2165" t="s">
        <v>387</v>
      </c>
      <c r="N4" s="2166"/>
      <c r="O4" s="2166"/>
      <c r="P4" s="2166"/>
      <c r="Q4" s="2166"/>
      <c r="R4" s="2167" t="s">
        <v>390</v>
      </c>
      <c r="S4" s="2168"/>
      <c r="T4" s="2168"/>
      <c r="U4" s="2169"/>
      <c r="V4" s="2170" t="s">
        <v>260</v>
      </c>
      <c r="W4" s="2170"/>
      <c r="X4" s="2170"/>
      <c r="Y4" s="2170"/>
      <c r="Z4" s="2170"/>
      <c r="AA4" s="2167" t="s">
        <v>400</v>
      </c>
      <c r="AB4" s="2163"/>
      <c r="AC4" s="2163"/>
      <c r="AD4" s="2163"/>
      <c r="AE4" s="2163"/>
      <c r="AF4" s="2163"/>
      <c r="AG4" s="2163"/>
      <c r="AH4" s="2163"/>
      <c r="AI4" s="2163"/>
      <c r="AJ4" s="2164"/>
      <c r="AK4" s="2170" t="s">
        <v>399</v>
      </c>
      <c r="AL4" s="2166"/>
      <c r="AM4" s="2166"/>
      <c r="AN4" s="2166"/>
      <c r="AO4" s="2166"/>
      <c r="AP4" s="2166"/>
      <c r="AQ4" s="2166"/>
      <c r="AR4" s="2171"/>
      <c r="BI4">
        <v>0.3125</v>
      </c>
      <c r="BK4" t="s">
        <v>667</v>
      </c>
    </row>
    <row r="5" spans="1:75" ht="17.25" customHeight="1" x14ac:dyDescent="0.25">
      <c r="B5" s="2174" t="s">
        <v>654</v>
      </c>
      <c r="C5" s="2175"/>
      <c r="D5" s="2174" t="s">
        <v>655</v>
      </c>
      <c r="E5" s="2175"/>
      <c r="F5" s="2176"/>
      <c r="G5" s="2175" t="s">
        <v>626</v>
      </c>
      <c r="H5" s="2178" t="s">
        <v>641</v>
      </c>
      <c r="I5" s="2180" t="s">
        <v>406</v>
      </c>
      <c r="J5" s="2180" t="s">
        <v>304</v>
      </c>
      <c r="K5" s="2180" t="s">
        <v>388</v>
      </c>
      <c r="L5" s="2182" t="s">
        <v>403</v>
      </c>
      <c r="M5" s="2184" t="s">
        <v>404</v>
      </c>
      <c r="N5" s="2172" t="s">
        <v>405</v>
      </c>
      <c r="O5" s="2172" t="s">
        <v>406</v>
      </c>
      <c r="P5" s="2172" t="s">
        <v>304</v>
      </c>
      <c r="Q5" s="2186" t="s">
        <v>632</v>
      </c>
      <c r="R5" s="2178" t="s">
        <v>389</v>
      </c>
      <c r="S5" s="2180" t="s">
        <v>408</v>
      </c>
      <c r="T5" s="2180" t="s">
        <v>682</v>
      </c>
      <c r="U5" s="2182" t="s">
        <v>683</v>
      </c>
      <c r="V5" s="2184" t="s">
        <v>629</v>
      </c>
      <c r="W5" s="2172" t="s">
        <v>406</v>
      </c>
      <c r="X5" s="2172" t="s">
        <v>630</v>
      </c>
      <c r="Y5" s="2172" t="s">
        <v>304</v>
      </c>
      <c r="Z5" s="2186" t="s">
        <v>631</v>
      </c>
      <c r="AA5" s="2178" t="s">
        <v>643</v>
      </c>
      <c r="AB5" s="2180" t="s">
        <v>392</v>
      </c>
      <c r="AC5" s="2180" t="s">
        <v>393</v>
      </c>
      <c r="AD5" s="2180" t="s">
        <v>391</v>
      </c>
      <c r="AE5" s="2180" t="s">
        <v>409</v>
      </c>
      <c r="AF5" s="2180" t="s">
        <v>410</v>
      </c>
      <c r="AG5" s="2190" t="s">
        <v>398</v>
      </c>
      <c r="AH5" s="2191"/>
      <c r="AI5" s="2191"/>
      <c r="AJ5" s="2192"/>
      <c r="AK5" s="2184" t="s">
        <v>656</v>
      </c>
      <c r="AL5" s="2172" t="s">
        <v>657</v>
      </c>
      <c r="AM5" s="2172" t="s">
        <v>659</v>
      </c>
      <c r="AN5" s="2186" t="s">
        <v>658</v>
      </c>
      <c r="AO5" s="2184"/>
      <c r="AP5" s="2172" t="s">
        <v>402</v>
      </c>
      <c r="AQ5" s="2172" t="s">
        <v>681</v>
      </c>
      <c r="AR5" s="2188" t="s">
        <v>680</v>
      </c>
      <c r="AT5">
        <v>0.45</v>
      </c>
      <c r="BC5">
        <v>0.125</v>
      </c>
      <c r="BI5" t="s">
        <v>664</v>
      </c>
      <c r="BJ5" t="s">
        <v>665</v>
      </c>
      <c r="BK5" t="s">
        <v>666</v>
      </c>
      <c r="BP5" s="1791" t="s">
        <v>664</v>
      </c>
      <c r="BQ5" s="1791" t="s">
        <v>665</v>
      </c>
      <c r="BR5" t="s">
        <v>666</v>
      </c>
      <c r="BS5" s="1791" t="s">
        <v>664</v>
      </c>
      <c r="BT5" s="1791" t="s">
        <v>665</v>
      </c>
      <c r="BU5" t="s">
        <v>666</v>
      </c>
    </row>
    <row r="6" spans="1:75" ht="52.5" customHeight="1" thickBot="1" x14ac:dyDescent="0.3">
      <c r="B6" s="1792" t="s">
        <v>669</v>
      </c>
      <c r="C6" s="1793" t="s">
        <v>668</v>
      </c>
      <c r="D6" s="1794" t="s">
        <v>669</v>
      </c>
      <c r="E6" s="1795" t="s">
        <v>777</v>
      </c>
      <c r="F6" s="1796" t="s">
        <v>668</v>
      </c>
      <c r="G6" s="2177"/>
      <c r="H6" s="2179"/>
      <c r="I6" s="2181"/>
      <c r="J6" s="2181"/>
      <c r="K6" s="2181"/>
      <c r="L6" s="2183"/>
      <c r="M6" s="2185"/>
      <c r="N6" s="2173"/>
      <c r="O6" s="2173"/>
      <c r="P6" s="2173"/>
      <c r="Q6" s="2187"/>
      <c r="R6" s="2179"/>
      <c r="S6" s="2181"/>
      <c r="T6" s="2181"/>
      <c r="U6" s="2183"/>
      <c r="V6" s="2185"/>
      <c r="W6" s="2173"/>
      <c r="X6" s="2173"/>
      <c r="Y6" s="2173"/>
      <c r="Z6" s="2187"/>
      <c r="AA6" s="2179"/>
      <c r="AB6" s="2181"/>
      <c r="AC6" s="2181"/>
      <c r="AD6" s="2181"/>
      <c r="AE6" s="2181"/>
      <c r="AF6" s="2181"/>
      <c r="AG6" s="1797" t="s">
        <v>397</v>
      </c>
      <c r="AH6" s="1798" t="s">
        <v>394</v>
      </c>
      <c r="AI6" s="1799" t="s">
        <v>395</v>
      </c>
      <c r="AJ6" s="1800" t="s">
        <v>396</v>
      </c>
      <c r="AK6" s="2185"/>
      <c r="AL6" s="2173"/>
      <c r="AM6" s="2173"/>
      <c r="AN6" s="1795" t="s">
        <v>660</v>
      </c>
      <c r="AO6" s="1795" t="s">
        <v>661</v>
      </c>
      <c r="AP6" s="2173"/>
      <c r="AQ6" s="2173"/>
      <c r="AR6" s="2189"/>
      <c r="AT6" t="s">
        <v>447</v>
      </c>
      <c r="AU6" t="s">
        <v>677</v>
      </c>
      <c r="AV6" t="s">
        <v>678</v>
      </c>
      <c r="AW6" s="1717" t="s">
        <v>679</v>
      </c>
      <c r="AX6" s="1717" t="s">
        <v>684</v>
      </c>
      <c r="AY6" s="1717" t="s">
        <v>685</v>
      </c>
      <c r="AZ6" s="1717" t="s">
        <v>686</v>
      </c>
      <c r="BA6" t="s">
        <v>638</v>
      </c>
      <c r="BB6" t="s">
        <v>639</v>
      </c>
      <c r="BC6" s="1801" t="s">
        <v>637</v>
      </c>
      <c r="BE6" t="s">
        <v>672</v>
      </c>
      <c r="BF6" s="1718" t="s">
        <v>671</v>
      </c>
      <c r="BG6" s="1718" t="s">
        <v>670</v>
      </c>
      <c r="BH6" s="1718" t="s">
        <v>662</v>
      </c>
      <c r="BI6" s="1802" t="s">
        <v>663</v>
      </c>
      <c r="BJ6" s="1802" t="s">
        <v>663</v>
      </c>
      <c r="BK6" s="1718" t="s">
        <v>663</v>
      </c>
      <c r="BL6" s="162"/>
      <c r="BM6" s="1718" t="s">
        <v>674</v>
      </c>
      <c r="BN6" s="1718" t="s">
        <v>675</v>
      </c>
      <c r="BO6" s="1718" t="s">
        <v>662</v>
      </c>
      <c r="BP6" s="1803" t="s">
        <v>676</v>
      </c>
      <c r="BQ6" s="1803" t="s">
        <v>676</v>
      </c>
      <c r="BR6" s="1718" t="s">
        <v>676</v>
      </c>
      <c r="BS6" s="1803" t="s">
        <v>676</v>
      </c>
      <c r="BT6" s="1803" t="s">
        <v>676</v>
      </c>
      <c r="BU6" s="1718" t="s">
        <v>676</v>
      </c>
    </row>
    <row r="7" spans="1:75" ht="14.25" customHeight="1" x14ac:dyDescent="0.25">
      <c r="B7" s="1543">
        <v>4</v>
      </c>
      <c r="C7" s="1774">
        <v>5.25</v>
      </c>
      <c r="D7" s="1778">
        <v>4</v>
      </c>
      <c r="E7" s="1544" t="s">
        <v>755</v>
      </c>
      <c r="F7" s="1818">
        <v>5.25</v>
      </c>
      <c r="G7" s="1774">
        <v>0.1875</v>
      </c>
      <c r="H7" s="1543" t="s">
        <v>704</v>
      </c>
      <c r="I7" s="1546">
        <v>0.625</v>
      </c>
      <c r="J7" s="1544">
        <v>65</v>
      </c>
      <c r="K7" s="2108">
        <v>1.5</v>
      </c>
      <c r="L7" s="1826">
        <v>1.875</v>
      </c>
      <c r="M7" s="1549" t="s">
        <v>705</v>
      </c>
      <c r="N7" s="1544" t="s">
        <v>706</v>
      </c>
      <c r="O7" s="1842">
        <f t="shared" ref="O7:P22" si="0">I7</f>
        <v>0.625</v>
      </c>
      <c r="P7" s="1843">
        <f t="shared" si="0"/>
        <v>65</v>
      </c>
      <c r="Q7" s="1552">
        <v>7</v>
      </c>
      <c r="R7" s="1543">
        <v>9</v>
      </c>
      <c r="S7" s="1825">
        <f t="shared" ref="S7:S44" si="1">(INT(AA7/4)-1)*AC7+AB7</f>
        <v>3</v>
      </c>
      <c r="T7" s="1825">
        <f>R7/2-S7</f>
        <v>1.5</v>
      </c>
      <c r="U7" s="1553">
        <f t="shared" ref="U7:U43" si="2">CEILING(1.3*AE7,0.25)</f>
        <v>1.5</v>
      </c>
      <c r="V7" s="1554"/>
      <c r="W7" s="1550"/>
      <c r="X7" s="1555"/>
      <c r="Y7" s="1547"/>
      <c r="Z7" s="1556"/>
      <c r="AA7" s="1558">
        <v>4</v>
      </c>
      <c r="AB7" s="1559">
        <v>3</v>
      </c>
      <c r="AC7" s="1560">
        <v>6</v>
      </c>
      <c r="AD7" s="1561" t="s">
        <v>47</v>
      </c>
      <c r="AE7" s="1562">
        <v>1</v>
      </c>
      <c r="AF7" s="1871">
        <f>AE7+0.125</f>
        <v>1.125</v>
      </c>
      <c r="AG7" s="1872">
        <f t="shared" ref="AG7:AG44" si="3">CEILING(I7+O7+AE7+0.5,0.25)</f>
        <v>2.75</v>
      </c>
      <c r="AH7" s="1873" t="s">
        <v>412</v>
      </c>
      <c r="AI7" s="1874" t="s">
        <v>413</v>
      </c>
      <c r="AJ7" s="1875" t="s">
        <v>413</v>
      </c>
      <c r="AK7" s="1876">
        <f t="shared" ref="AK7:AK44" si="4">MAX(K7+2*U7+0.5,X7+2*U7+0.5)</f>
        <v>5</v>
      </c>
      <c r="AL7" s="1877">
        <f t="shared" ref="AL7:AL44" si="5">MAX(K7+U7+0.5,X7+U7+0.5)+I7</f>
        <v>4.125</v>
      </c>
      <c r="AM7" s="1878"/>
      <c r="AN7" s="1879">
        <v>1</v>
      </c>
      <c r="AO7" s="1880">
        <f>D7-2*G7-AN7-2*$BI$4</f>
        <v>2</v>
      </c>
      <c r="AP7" s="2110" t="str">
        <f t="shared" ref="AP7:AP44" si="6" xml:space="preserve"> "PL "&amp;TRIM(TEXT(I7,"# ?/?"))&amp;" x " &amp;TRIM(TEXT(R7,"# ?/?"))&amp; " x " &amp;TRIM(TEXT(AT7,"# ?/?"))</f>
        <v>PL 5/8 x 9 x 11 1/2</v>
      </c>
      <c r="AQ7" s="2111">
        <f>AW7+AY7</f>
        <v>17.640615138660124</v>
      </c>
      <c r="AR7" s="2112">
        <f>(AX7+AZ7)*1.06</f>
        <v>18.403922979119873</v>
      </c>
      <c r="AT7" s="925">
        <f t="shared" ref="AT7:AT44" si="7">CEILING(2*AK7+L7 - 4*K7+(K7+$AT$5*I7)*PI(),0.125)</f>
        <v>11.5</v>
      </c>
      <c r="AU7" s="925">
        <f>AA7*(AE7+0.125)^2*PI()/4</f>
        <v>3.9760782021995817</v>
      </c>
      <c r="AV7" s="925">
        <f>(AM7^2+2*AN7^2)*PI()/4</f>
        <v>1.5707963267948966</v>
      </c>
      <c r="AW7">
        <f>I7*(R7*AT7-AU7)*0.2836</f>
        <v>17.640615138660124</v>
      </c>
      <c r="AX7">
        <f>I7*(R7*AT7-AU7-AV7)*0.2836</f>
        <v>17.362191489735729</v>
      </c>
      <c r="AY7">
        <f>2*W7*(X7*Q7-K7^2*(2-PI()/2))*0.2836</f>
        <v>0</v>
      </c>
      <c r="AZ7">
        <f>2*W7*((X7+0.5)*Q7-K7^2*(2-PI()/2)-2.5708)*0.2836</f>
        <v>0</v>
      </c>
      <c r="BA7">
        <f>(F7-2*G7-(L7-2*K7))/2</f>
        <v>3</v>
      </c>
      <c r="BB7">
        <f t="shared" ref="BB7:BB44" si="8">K7+I7</f>
        <v>2.125</v>
      </c>
      <c r="BC7" s="1801" t="e">
        <f>BB7-SQRT(BB7^2-BA7^2)</f>
        <v>#NUM!</v>
      </c>
      <c r="BE7">
        <f>G7</f>
        <v>0.1875</v>
      </c>
      <c r="BF7">
        <f>D7-2*G7</f>
        <v>3.625</v>
      </c>
      <c r="BG7">
        <f>F7-2*BE7</f>
        <v>4.875</v>
      </c>
      <c r="BH7">
        <f>BG7/COS(PI()/18)</f>
        <v>4.950204732943007</v>
      </c>
      <c r="BI7" s="1805">
        <f>(BF7-AO7-AN7)/2</f>
        <v>0.3125</v>
      </c>
      <c r="BJ7" s="1801">
        <f>(BG7-AO7-AN7)/2</f>
        <v>0.9375</v>
      </c>
      <c r="BK7">
        <f>(BH7-AO7-AN7)/2</f>
        <v>0.9751023664715035</v>
      </c>
      <c r="BM7">
        <f t="shared" ref="BM7:BM34" si="9">1.154700538*(B7-2*G7)-1.237604307*G7</f>
        <v>3.9537386426874996</v>
      </c>
      <c r="BN7">
        <f t="shared" ref="BN7:BN34" si="10">1.154700538*(C7-2*BE7)-1.237604307*BE7</f>
        <v>5.3971143151875003</v>
      </c>
      <c r="BO7">
        <f>BN7/COS(PI()/18)</f>
        <v>5.4803735030308962</v>
      </c>
      <c r="BP7" s="1791">
        <f t="shared" ref="BP7:BP34" si="11">(BM7-AO7-AN7)/2</f>
        <v>0.47686932134374982</v>
      </c>
      <c r="BQ7" s="1791">
        <f t="shared" ref="BQ7:BQ34" si="12">(BN7-AO7-AN7)/2</f>
        <v>1.1985571575937501</v>
      </c>
      <c r="BR7">
        <f t="shared" ref="BR7:BR34" si="13">(BO7-AO7-AN7)/2</f>
        <v>1.2401867515154481</v>
      </c>
      <c r="BS7" s="1791">
        <f t="shared" ref="BS7:BS34" si="14">((B7-2*G7)-0.8660254038*AO7)/2-AN7/2</f>
        <v>0.44647459619999996</v>
      </c>
      <c r="BT7" s="1791">
        <f t="shared" ref="BT7:BT34" si="15">((C7-2*BE7)-0.8660254038*AO7)/2-AN7/2</f>
        <v>1.0714745961999999</v>
      </c>
      <c r="BU7">
        <f t="shared" ref="BU7:BU34" si="16">((C7-2*BE7)/COS(PI()/18)-0.8660254038*AO7)/2-AN7/2</f>
        <v>1.1090769626715034</v>
      </c>
    </row>
    <row r="8" spans="1:75" s="1809" customFormat="1" ht="14.25" customHeight="1" x14ac:dyDescent="0.25">
      <c r="A8" s="1806"/>
      <c r="B8" s="1528">
        <v>4</v>
      </c>
      <c r="C8" s="1775">
        <v>5.25</v>
      </c>
      <c r="D8" s="1779">
        <v>4</v>
      </c>
      <c r="E8" s="1529" t="s">
        <v>755</v>
      </c>
      <c r="F8" s="1819">
        <v>5.375</v>
      </c>
      <c r="G8" s="1775">
        <v>0.25</v>
      </c>
      <c r="H8" s="1528" t="s">
        <v>707</v>
      </c>
      <c r="I8" s="1531">
        <v>0.625</v>
      </c>
      <c r="J8" s="1529">
        <v>65</v>
      </c>
      <c r="K8" s="2109">
        <v>1.5</v>
      </c>
      <c r="L8" s="1828">
        <f>Q8+0.125</f>
        <v>7.125</v>
      </c>
      <c r="M8" s="1534" t="s">
        <v>708</v>
      </c>
      <c r="N8" s="1529" t="s">
        <v>709</v>
      </c>
      <c r="O8" s="1844">
        <f t="shared" si="0"/>
        <v>0.625</v>
      </c>
      <c r="P8" s="1845">
        <f t="shared" si="0"/>
        <v>65</v>
      </c>
      <c r="Q8" s="1537">
        <v>7</v>
      </c>
      <c r="R8" s="1528">
        <v>12</v>
      </c>
      <c r="S8" s="1827">
        <f t="shared" si="1"/>
        <v>4.5</v>
      </c>
      <c r="T8" s="1827">
        <f>R8/2-S8</f>
        <v>1.5</v>
      </c>
      <c r="U8" s="1538">
        <f t="shared" si="2"/>
        <v>1.5</v>
      </c>
      <c r="V8" s="1539"/>
      <c r="W8" s="1807"/>
      <c r="X8" s="1540"/>
      <c r="Y8" s="1708"/>
      <c r="Z8" s="1808"/>
      <c r="AA8" s="1656">
        <v>4</v>
      </c>
      <c r="AB8" s="1657">
        <v>4.5</v>
      </c>
      <c r="AC8" s="1658">
        <v>9</v>
      </c>
      <c r="AD8" s="1659" t="s">
        <v>47</v>
      </c>
      <c r="AE8" s="1660">
        <v>1</v>
      </c>
      <c r="AF8" s="1884">
        <f>AE8+0.125</f>
        <v>1.125</v>
      </c>
      <c r="AG8" s="1885">
        <f t="shared" si="3"/>
        <v>2.75</v>
      </c>
      <c r="AH8" s="1886" t="s">
        <v>412</v>
      </c>
      <c r="AI8" s="1887" t="s">
        <v>413</v>
      </c>
      <c r="AJ8" s="1888" t="s">
        <v>413</v>
      </c>
      <c r="AK8" s="1889">
        <f t="shared" si="4"/>
        <v>5</v>
      </c>
      <c r="AL8" s="1890">
        <f t="shared" si="5"/>
        <v>4.125</v>
      </c>
      <c r="AM8" s="1891"/>
      <c r="AN8" s="1892">
        <v>1</v>
      </c>
      <c r="AO8" s="1893">
        <f>D8-2*G8-AN8-2*$BI$4</f>
        <v>1.875</v>
      </c>
      <c r="AP8" s="2113" t="str">
        <f t="shared" si="6"/>
        <v>PL 5/8 x 12 x 16 3/4</v>
      </c>
      <c r="AQ8" s="2114">
        <f>AW8+AY8</f>
        <v>34.92249013866013</v>
      </c>
      <c r="AR8" s="2115">
        <f>(AX8+AZ8)*1.06</f>
        <v>36.722710479119876</v>
      </c>
      <c r="AS8" s="162"/>
      <c r="AT8" s="925">
        <f t="shared" si="7"/>
        <v>16.75</v>
      </c>
      <c r="AU8" s="925">
        <f>AA8*(AE8+0.125)^2*PI()/4</f>
        <v>3.9760782021995817</v>
      </c>
      <c r="AV8" s="925">
        <f>(AM8^2+2*AN8^2)*PI()/4</f>
        <v>1.5707963267948966</v>
      </c>
      <c r="AW8">
        <f t="shared" ref="AW8:AW44" si="17">I8*(R8*AT8-AU8)*0.2836</f>
        <v>34.92249013866013</v>
      </c>
      <c r="AX8">
        <f>I8*(R8*AT8-AU8-AV8)*0.2836</f>
        <v>34.644066489735728</v>
      </c>
      <c r="AY8">
        <f>2*W8*(X8*Q8-K8^2*(2-PI()/2))*0.2836</f>
        <v>0</v>
      </c>
      <c r="AZ8">
        <f>2*W8*((X8+0.5)*Q8-K8^2*(2-PI()/2)-2.5708)*0.2836</f>
        <v>0</v>
      </c>
      <c r="BA8">
        <f>(F8-2*G8-(L8-2*K8))/2</f>
        <v>0.375</v>
      </c>
      <c r="BB8">
        <f t="shared" si="8"/>
        <v>2.125</v>
      </c>
      <c r="BC8" s="1801">
        <f>BB8-SQRT(BB8^2-BA8^2)</f>
        <v>3.3349933664811093E-2</v>
      </c>
      <c r="BD8"/>
      <c r="BE8">
        <f>G8</f>
        <v>0.25</v>
      </c>
      <c r="BF8">
        <f>D8-2*G8</f>
        <v>3.5</v>
      </c>
      <c r="BG8">
        <f>F8-2*BE8</f>
        <v>4.875</v>
      </c>
      <c r="BH8">
        <f>BG8/COS(PI()/18)</f>
        <v>4.950204732943007</v>
      </c>
      <c r="BI8" s="1805">
        <f>(BF8-AO8-AN8)/2</f>
        <v>0.3125</v>
      </c>
      <c r="BJ8" s="1801">
        <f>(BG8-AO8-AN8)/2</f>
        <v>1</v>
      </c>
      <c r="BK8">
        <f>(BH8-AO8-AN8)/2</f>
        <v>1.0376023664715035</v>
      </c>
      <c r="BL8"/>
      <c r="BM8">
        <f t="shared" si="9"/>
        <v>3.7320508062499997</v>
      </c>
      <c r="BN8">
        <f t="shared" si="10"/>
        <v>5.1754264787499995</v>
      </c>
      <c r="BO8">
        <f>BN8/COS(PI()/18)</f>
        <v>5.2552657743808835</v>
      </c>
      <c r="BP8" s="1791">
        <f t="shared" si="11"/>
        <v>0.42852540312499987</v>
      </c>
      <c r="BQ8" s="1791">
        <f t="shared" si="12"/>
        <v>1.1502132393749998</v>
      </c>
      <c r="BR8">
        <f t="shared" si="13"/>
        <v>1.1901328871904417</v>
      </c>
      <c r="BS8" s="1791">
        <f t="shared" si="14"/>
        <v>0.43810118393749997</v>
      </c>
      <c r="BT8" s="1791">
        <f t="shared" si="15"/>
        <v>1.0631011839375</v>
      </c>
      <c r="BU8">
        <f t="shared" si="16"/>
        <v>1.0997393871661445</v>
      </c>
      <c r="BV8"/>
      <c r="BW8"/>
    </row>
    <row r="9" spans="1:75" s="1809" customFormat="1" ht="14.25" customHeight="1" x14ac:dyDescent="0.25">
      <c r="A9" s="1806"/>
      <c r="B9" s="1543">
        <v>5.25</v>
      </c>
      <c r="C9" s="1774">
        <v>6.25</v>
      </c>
      <c r="D9" s="1778">
        <v>5.375</v>
      </c>
      <c r="E9" s="1544" t="s">
        <v>756</v>
      </c>
      <c r="F9" s="1818">
        <v>6.25</v>
      </c>
      <c r="G9" s="1774">
        <v>0.1875</v>
      </c>
      <c r="H9" s="1543" t="s">
        <v>307</v>
      </c>
      <c r="I9" s="1546">
        <v>0.625</v>
      </c>
      <c r="J9" s="1544">
        <v>65</v>
      </c>
      <c r="K9" s="2108">
        <v>1.5</v>
      </c>
      <c r="L9" s="1826">
        <f t="shared" ref="L9:L44" si="18">Q9+0.125</f>
        <v>8.125</v>
      </c>
      <c r="M9" s="1549" t="s">
        <v>335</v>
      </c>
      <c r="N9" s="1544" t="s">
        <v>361</v>
      </c>
      <c r="O9" s="1842">
        <f t="shared" si="0"/>
        <v>0.625</v>
      </c>
      <c r="P9" s="1843">
        <f t="shared" si="0"/>
        <v>65</v>
      </c>
      <c r="Q9" s="1552">
        <v>8</v>
      </c>
      <c r="R9" s="1543">
        <v>12</v>
      </c>
      <c r="S9" s="1825">
        <f t="shared" si="1"/>
        <v>4.5</v>
      </c>
      <c r="T9" s="1825">
        <f t="shared" ref="T9:T44" si="19">R9/2-S9</f>
        <v>1.5</v>
      </c>
      <c r="U9" s="1553">
        <f t="shared" si="2"/>
        <v>1.5</v>
      </c>
      <c r="V9" s="1554"/>
      <c r="W9" s="1810"/>
      <c r="X9" s="1555"/>
      <c r="Y9" s="1804"/>
      <c r="Z9" s="1811"/>
      <c r="AA9" s="1558">
        <v>4</v>
      </c>
      <c r="AB9" s="1559">
        <v>4.5</v>
      </c>
      <c r="AC9" s="1560">
        <v>9</v>
      </c>
      <c r="AD9" s="1561" t="s">
        <v>47</v>
      </c>
      <c r="AE9" s="1562">
        <v>1</v>
      </c>
      <c r="AF9" s="1871">
        <f t="shared" ref="AF9:AF44" si="20">AE9+0.125</f>
        <v>1.125</v>
      </c>
      <c r="AG9" s="1872">
        <f t="shared" si="3"/>
        <v>2.75</v>
      </c>
      <c r="AH9" s="1873" t="s">
        <v>412</v>
      </c>
      <c r="AI9" s="1874" t="s">
        <v>413</v>
      </c>
      <c r="AJ9" s="1875" t="s">
        <v>413</v>
      </c>
      <c r="AK9" s="1876">
        <f t="shared" si="4"/>
        <v>5</v>
      </c>
      <c r="AL9" s="1877">
        <f t="shared" si="5"/>
        <v>4.125</v>
      </c>
      <c r="AM9" s="1878">
        <v>1.25</v>
      </c>
      <c r="AN9" s="1879">
        <v>1</v>
      </c>
      <c r="AO9" s="1880">
        <f t="shared" ref="AO9:AO44" si="21">D9-2*G9-AN9-2*$BI$4</f>
        <v>3.375</v>
      </c>
      <c r="AP9" s="2110" t="str">
        <f t="shared" si="6"/>
        <v>PL 5/8 x 12 x 17 3/4</v>
      </c>
      <c r="AQ9" s="2111">
        <f t="shared" ref="AQ9:AQ44" si="22">AW9+AY9</f>
        <v>37.049490138660133</v>
      </c>
      <c r="AR9" s="2112">
        <f t="shared" ref="AR9:AR44" si="23">(AX9+AZ9)*1.06</f>
        <v>38.746760894854368</v>
      </c>
      <c r="AS9" s="162"/>
      <c r="AT9" s="925">
        <f t="shared" si="7"/>
        <v>17.75</v>
      </c>
      <c r="AU9" s="925">
        <f t="shared" ref="AU9:AU44" si="24">AA9*(AE9+0.125)^2*PI()/4</f>
        <v>3.9760782021995817</v>
      </c>
      <c r="AV9" s="925">
        <f t="shared" ref="AV9:AV44" si="25">(AM9^2+2*AN9^2)*PI()/4</f>
        <v>2.7979809571034093</v>
      </c>
      <c r="AW9">
        <f t="shared" si="17"/>
        <v>37.049490138660133</v>
      </c>
      <c r="AX9">
        <f t="shared" ref="AX9:AX44" si="26">I9*(R9*AT9-AU9-AV9)*0.2836</f>
        <v>36.55354801401355</v>
      </c>
      <c r="AY9">
        <f t="shared" ref="AY9:AY20" si="27">2*W9*(X9*Q9-K9^2*(2-PI()/2))*0.2836</f>
        <v>0</v>
      </c>
      <c r="AZ9">
        <f t="shared" ref="AZ9:AZ44" si="28">2*W9*((X9+0.5)*Q9-K9^2*(2-PI()/2)-2.5708)*0.2836</f>
        <v>0</v>
      </c>
      <c r="BA9">
        <f t="shared" ref="BA9:BA44" si="29">(F9-2*G9-(L9-2*K9))/2</f>
        <v>0.375</v>
      </c>
      <c r="BB9">
        <f t="shared" si="8"/>
        <v>2.125</v>
      </c>
      <c r="BC9" s="1801">
        <f t="shared" ref="BC9:BC44" si="30">BB9-SQRT(BB9^2-BA9^2)</f>
        <v>3.3349933664811093E-2</v>
      </c>
      <c r="BD9"/>
      <c r="BE9">
        <v>0.25</v>
      </c>
      <c r="BF9">
        <f t="shared" ref="BF9:BF44" si="31">D9-2*G9</f>
        <v>5</v>
      </c>
      <c r="BG9">
        <f t="shared" ref="BG9:BG44" si="32">F9-2*BE9</f>
        <v>5.75</v>
      </c>
      <c r="BH9">
        <f t="shared" ref="BH9:BH44" si="33">BG9/COS(PI()/18)</f>
        <v>5.8387030183430335</v>
      </c>
      <c r="BI9" s="1805">
        <f t="shared" ref="BI9:BI44" si="34">(BF9-AO9-AN9)/2</f>
        <v>0.3125</v>
      </c>
      <c r="BJ9" s="1801">
        <f t="shared" ref="BJ9:BJ44" si="35">(BG9-AO9-AN9)/2</f>
        <v>0.6875</v>
      </c>
      <c r="BK9">
        <f t="shared" ref="BK9:BK44" si="36">(BH9-AO9-AN9)/2</f>
        <v>0.73185150917151676</v>
      </c>
      <c r="BL9"/>
      <c r="BM9">
        <f t="shared" si="9"/>
        <v>5.3971143151875003</v>
      </c>
      <c r="BN9">
        <f t="shared" si="10"/>
        <v>6.3301270167499997</v>
      </c>
      <c r="BO9">
        <f t="shared" ref="BO9:BO34" si="37">BN9/COS(PI()/18)</f>
        <v>6.4277794294248709</v>
      </c>
      <c r="BP9" s="1791">
        <f t="shared" si="11"/>
        <v>0.51105715759375014</v>
      </c>
      <c r="BQ9" s="1791">
        <f t="shared" si="12"/>
        <v>0.97756350837499983</v>
      </c>
      <c r="BR9">
        <f t="shared" si="13"/>
        <v>1.0263897147124355</v>
      </c>
      <c r="BS9" s="1791">
        <f t="shared" si="14"/>
        <v>0.47608213108749986</v>
      </c>
      <c r="BT9" s="1791">
        <f t="shared" si="15"/>
        <v>0.91358213108749986</v>
      </c>
      <c r="BU9">
        <f t="shared" si="16"/>
        <v>0.95793364025901662</v>
      </c>
      <c r="BV9"/>
      <c r="BW9"/>
    </row>
    <row r="10" spans="1:75" ht="14.25" customHeight="1" x14ac:dyDescent="0.25">
      <c r="B10" s="1528">
        <v>5.25</v>
      </c>
      <c r="C10" s="1775">
        <v>6.25</v>
      </c>
      <c r="D10" s="1779">
        <v>5.5</v>
      </c>
      <c r="E10" s="1529" t="s">
        <v>756</v>
      </c>
      <c r="F10" s="1819">
        <v>6.375</v>
      </c>
      <c r="G10" s="1775">
        <v>0.25</v>
      </c>
      <c r="H10" s="1528" t="s">
        <v>308</v>
      </c>
      <c r="I10" s="1531">
        <v>0.625</v>
      </c>
      <c r="J10" s="1529">
        <v>65</v>
      </c>
      <c r="K10" s="2109">
        <v>1.5</v>
      </c>
      <c r="L10" s="1828">
        <f t="shared" si="18"/>
        <v>8.125</v>
      </c>
      <c r="M10" s="1534" t="s">
        <v>336</v>
      </c>
      <c r="N10" s="1529" t="s">
        <v>362</v>
      </c>
      <c r="O10" s="1844">
        <f t="shared" si="0"/>
        <v>0.625</v>
      </c>
      <c r="P10" s="1845">
        <f t="shared" si="0"/>
        <v>65</v>
      </c>
      <c r="Q10" s="1537">
        <v>8</v>
      </c>
      <c r="R10" s="1528">
        <v>12</v>
      </c>
      <c r="S10" s="1827">
        <f t="shared" si="1"/>
        <v>4.5</v>
      </c>
      <c r="T10" s="1827">
        <f t="shared" si="19"/>
        <v>1.5</v>
      </c>
      <c r="U10" s="1538">
        <f t="shared" si="2"/>
        <v>1.5</v>
      </c>
      <c r="V10" s="1539"/>
      <c r="W10" s="1535"/>
      <c r="X10" s="1540"/>
      <c r="Y10" s="1532"/>
      <c r="Z10" s="1541"/>
      <c r="AA10" s="1656">
        <v>6</v>
      </c>
      <c r="AB10" s="1657">
        <v>4.5</v>
      </c>
      <c r="AC10" s="1658">
        <v>4.5</v>
      </c>
      <c r="AD10" s="1659" t="s">
        <v>47</v>
      </c>
      <c r="AE10" s="1660">
        <v>1</v>
      </c>
      <c r="AF10" s="1884">
        <f t="shared" si="20"/>
        <v>1.125</v>
      </c>
      <c r="AG10" s="1885">
        <f t="shared" si="3"/>
        <v>2.75</v>
      </c>
      <c r="AH10" s="1886" t="s">
        <v>412</v>
      </c>
      <c r="AI10" s="1887" t="s">
        <v>413</v>
      </c>
      <c r="AJ10" s="1888" t="s">
        <v>413</v>
      </c>
      <c r="AK10" s="1889">
        <f t="shared" si="4"/>
        <v>5</v>
      </c>
      <c r="AL10" s="1890">
        <f t="shared" si="5"/>
        <v>4.125</v>
      </c>
      <c r="AM10" s="1891">
        <v>1.25</v>
      </c>
      <c r="AN10" s="1892">
        <v>1</v>
      </c>
      <c r="AO10" s="1893">
        <f t="shared" si="21"/>
        <v>3.375</v>
      </c>
      <c r="AP10" s="2113" t="str">
        <f t="shared" si="6"/>
        <v>PL 5/8 x 12 x 17 3/4</v>
      </c>
      <c r="AQ10" s="2114">
        <f t="shared" si="22"/>
        <v>36.697110207990185</v>
      </c>
      <c r="AR10" s="2115">
        <f t="shared" si="23"/>
        <v>38.37323816834423</v>
      </c>
      <c r="AT10" s="925">
        <f t="shared" si="7"/>
        <v>17.75</v>
      </c>
      <c r="AU10" s="925">
        <f t="shared" si="24"/>
        <v>5.9641173032993731</v>
      </c>
      <c r="AV10" s="925">
        <f t="shared" si="25"/>
        <v>2.7979809571034093</v>
      </c>
      <c r="AW10">
        <f t="shared" si="17"/>
        <v>36.697110207990185</v>
      </c>
      <c r="AX10">
        <f t="shared" si="26"/>
        <v>36.20116808334361</v>
      </c>
      <c r="AY10">
        <f t="shared" si="27"/>
        <v>0</v>
      </c>
      <c r="AZ10">
        <f t="shared" si="28"/>
        <v>0</v>
      </c>
      <c r="BA10">
        <f t="shared" si="29"/>
        <v>0.375</v>
      </c>
      <c r="BB10">
        <f t="shared" si="8"/>
        <v>2.125</v>
      </c>
      <c r="BC10" s="1801">
        <f t="shared" si="30"/>
        <v>3.3349933664811093E-2</v>
      </c>
      <c r="BE10">
        <v>0.25</v>
      </c>
      <c r="BF10">
        <f t="shared" si="31"/>
        <v>5</v>
      </c>
      <c r="BG10">
        <f t="shared" si="32"/>
        <v>5.875</v>
      </c>
      <c r="BH10">
        <f t="shared" si="33"/>
        <v>5.9656313448287523</v>
      </c>
      <c r="BI10" s="1805">
        <f t="shared" si="34"/>
        <v>0.3125</v>
      </c>
      <c r="BJ10" s="1801">
        <f t="shared" si="35"/>
        <v>0.75</v>
      </c>
      <c r="BK10">
        <f t="shared" si="36"/>
        <v>0.79531567241437617</v>
      </c>
      <c r="BM10">
        <f t="shared" si="9"/>
        <v>5.1754264787499995</v>
      </c>
      <c r="BN10">
        <f t="shared" si="10"/>
        <v>6.3301270167499997</v>
      </c>
      <c r="BO10">
        <f t="shared" si="37"/>
        <v>6.4277794294248709</v>
      </c>
      <c r="BP10" s="1791">
        <f t="shared" si="11"/>
        <v>0.40021323937499975</v>
      </c>
      <c r="BQ10" s="1791">
        <f t="shared" si="12"/>
        <v>0.97756350837499983</v>
      </c>
      <c r="BR10">
        <f t="shared" si="13"/>
        <v>1.0263897147124355</v>
      </c>
      <c r="BS10" s="1791">
        <f t="shared" si="14"/>
        <v>0.41358213108749986</v>
      </c>
      <c r="BT10" s="1791">
        <f t="shared" si="15"/>
        <v>0.91358213108749986</v>
      </c>
      <c r="BU10">
        <f t="shared" si="16"/>
        <v>0.95793364025901662</v>
      </c>
    </row>
    <row r="11" spans="1:75" s="1809" customFormat="1" ht="14.25" customHeight="1" x14ac:dyDescent="0.25">
      <c r="A11" s="1806"/>
      <c r="B11" s="1543">
        <v>6.25</v>
      </c>
      <c r="C11" s="1774">
        <v>7.25</v>
      </c>
      <c r="D11" s="1778">
        <v>6.375</v>
      </c>
      <c r="E11" s="1544" t="s">
        <v>757</v>
      </c>
      <c r="F11" s="1818">
        <v>7.25</v>
      </c>
      <c r="G11" s="1774">
        <v>0.1875</v>
      </c>
      <c r="H11" s="1543" t="s">
        <v>710</v>
      </c>
      <c r="I11" s="1546">
        <v>0.625</v>
      </c>
      <c r="J11" s="1544">
        <v>65</v>
      </c>
      <c r="K11" s="2108">
        <v>1.5</v>
      </c>
      <c r="L11" s="1826">
        <f t="shared" si="18"/>
        <v>9.125</v>
      </c>
      <c r="M11" s="1549" t="s">
        <v>711</v>
      </c>
      <c r="N11" s="1544" t="s">
        <v>712</v>
      </c>
      <c r="O11" s="1842">
        <f t="shared" si="0"/>
        <v>0.625</v>
      </c>
      <c r="P11" s="1843">
        <f t="shared" si="0"/>
        <v>65</v>
      </c>
      <c r="Q11" s="1552">
        <v>9</v>
      </c>
      <c r="R11" s="1543">
        <v>12</v>
      </c>
      <c r="S11" s="1825">
        <f t="shared" si="1"/>
        <v>4.5</v>
      </c>
      <c r="T11" s="1825">
        <f t="shared" si="19"/>
        <v>1.5</v>
      </c>
      <c r="U11" s="1553">
        <f t="shared" si="2"/>
        <v>1.5</v>
      </c>
      <c r="V11" s="1554"/>
      <c r="W11" s="1810"/>
      <c r="X11" s="1555"/>
      <c r="Y11" s="1804"/>
      <c r="Z11" s="1811"/>
      <c r="AA11" s="1558">
        <v>6</v>
      </c>
      <c r="AB11" s="1559">
        <v>4.5</v>
      </c>
      <c r="AC11" s="1560">
        <v>4.5</v>
      </c>
      <c r="AD11" s="1561" t="s">
        <v>47</v>
      </c>
      <c r="AE11" s="1562">
        <v>1</v>
      </c>
      <c r="AF11" s="1871">
        <f t="shared" si="20"/>
        <v>1.125</v>
      </c>
      <c r="AG11" s="1872">
        <f t="shared" si="3"/>
        <v>2.75</v>
      </c>
      <c r="AH11" s="1873" t="s">
        <v>412</v>
      </c>
      <c r="AI11" s="1874" t="s">
        <v>413</v>
      </c>
      <c r="AJ11" s="1875" t="s">
        <v>413</v>
      </c>
      <c r="AK11" s="1876">
        <f t="shared" si="4"/>
        <v>5</v>
      </c>
      <c r="AL11" s="1877">
        <f t="shared" si="5"/>
        <v>4.125</v>
      </c>
      <c r="AM11" s="1878">
        <v>1.5</v>
      </c>
      <c r="AN11" s="1879">
        <v>1</v>
      </c>
      <c r="AO11" s="1880">
        <f t="shared" si="21"/>
        <v>4.375</v>
      </c>
      <c r="AP11" s="2110" t="str">
        <f t="shared" si="6"/>
        <v>PL 5/8 x 12 x 18 3/4</v>
      </c>
      <c r="AQ11" s="2111">
        <f t="shared" si="22"/>
        <v>38.824110207990188</v>
      </c>
      <c r="AR11" s="2112">
        <f t="shared" si="23"/>
        <v>40.526407551267404</v>
      </c>
      <c r="AS11" s="162"/>
      <c r="AT11" s="925">
        <f t="shared" si="7"/>
        <v>18.75</v>
      </c>
      <c r="AU11" s="925">
        <f t="shared" si="24"/>
        <v>5.9641173032993731</v>
      </c>
      <c r="AV11" s="925">
        <f t="shared" si="25"/>
        <v>3.3379421944391554</v>
      </c>
      <c r="AW11">
        <f t="shared" si="17"/>
        <v>38.824110207990188</v>
      </c>
      <c r="AX11">
        <f t="shared" si="26"/>
        <v>38.232459954025849</v>
      </c>
      <c r="AY11">
        <f t="shared" si="27"/>
        <v>0</v>
      </c>
      <c r="AZ11">
        <f t="shared" si="28"/>
        <v>0</v>
      </c>
      <c r="BA11">
        <f t="shared" si="29"/>
        <v>0.375</v>
      </c>
      <c r="BB11">
        <f t="shared" si="8"/>
        <v>2.125</v>
      </c>
      <c r="BC11" s="1801">
        <f t="shared" si="30"/>
        <v>3.3349933664811093E-2</v>
      </c>
      <c r="BD11"/>
      <c r="BE11">
        <v>0.1875</v>
      </c>
      <c r="BF11">
        <f t="shared" si="31"/>
        <v>6</v>
      </c>
      <c r="BG11">
        <f t="shared" si="32"/>
        <v>6.875</v>
      </c>
      <c r="BH11">
        <f t="shared" si="33"/>
        <v>6.9810579567144968</v>
      </c>
      <c r="BI11" s="1805">
        <f t="shared" si="34"/>
        <v>0.3125</v>
      </c>
      <c r="BJ11" s="1801">
        <f t="shared" si="35"/>
        <v>0.75</v>
      </c>
      <c r="BK11">
        <f t="shared" si="36"/>
        <v>0.8030289783572484</v>
      </c>
      <c r="BL11"/>
      <c r="BM11">
        <f t="shared" si="9"/>
        <v>6.5518148531875005</v>
      </c>
      <c r="BN11">
        <f t="shared" si="10"/>
        <v>7.7065153911874997</v>
      </c>
      <c r="BO11">
        <f t="shared" si="37"/>
        <v>7.8254008131188701</v>
      </c>
      <c r="BP11" s="1791">
        <f t="shared" si="11"/>
        <v>0.58840742659375023</v>
      </c>
      <c r="BQ11" s="1791">
        <f t="shared" si="12"/>
        <v>1.1657576955937499</v>
      </c>
      <c r="BR11">
        <f t="shared" si="13"/>
        <v>1.2252004065594351</v>
      </c>
      <c r="BS11" s="1791">
        <f t="shared" si="14"/>
        <v>0.54306942918750001</v>
      </c>
      <c r="BT11" s="1791">
        <f t="shared" si="15"/>
        <v>1.0430694291875</v>
      </c>
      <c r="BU11">
        <f t="shared" si="16"/>
        <v>1.0960984075447484</v>
      </c>
      <c r="BV11"/>
      <c r="BW11"/>
    </row>
    <row r="12" spans="1:75" ht="14.25" customHeight="1" x14ac:dyDescent="0.25">
      <c r="B12" s="1528">
        <v>6.25</v>
      </c>
      <c r="C12" s="1775">
        <v>7.25</v>
      </c>
      <c r="D12" s="1779">
        <v>6.5</v>
      </c>
      <c r="E12" s="1529" t="s">
        <v>758</v>
      </c>
      <c r="F12" s="1819">
        <v>7.75</v>
      </c>
      <c r="G12" s="1775">
        <v>0.25</v>
      </c>
      <c r="H12" s="1528" t="s">
        <v>310</v>
      </c>
      <c r="I12" s="1531">
        <v>0.75</v>
      </c>
      <c r="J12" s="1529">
        <v>65</v>
      </c>
      <c r="K12" s="1827">
        <f t="shared" ref="K12:K44" si="38">3*I12</f>
        <v>2.25</v>
      </c>
      <c r="L12" s="1828">
        <f t="shared" si="18"/>
        <v>10.125</v>
      </c>
      <c r="M12" s="1534" t="s">
        <v>338</v>
      </c>
      <c r="N12" s="1529" t="s">
        <v>364</v>
      </c>
      <c r="O12" s="1844">
        <f t="shared" si="0"/>
        <v>0.75</v>
      </c>
      <c r="P12" s="1845">
        <f t="shared" si="0"/>
        <v>65</v>
      </c>
      <c r="Q12" s="1537">
        <v>10</v>
      </c>
      <c r="R12" s="1528">
        <v>15</v>
      </c>
      <c r="S12" s="1827">
        <f t="shared" si="1"/>
        <v>6</v>
      </c>
      <c r="T12" s="1827">
        <f t="shared" si="19"/>
        <v>1.5</v>
      </c>
      <c r="U12" s="1538">
        <f t="shared" si="2"/>
        <v>1.5</v>
      </c>
      <c r="V12" s="1539"/>
      <c r="W12" s="1535"/>
      <c r="X12" s="1540"/>
      <c r="Y12" s="1532"/>
      <c r="Z12" s="1541"/>
      <c r="AA12" s="1656">
        <v>8</v>
      </c>
      <c r="AB12" s="1657">
        <v>3</v>
      </c>
      <c r="AC12" s="1658">
        <v>3</v>
      </c>
      <c r="AD12" s="1659" t="s">
        <v>47</v>
      </c>
      <c r="AE12" s="1660">
        <v>1</v>
      </c>
      <c r="AF12" s="1884">
        <f t="shared" si="20"/>
        <v>1.125</v>
      </c>
      <c r="AG12" s="1885">
        <f t="shared" si="3"/>
        <v>3</v>
      </c>
      <c r="AH12" s="1886" t="s">
        <v>412</v>
      </c>
      <c r="AI12" s="1887" t="s">
        <v>413</v>
      </c>
      <c r="AJ12" s="1888" t="s">
        <v>413</v>
      </c>
      <c r="AK12" s="1889">
        <f t="shared" si="4"/>
        <v>5.75</v>
      </c>
      <c r="AL12" s="1890">
        <f t="shared" si="5"/>
        <v>5</v>
      </c>
      <c r="AM12" s="1891">
        <v>1.5</v>
      </c>
      <c r="AN12" s="1892">
        <v>1</v>
      </c>
      <c r="AO12" s="1893">
        <f t="shared" si="21"/>
        <v>4.375</v>
      </c>
      <c r="AP12" s="2113" t="str">
        <f t="shared" si="6"/>
        <v>PL 3/4 x 15 x 20 7/8</v>
      </c>
      <c r="AQ12" s="2114">
        <f t="shared" si="22"/>
        <v>64.91026383278431</v>
      </c>
      <c r="AR12" s="2115">
        <f t="shared" si="23"/>
        <v>68.052300539708725</v>
      </c>
      <c r="AT12" s="925">
        <f t="shared" si="7"/>
        <v>20.875</v>
      </c>
      <c r="AU12" s="925">
        <f t="shared" si="24"/>
        <v>7.9521564043991635</v>
      </c>
      <c r="AV12" s="925">
        <f t="shared" si="25"/>
        <v>3.3379421944391554</v>
      </c>
      <c r="AW12">
        <f t="shared" si="17"/>
        <v>64.91026383278431</v>
      </c>
      <c r="AX12">
        <f t="shared" si="26"/>
        <v>64.2002835280271</v>
      </c>
      <c r="AY12">
        <f t="shared" si="27"/>
        <v>0</v>
      </c>
      <c r="AZ12">
        <f t="shared" si="28"/>
        <v>0</v>
      </c>
      <c r="BA12">
        <f t="shared" si="29"/>
        <v>0.8125</v>
      </c>
      <c r="BB12">
        <f t="shared" si="8"/>
        <v>3</v>
      </c>
      <c r="BC12" s="1801">
        <f t="shared" si="30"/>
        <v>0.11212123696301957</v>
      </c>
      <c r="BE12">
        <v>0.25</v>
      </c>
      <c r="BF12">
        <f t="shared" si="31"/>
        <v>6</v>
      </c>
      <c r="BG12">
        <f t="shared" si="32"/>
        <v>7.25</v>
      </c>
      <c r="BH12">
        <f t="shared" si="33"/>
        <v>7.3618429361716515</v>
      </c>
      <c r="BI12" s="1805">
        <f t="shared" si="34"/>
        <v>0.3125</v>
      </c>
      <c r="BJ12" s="1801">
        <f t="shared" si="35"/>
        <v>0.9375</v>
      </c>
      <c r="BK12">
        <f t="shared" si="36"/>
        <v>0.99342146808582577</v>
      </c>
      <c r="BM12">
        <f t="shared" si="9"/>
        <v>6.3301270167499997</v>
      </c>
      <c r="BN12">
        <f t="shared" si="10"/>
        <v>7.4848275547499989</v>
      </c>
      <c r="BO12">
        <f t="shared" si="37"/>
        <v>7.6002930844688574</v>
      </c>
      <c r="BP12" s="1791">
        <f t="shared" si="11"/>
        <v>0.47756350837499983</v>
      </c>
      <c r="BQ12" s="1791">
        <f t="shared" si="12"/>
        <v>1.0549137773749995</v>
      </c>
      <c r="BR12">
        <f t="shared" si="13"/>
        <v>1.1126465422344287</v>
      </c>
      <c r="BS12" s="1791">
        <f t="shared" si="14"/>
        <v>0.48056942918750001</v>
      </c>
      <c r="BT12" s="1791">
        <f t="shared" si="15"/>
        <v>0.98056942918750001</v>
      </c>
      <c r="BU12">
        <f t="shared" si="16"/>
        <v>1.0326342443018894</v>
      </c>
    </row>
    <row r="13" spans="1:75" s="1809" customFormat="1" ht="14.25" customHeight="1" x14ac:dyDescent="0.25">
      <c r="A13" s="1806"/>
      <c r="B13" s="1543">
        <v>7.25</v>
      </c>
      <c r="C13" s="1774">
        <v>8.25</v>
      </c>
      <c r="D13" s="1778">
        <v>7.375</v>
      </c>
      <c r="E13" s="1544" t="s">
        <v>759</v>
      </c>
      <c r="F13" s="1818">
        <v>8.625</v>
      </c>
      <c r="G13" s="1774">
        <v>0.1875</v>
      </c>
      <c r="H13" s="1543" t="s">
        <v>713</v>
      </c>
      <c r="I13" s="1546">
        <v>0.75</v>
      </c>
      <c r="J13" s="1544">
        <v>65</v>
      </c>
      <c r="K13" s="1825">
        <f t="shared" si="38"/>
        <v>2.25</v>
      </c>
      <c r="L13" s="1826">
        <f t="shared" si="18"/>
        <v>11.125</v>
      </c>
      <c r="M13" s="1549" t="s">
        <v>714</v>
      </c>
      <c r="N13" s="1544" t="s">
        <v>715</v>
      </c>
      <c r="O13" s="1842">
        <f t="shared" si="0"/>
        <v>0.75</v>
      </c>
      <c r="P13" s="1843">
        <f t="shared" si="0"/>
        <v>65</v>
      </c>
      <c r="Q13" s="1552">
        <v>11</v>
      </c>
      <c r="R13" s="1543">
        <v>15</v>
      </c>
      <c r="S13" s="1825">
        <f t="shared" si="1"/>
        <v>6</v>
      </c>
      <c r="T13" s="1825">
        <f t="shared" si="19"/>
        <v>1.5</v>
      </c>
      <c r="U13" s="1553">
        <f t="shared" si="2"/>
        <v>1.5</v>
      </c>
      <c r="V13" s="1554"/>
      <c r="W13" s="1810"/>
      <c r="X13" s="1555"/>
      <c r="Y13" s="1804"/>
      <c r="Z13" s="1811"/>
      <c r="AA13" s="1558">
        <v>8</v>
      </c>
      <c r="AB13" s="1559">
        <v>3</v>
      </c>
      <c r="AC13" s="1560">
        <v>3</v>
      </c>
      <c r="AD13" s="1561" t="s">
        <v>47</v>
      </c>
      <c r="AE13" s="1562">
        <v>1</v>
      </c>
      <c r="AF13" s="1871">
        <f t="shared" si="20"/>
        <v>1.125</v>
      </c>
      <c r="AG13" s="1872">
        <f t="shared" si="3"/>
        <v>3</v>
      </c>
      <c r="AH13" s="1873" t="s">
        <v>412</v>
      </c>
      <c r="AI13" s="1874" t="s">
        <v>413</v>
      </c>
      <c r="AJ13" s="1875" t="s">
        <v>413</v>
      </c>
      <c r="AK13" s="1876">
        <f t="shared" si="4"/>
        <v>5.75</v>
      </c>
      <c r="AL13" s="1877">
        <f t="shared" si="5"/>
        <v>5</v>
      </c>
      <c r="AM13" s="1878">
        <v>2</v>
      </c>
      <c r="AN13" s="1879">
        <v>1</v>
      </c>
      <c r="AO13" s="1880">
        <f t="shared" si="21"/>
        <v>5.375</v>
      </c>
      <c r="AP13" s="1881" t="str">
        <f t="shared" si="6"/>
        <v>PL 3/4 x 15 x 21 7/8</v>
      </c>
      <c r="AQ13" s="1882">
        <f t="shared" si="22"/>
        <v>68.10076383278431</v>
      </c>
      <c r="AR13" s="1883">
        <f t="shared" si="23"/>
        <v>71.124345018455884</v>
      </c>
      <c r="AS13" s="162"/>
      <c r="AT13" s="925">
        <f t="shared" si="7"/>
        <v>21.875</v>
      </c>
      <c r="AU13" s="925">
        <f t="shared" si="24"/>
        <v>7.9521564043991635</v>
      </c>
      <c r="AV13" s="925">
        <f t="shared" si="25"/>
        <v>4.7123889803846897</v>
      </c>
      <c r="AW13">
        <f t="shared" si="17"/>
        <v>68.10076383278431</v>
      </c>
      <c r="AX13">
        <f t="shared" si="26"/>
        <v>67.098438696656487</v>
      </c>
      <c r="AY13">
        <f t="shared" si="27"/>
        <v>0</v>
      </c>
      <c r="AZ13">
        <f t="shared" si="28"/>
        <v>0</v>
      </c>
      <c r="BA13">
        <f t="shared" si="29"/>
        <v>0.8125</v>
      </c>
      <c r="BB13">
        <f t="shared" si="8"/>
        <v>3</v>
      </c>
      <c r="BC13" s="1801">
        <f t="shared" si="30"/>
        <v>0.11212123696301957</v>
      </c>
      <c r="BD13"/>
      <c r="BE13">
        <v>0.1875</v>
      </c>
      <c r="BF13">
        <f t="shared" si="31"/>
        <v>7</v>
      </c>
      <c r="BG13">
        <f t="shared" si="32"/>
        <v>8.25</v>
      </c>
      <c r="BH13">
        <f t="shared" si="33"/>
        <v>8.3772695480573969</v>
      </c>
      <c r="BI13" s="1805">
        <f t="shared" si="34"/>
        <v>0.3125</v>
      </c>
      <c r="BJ13" s="1801">
        <f t="shared" si="35"/>
        <v>0.9375</v>
      </c>
      <c r="BK13">
        <f t="shared" si="36"/>
        <v>1.0011347740286984</v>
      </c>
      <c r="BL13"/>
      <c r="BM13">
        <f t="shared" si="9"/>
        <v>7.7065153911874997</v>
      </c>
      <c r="BN13">
        <f t="shared" si="10"/>
        <v>8.8612159291874999</v>
      </c>
      <c r="BO13">
        <f t="shared" si="37"/>
        <v>8.9979144681628576</v>
      </c>
      <c r="BP13" s="1791">
        <f t="shared" si="11"/>
        <v>0.66575769559374987</v>
      </c>
      <c r="BQ13" s="1791">
        <f t="shared" si="12"/>
        <v>1.2431079645937499</v>
      </c>
      <c r="BR13">
        <f t="shared" si="13"/>
        <v>1.3114572340814288</v>
      </c>
      <c r="BS13" s="1791">
        <f t="shared" si="14"/>
        <v>0.61005672728749971</v>
      </c>
      <c r="BT13" s="1791">
        <f t="shared" si="15"/>
        <v>1.1100567272874997</v>
      </c>
      <c r="BU13">
        <f t="shared" si="16"/>
        <v>1.1707990115876208</v>
      </c>
      <c r="BV13"/>
      <c r="BW13"/>
    </row>
    <row r="14" spans="1:75" s="1809" customFormat="1" ht="14.25" customHeight="1" x14ac:dyDescent="0.25">
      <c r="A14" s="1806"/>
      <c r="B14" s="1528">
        <v>7.5</v>
      </c>
      <c r="C14" s="1775">
        <v>8.5</v>
      </c>
      <c r="D14" s="1779">
        <v>7.875</v>
      </c>
      <c r="E14" s="1529" t="s">
        <v>760</v>
      </c>
      <c r="F14" s="1819">
        <v>8.75</v>
      </c>
      <c r="G14" s="1775">
        <v>0.3125</v>
      </c>
      <c r="H14" s="1528" t="s">
        <v>716</v>
      </c>
      <c r="I14" s="1531">
        <v>0.75</v>
      </c>
      <c r="J14" s="1529">
        <v>65</v>
      </c>
      <c r="K14" s="1827">
        <f t="shared" si="38"/>
        <v>2.25</v>
      </c>
      <c r="L14" s="1828">
        <f t="shared" si="18"/>
        <v>11.125</v>
      </c>
      <c r="M14" s="1534" t="s">
        <v>717</v>
      </c>
      <c r="N14" s="1529" t="s">
        <v>718</v>
      </c>
      <c r="O14" s="1844">
        <f t="shared" si="0"/>
        <v>0.75</v>
      </c>
      <c r="P14" s="1845">
        <f t="shared" si="0"/>
        <v>65</v>
      </c>
      <c r="Q14" s="1537">
        <v>11</v>
      </c>
      <c r="R14" s="1528">
        <v>18</v>
      </c>
      <c r="S14" s="1827">
        <f t="shared" si="1"/>
        <v>7.5</v>
      </c>
      <c r="T14" s="1827">
        <f t="shared" si="19"/>
        <v>1.5</v>
      </c>
      <c r="U14" s="1538">
        <f t="shared" si="2"/>
        <v>1.5</v>
      </c>
      <c r="V14" s="1539"/>
      <c r="W14" s="1807"/>
      <c r="X14" s="1540"/>
      <c r="Y14" s="1708"/>
      <c r="Z14" s="1808"/>
      <c r="AA14" s="1656">
        <v>8</v>
      </c>
      <c r="AB14" s="1657">
        <v>4.5</v>
      </c>
      <c r="AC14" s="1658">
        <v>3</v>
      </c>
      <c r="AD14" s="1659" t="s">
        <v>47</v>
      </c>
      <c r="AE14" s="1660">
        <v>1</v>
      </c>
      <c r="AF14" s="1884">
        <f t="shared" si="20"/>
        <v>1.125</v>
      </c>
      <c r="AG14" s="1885">
        <f t="shared" si="3"/>
        <v>3</v>
      </c>
      <c r="AH14" s="1886" t="s">
        <v>412</v>
      </c>
      <c r="AI14" s="1887" t="s">
        <v>413</v>
      </c>
      <c r="AJ14" s="1888" t="s">
        <v>413</v>
      </c>
      <c r="AK14" s="1889">
        <f t="shared" si="4"/>
        <v>5.75</v>
      </c>
      <c r="AL14" s="1890">
        <f t="shared" si="5"/>
        <v>5</v>
      </c>
      <c r="AM14" s="1891">
        <v>2</v>
      </c>
      <c r="AN14" s="1892">
        <v>1</v>
      </c>
      <c r="AO14" s="1893">
        <f t="shared" si="21"/>
        <v>5.625</v>
      </c>
      <c r="AP14" s="1894" t="str">
        <f t="shared" si="6"/>
        <v>PL 3/4 x 18 x 21 7/8</v>
      </c>
      <c r="AQ14" s="1895">
        <f t="shared" si="22"/>
        <v>82.059201332784312</v>
      </c>
      <c r="AR14" s="1896">
        <f t="shared" si="23"/>
        <v>85.920288768455876</v>
      </c>
      <c r="AS14" s="162"/>
      <c r="AT14" s="925">
        <f t="shared" si="7"/>
        <v>21.875</v>
      </c>
      <c r="AU14" s="925">
        <f t="shared" si="24"/>
        <v>7.9521564043991635</v>
      </c>
      <c r="AV14" s="925">
        <f t="shared" si="25"/>
        <v>4.7123889803846897</v>
      </c>
      <c r="AW14">
        <f t="shared" si="17"/>
        <v>82.059201332784312</v>
      </c>
      <c r="AX14">
        <f t="shared" si="26"/>
        <v>81.056876196656489</v>
      </c>
      <c r="AY14">
        <f t="shared" si="27"/>
        <v>0</v>
      </c>
      <c r="AZ14">
        <f t="shared" si="28"/>
        <v>0</v>
      </c>
      <c r="BA14">
        <f t="shared" si="29"/>
        <v>0.75</v>
      </c>
      <c r="BB14">
        <f t="shared" si="8"/>
        <v>3</v>
      </c>
      <c r="BC14" s="1801">
        <f t="shared" si="30"/>
        <v>9.5262490344437456E-2</v>
      </c>
      <c r="BD14"/>
      <c r="BE14">
        <v>0.25</v>
      </c>
      <c r="BF14">
        <f t="shared" si="31"/>
        <v>7.25</v>
      </c>
      <c r="BG14">
        <f t="shared" si="32"/>
        <v>8.25</v>
      </c>
      <c r="BH14">
        <f t="shared" si="33"/>
        <v>8.3772695480573969</v>
      </c>
      <c r="BI14" s="1805">
        <f t="shared" si="34"/>
        <v>0.3125</v>
      </c>
      <c r="BJ14" s="1801">
        <f t="shared" si="35"/>
        <v>0.8125</v>
      </c>
      <c r="BK14">
        <f t="shared" si="36"/>
        <v>0.87613477402869844</v>
      </c>
      <c r="BL14"/>
      <c r="BM14">
        <f t="shared" si="9"/>
        <v>7.5518148528124991</v>
      </c>
      <c r="BN14">
        <f t="shared" si="10"/>
        <v>8.92820322725</v>
      </c>
      <c r="BO14">
        <f t="shared" si="37"/>
        <v>9.0659351532738413</v>
      </c>
      <c r="BP14" s="1791">
        <f t="shared" si="11"/>
        <v>0.46340742640624955</v>
      </c>
      <c r="BQ14" s="1791">
        <f t="shared" si="12"/>
        <v>1.151601613625</v>
      </c>
      <c r="BR14">
        <f t="shared" si="13"/>
        <v>1.2204675766369206</v>
      </c>
      <c r="BS14" s="1791">
        <f t="shared" si="14"/>
        <v>0.50180355181249992</v>
      </c>
      <c r="BT14" s="1791">
        <f t="shared" si="15"/>
        <v>1.0643035518124999</v>
      </c>
      <c r="BU14">
        <f t="shared" si="16"/>
        <v>1.1260099993554804</v>
      </c>
      <c r="BV14"/>
      <c r="BW14"/>
    </row>
    <row r="15" spans="1:75" ht="14.25" customHeight="1" x14ac:dyDescent="0.25">
      <c r="A15" s="1806"/>
      <c r="B15" s="1543">
        <v>8.25</v>
      </c>
      <c r="C15" s="1774">
        <v>9.25</v>
      </c>
      <c r="D15" s="1778">
        <v>8.75</v>
      </c>
      <c r="E15" s="1544" t="s">
        <v>761</v>
      </c>
      <c r="F15" s="1818">
        <v>9.625</v>
      </c>
      <c r="G15" s="1774">
        <v>0.25</v>
      </c>
      <c r="H15" s="1543" t="s">
        <v>719</v>
      </c>
      <c r="I15" s="1546">
        <v>0.75</v>
      </c>
      <c r="J15" s="1544">
        <v>65</v>
      </c>
      <c r="K15" s="1825">
        <f t="shared" si="38"/>
        <v>2.25</v>
      </c>
      <c r="L15" s="1826">
        <f t="shared" si="18"/>
        <v>12.125</v>
      </c>
      <c r="M15" s="1549" t="s">
        <v>720</v>
      </c>
      <c r="N15" s="1544" t="s">
        <v>721</v>
      </c>
      <c r="O15" s="1842">
        <f t="shared" si="0"/>
        <v>0.75</v>
      </c>
      <c r="P15" s="1843">
        <f t="shared" si="0"/>
        <v>65</v>
      </c>
      <c r="Q15" s="1552">
        <v>12</v>
      </c>
      <c r="R15" s="1543">
        <v>18</v>
      </c>
      <c r="S15" s="1825">
        <f t="shared" si="1"/>
        <v>7.5</v>
      </c>
      <c r="T15" s="1825">
        <f t="shared" si="19"/>
        <v>1.5</v>
      </c>
      <c r="U15" s="1553">
        <f t="shared" si="2"/>
        <v>1.5</v>
      </c>
      <c r="V15" s="1554"/>
      <c r="W15" s="1550"/>
      <c r="X15" s="1555"/>
      <c r="Y15" s="1547"/>
      <c r="Z15" s="1556"/>
      <c r="AA15" s="1558">
        <v>8</v>
      </c>
      <c r="AB15" s="1559">
        <v>4.5</v>
      </c>
      <c r="AC15" s="1560">
        <v>3</v>
      </c>
      <c r="AD15" s="1561" t="s">
        <v>47</v>
      </c>
      <c r="AE15" s="1562">
        <v>1</v>
      </c>
      <c r="AF15" s="1871">
        <f t="shared" si="20"/>
        <v>1.125</v>
      </c>
      <c r="AG15" s="1872">
        <f t="shared" si="3"/>
        <v>3</v>
      </c>
      <c r="AH15" s="1873" t="s">
        <v>412</v>
      </c>
      <c r="AI15" s="1874" t="s">
        <v>413</v>
      </c>
      <c r="AJ15" s="1875" t="s">
        <v>413</v>
      </c>
      <c r="AK15" s="1876">
        <f t="shared" si="4"/>
        <v>5.75</v>
      </c>
      <c r="AL15" s="1877">
        <f t="shared" si="5"/>
        <v>5</v>
      </c>
      <c r="AM15" s="1878">
        <v>3.5</v>
      </c>
      <c r="AN15" s="1879">
        <v>1</v>
      </c>
      <c r="AO15" s="1880">
        <f t="shared" si="21"/>
        <v>6.625</v>
      </c>
      <c r="AP15" s="1881" t="str">
        <f t="shared" si="6"/>
        <v>PL 3/4 x 18 x 22 7/8</v>
      </c>
      <c r="AQ15" s="1882">
        <f t="shared" si="22"/>
        <v>85.887801332784306</v>
      </c>
      <c r="AR15" s="1883">
        <f t="shared" si="23"/>
        <v>88.517715882549567</v>
      </c>
      <c r="AT15" s="925">
        <f t="shared" si="7"/>
        <v>22.875</v>
      </c>
      <c r="AU15" s="925">
        <f t="shared" si="24"/>
        <v>7.9521564043991635</v>
      </c>
      <c r="AV15" s="925">
        <f t="shared" si="25"/>
        <v>11.191923828413637</v>
      </c>
      <c r="AW15">
        <f t="shared" si="17"/>
        <v>85.887801332784306</v>
      </c>
      <c r="AX15">
        <f t="shared" si="26"/>
        <v>83.507279134480726</v>
      </c>
      <c r="AY15">
        <f t="shared" si="27"/>
        <v>0</v>
      </c>
      <c r="AZ15">
        <f t="shared" si="28"/>
        <v>0</v>
      </c>
      <c r="BA15">
        <f t="shared" si="29"/>
        <v>0.75</v>
      </c>
      <c r="BB15">
        <f t="shared" si="8"/>
        <v>3</v>
      </c>
      <c r="BC15" s="1801">
        <f t="shared" si="30"/>
        <v>9.5262490344437456E-2</v>
      </c>
      <c r="BE15">
        <v>0.1875</v>
      </c>
      <c r="BF15">
        <f t="shared" si="31"/>
        <v>8.25</v>
      </c>
      <c r="BG15">
        <f t="shared" si="32"/>
        <v>9.25</v>
      </c>
      <c r="BH15">
        <f t="shared" si="33"/>
        <v>9.3926961599431422</v>
      </c>
      <c r="BI15" s="1805">
        <f t="shared" si="34"/>
        <v>0.3125</v>
      </c>
      <c r="BJ15" s="1801">
        <f t="shared" si="35"/>
        <v>0.8125</v>
      </c>
      <c r="BK15">
        <f t="shared" si="36"/>
        <v>0.88384807997157111</v>
      </c>
      <c r="BM15">
        <f t="shared" si="9"/>
        <v>8.63952809275</v>
      </c>
      <c r="BN15">
        <f t="shared" si="10"/>
        <v>10.0159164671875</v>
      </c>
      <c r="BO15">
        <f t="shared" si="37"/>
        <v>10.170428123206843</v>
      </c>
      <c r="BP15" s="1791">
        <f t="shared" si="11"/>
        <v>0.507264046375</v>
      </c>
      <c r="BQ15" s="1791">
        <f t="shared" si="12"/>
        <v>1.19545823359375</v>
      </c>
      <c r="BR15">
        <f t="shared" si="13"/>
        <v>1.2727140616034216</v>
      </c>
      <c r="BS15" s="1791">
        <f t="shared" si="14"/>
        <v>0.50629084991249984</v>
      </c>
      <c r="BT15" s="1791">
        <f t="shared" si="15"/>
        <v>1.0687908499124998</v>
      </c>
      <c r="BU15">
        <f t="shared" si="16"/>
        <v>1.1372464401554931</v>
      </c>
    </row>
    <row r="16" spans="1:75" s="1809" customFormat="1" ht="14.25" customHeight="1" x14ac:dyDescent="0.25">
      <c r="A16" s="1806"/>
      <c r="B16" s="1528">
        <v>8.25</v>
      </c>
      <c r="C16" s="1775">
        <v>9.25</v>
      </c>
      <c r="D16" s="1779">
        <v>8.875</v>
      </c>
      <c r="E16" s="1529" t="s">
        <v>761</v>
      </c>
      <c r="F16" s="1819">
        <v>9.875</v>
      </c>
      <c r="G16" s="1775">
        <v>0.3125</v>
      </c>
      <c r="H16" s="1528" t="s">
        <v>311</v>
      </c>
      <c r="I16" s="1531">
        <v>0.75</v>
      </c>
      <c r="J16" s="1529">
        <v>65</v>
      </c>
      <c r="K16" s="1827">
        <f t="shared" si="38"/>
        <v>2.25</v>
      </c>
      <c r="L16" s="1828">
        <f t="shared" si="18"/>
        <v>12.125</v>
      </c>
      <c r="M16" s="1534" t="s">
        <v>339</v>
      </c>
      <c r="N16" s="1529" t="s">
        <v>365</v>
      </c>
      <c r="O16" s="1844">
        <f t="shared" si="0"/>
        <v>0.75</v>
      </c>
      <c r="P16" s="1845">
        <f t="shared" si="0"/>
        <v>65</v>
      </c>
      <c r="Q16" s="1537">
        <v>12</v>
      </c>
      <c r="R16" s="1528">
        <v>21</v>
      </c>
      <c r="S16" s="1827">
        <f t="shared" si="1"/>
        <v>9</v>
      </c>
      <c r="T16" s="1827">
        <f t="shared" si="19"/>
        <v>1.5</v>
      </c>
      <c r="U16" s="1538">
        <f t="shared" si="2"/>
        <v>1.5</v>
      </c>
      <c r="V16" s="1539"/>
      <c r="W16" s="1807"/>
      <c r="X16" s="1540"/>
      <c r="Y16" s="1708"/>
      <c r="Z16" s="1808"/>
      <c r="AA16" s="1656">
        <v>8</v>
      </c>
      <c r="AB16" s="1657">
        <v>6</v>
      </c>
      <c r="AC16" s="1658">
        <v>3</v>
      </c>
      <c r="AD16" s="1659" t="s">
        <v>47</v>
      </c>
      <c r="AE16" s="1660">
        <v>1</v>
      </c>
      <c r="AF16" s="1884">
        <f t="shared" si="20"/>
        <v>1.125</v>
      </c>
      <c r="AG16" s="1885">
        <f t="shared" si="3"/>
        <v>3</v>
      </c>
      <c r="AH16" s="1886" t="s">
        <v>412</v>
      </c>
      <c r="AI16" s="1887" t="s">
        <v>413</v>
      </c>
      <c r="AJ16" s="1888" t="s">
        <v>413</v>
      </c>
      <c r="AK16" s="1889">
        <f t="shared" si="4"/>
        <v>5.75</v>
      </c>
      <c r="AL16" s="1890">
        <f t="shared" si="5"/>
        <v>5</v>
      </c>
      <c r="AM16" s="1891">
        <v>3.5</v>
      </c>
      <c r="AN16" s="1892">
        <v>1</v>
      </c>
      <c r="AO16" s="1893">
        <f t="shared" si="21"/>
        <v>6.625</v>
      </c>
      <c r="AP16" s="1894" t="str">
        <f t="shared" si="6"/>
        <v>PL 3/4 x 21 x 22 7/8</v>
      </c>
      <c r="AQ16" s="1895">
        <f t="shared" si="22"/>
        <v>100.4843388327843</v>
      </c>
      <c r="AR16" s="1896">
        <f t="shared" si="23"/>
        <v>103.99004563254957</v>
      </c>
      <c r="AS16" s="162"/>
      <c r="AT16" s="925">
        <f t="shared" si="7"/>
        <v>22.875</v>
      </c>
      <c r="AU16" s="925">
        <f t="shared" si="24"/>
        <v>7.9521564043991635</v>
      </c>
      <c r="AV16" s="925">
        <f t="shared" si="25"/>
        <v>11.191923828413637</v>
      </c>
      <c r="AW16">
        <f t="shared" si="17"/>
        <v>100.4843388327843</v>
      </c>
      <c r="AX16">
        <f t="shared" si="26"/>
        <v>98.103816634480722</v>
      </c>
      <c r="AY16">
        <f t="shared" si="27"/>
        <v>0</v>
      </c>
      <c r="AZ16">
        <f t="shared" si="28"/>
        <v>0</v>
      </c>
      <c r="BA16">
        <f t="shared" si="29"/>
        <v>0.8125</v>
      </c>
      <c r="BB16">
        <f t="shared" si="8"/>
        <v>3</v>
      </c>
      <c r="BC16" s="1801">
        <f t="shared" si="30"/>
        <v>0.11212123696301957</v>
      </c>
      <c r="BD16"/>
      <c r="BE16">
        <v>0.25</v>
      </c>
      <c r="BF16">
        <f t="shared" si="31"/>
        <v>8.25</v>
      </c>
      <c r="BG16">
        <f t="shared" si="32"/>
        <v>9.375</v>
      </c>
      <c r="BH16">
        <f t="shared" si="33"/>
        <v>9.5196244864288602</v>
      </c>
      <c r="BI16" s="1805">
        <f t="shared" si="34"/>
        <v>0.3125</v>
      </c>
      <c r="BJ16" s="1801">
        <f t="shared" si="35"/>
        <v>0.875</v>
      </c>
      <c r="BK16">
        <f t="shared" si="36"/>
        <v>0.94731224321443008</v>
      </c>
      <c r="BL16"/>
      <c r="BM16">
        <f t="shared" si="9"/>
        <v>8.4178402563125001</v>
      </c>
      <c r="BN16">
        <f t="shared" si="10"/>
        <v>9.7942286307500002</v>
      </c>
      <c r="BO16">
        <f t="shared" si="37"/>
        <v>9.9453203945568323</v>
      </c>
      <c r="BP16" s="1791">
        <f t="shared" si="11"/>
        <v>0.39642012815625005</v>
      </c>
      <c r="BQ16" s="1791">
        <f t="shared" si="12"/>
        <v>1.0846143153750001</v>
      </c>
      <c r="BR16">
        <f t="shared" si="13"/>
        <v>1.1601601972784161</v>
      </c>
      <c r="BS16" s="1791">
        <f t="shared" si="14"/>
        <v>0.44379084991249984</v>
      </c>
      <c r="BT16" s="1791">
        <f t="shared" si="15"/>
        <v>1.0062908499124998</v>
      </c>
      <c r="BU16">
        <f t="shared" si="16"/>
        <v>1.0737822769126342</v>
      </c>
      <c r="BV16"/>
      <c r="BW16"/>
    </row>
    <row r="17" spans="1:75" s="1809" customFormat="1" ht="14.25" customHeight="1" x14ac:dyDescent="0.25">
      <c r="A17" s="1806"/>
      <c r="B17" s="1543">
        <v>9</v>
      </c>
      <c r="C17" s="1774">
        <v>10</v>
      </c>
      <c r="D17" s="1778">
        <v>9.75</v>
      </c>
      <c r="E17" s="1544" t="s">
        <v>762</v>
      </c>
      <c r="F17" s="1818">
        <v>10.625</v>
      </c>
      <c r="G17" s="1774">
        <v>0.25</v>
      </c>
      <c r="H17" s="1543" t="s">
        <v>722</v>
      </c>
      <c r="I17" s="1546">
        <v>0.75</v>
      </c>
      <c r="J17" s="1544">
        <v>65</v>
      </c>
      <c r="K17" s="1825">
        <f t="shared" si="38"/>
        <v>2.25</v>
      </c>
      <c r="L17" s="1826">
        <f t="shared" si="18"/>
        <v>13.125</v>
      </c>
      <c r="M17" s="1549" t="s">
        <v>723</v>
      </c>
      <c r="N17" s="1544" t="s">
        <v>724</v>
      </c>
      <c r="O17" s="1842">
        <f t="shared" si="0"/>
        <v>0.75</v>
      </c>
      <c r="P17" s="1843">
        <f t="shared" si="0"/>
        <v>65</v>
      </c>
      <c r="Q17" s="1552">
        <v>13</v>
      </c>
      <c r="R17" s="1543">
        <v>21</v>
      </c>
      <c r="S17" s="1825">
        <f t="shared" si="1"/>
        <v>9</v>
      </c>
      <c r="T17" s="1825">
        <f t="shared" si="19"/>
        <v>1.5</v>
      </c>
      <c r="U17" s="1553">
        <f t="shared" si="2"/>
        <v>1.5</v>
      </c>
      <c r="V17" s="1554"/>
      <c r="W17" s="1810"/>
      <c r="X17" s="1555"/>
      <c r="Y17" s="1804"/>
      <c r="Z17" s="1811"/>
      <c r="AA17" s="1558">
        <v>8</v>
      </c>
      <c r="AB17" s="1559">
        <v>6</v>
      </c>
      <c r="AC17" s="1560">
        <v>3</v>
      </c>
      <c r="AD17" s="1561" t="s">
        <v>47</v>
      </c>
      <c r="AE17" s="1562">
        <v>1</v>
      </c>
      <c r="AF17" s="1871">
        <f t="shared" si="20"/>
        <v>1.125</v>
      </c>
      <c r="AG17" s="1872">
        <f t="shared" si="3"/>
        <v>3</v>
      </c>
      <c r="AH17" s="1873" t="s">
        <v>412</v>
      </c>
      <c r="AI17" s="1874" t="s">
        <v>413</v>
      </c>
      <c r="AJ17" s="1875" t="s">
        <v>413</v>
      </c>
      <c r="AK17" s="1876">
        <f t="shared" si="4"/>
        <v>5.75</v>
      </c>
      <c r="AL17" s="1877">
        <f t="shared" si="5"/>
        <v>5</v>
      </c>
      <c r="AM17" s="1878">
        <v>4</v>
      </c>
      <c r="AN17" s="1879">
        <v>1</v>
      </c>
      <c r="AO17" s="1880">
        <f t="shared" si="21"/>
        <v>7.625</v>
      </c>
      <c r="AP17" s="1881" t="str">
        <f t="shared" si="6"/>
        <v>PL 3/4 x 21 x 23 7/8</v>
      </c>
      <c r="AQ17" s="1882">
        <f t="shared" si="22"/>
        <v>104.95103883278431</v>
      </c>
      <c r="AR17" s="1883">
        <f t="shared" si="23"/>
        <v>108.06070722986487</v>
      </c>
      <c r="AS17" s="162"/>
      <c r="AT17" s="925">
        <f t="shared" si="7"/>
        <v>23.875</v>
      </c>
      <c r="AU17" s="925">
        <f t="shared" si="24"/>
        <v>7.9521564043991635</v>
      </c>
      <c r="AV17" s="925">
        <f t="shared" si="25"/>
        <v>14.137166941154069</v>
      </c>
      <c r="AW17">
        <f t="shared" si="17"/>
        <v>104.95103883278431</v>
      </c>
      <c r="AX17">
        <f t="shared" si="26"/>
        <v>101.94406342440082</v>
      </c>
      <c r="AY17">
        <f t="shared" si="27"/>
        <v>0</v>
      </c>
      <c r="AZ17">
        <f t="shared" si="28"/>
        <v>0</v>
      </c>
      <c r="BA17">
        <f t="shared" si="29"/>
        <v>0.75</v>
      </c>
      <c r="BB17">
        <f t="shared" si="8"/>
        <v>3</v>
      </c>
      <c r="BC17" s="1801">
        <f t="shared" si="30"/>
        <v>9.5262490344437456E-2</v>
      </c>
      <c r="BD17"/>
      <c r="BE17">
        <v>0.1875</v>
      </c>
      <c r="BF17">
        <f t="shared" si="31"/>
        <v>9.25</v>
      </c>
      <c r="BG17">
        <f t="shared" si="32"/>
        <v>10.25</v>
      </c>
      <c r="BH17">
        <f t="shared" si="33"/>
        <v>10.408122771828886</v>
      </c>
      <c r="BI17" s="1805">
        <f t="shared" si="34"/>
        <v>0.3125</v>
      </c>
      <c r="BJ17" s="1801">
        <f t="shared" si="35"/>
        <v>0.8125</v>
      </c>
      <c r="BK17">
        <f t="shared" si="36"/>
        <v>0.89156138591444289</v>
      </c>
      <c r="BL17"/>
      <c r="BM17">
        <f t="shared" si="9"/>
        <v>9.5055534962500001</v>
      </c>
      <c r="BN17">
        <f t="shared" si="10"/>
        <v>10.8819418706875</v>
      </c>
      <c r="BO17">
        <f t="shared" si="37"/>
        <v>11.049813364489834</v>
      </c>
      <c r="BP17" s="1791">
        <f t="shared" si="11"/>
        <v>0.44027674812500006</v>
      </c>
      <c r="BQ17" s="1791">
        <f t="shared" si="12"/>
        <v>1.1284709353437501</v>
      </c>
      <c r="BR17">
        <f t="shared" si="13"/>
        <v>1.2124066822449171</v>
      </c>
      <c r="BS17" s="1791">
        <f t="shared" si="14"/>
        <v>0.44827814801249977</v>
      </c>
      <c r="BT17" s="1791">
        <f t="shared" si="15"/>
        <v>1.0107781480124998</v>
      </c>
      <c r="BU17">
        <f t="shared" si="16"/>
        <v>1.0850187177126478</v>
      </c>
      <c r="BV17"/>
      <c r="BW17"/>
    </row>
    <row r="18" spans="1:75" s="1809" customFormat="1" ht="14.25" customHeight="1" x14ac:dyDescent="0.25">
      <c r="A18" s="1806"/>
      <c r="B18" s="1528">
        <v>9.25</v>
      </c>
      <c r="C18" s="1775">
        <v>10.25</v>
      </c>
      <c r="D18" s="1779">
        <v>10</v>
      </c>
      <c r="E18" s="1529" t="s">
        <v>762</v>
      </c>
      <c r="F18" s="1819">
        <v>10.875</v>
      </c>
      <c r="G18" s="1775">
        <v>0.3125</v>
      </c>
      <c r="H18" s="1528" t="s">
        <v>725</v>
      </c>
      <c r="I18" s="1531">
        <v>0.75</v>
      </c>
      <c r="J18" s="1529">
        <v>65</v>
      </c>
      <c r="K18" s="1827">
        <f t="shared" si="38"/>
        <v>2.25</v>
      </c>
      <c r="L18" s="1828">
        <f t="shared" si="18"/>
        <v>13.125</v>
      </c>
      <c r="M18" s="1534" t="s">
        <v>726</v>
      </c>
      <c r="N18" s="1529" t="s">
        <v>727</v>
      </c>
      <c r="O18" s="1844">
        <f t="shared" si="0"/>
        <v>0.75</v>
      </c>
      <c r="P18" s="1845">
        <f t="shared" si="0"/>
        <v>65</v>
      </c>
      <c r="Q18" s="1537">
        <v>13</v>
      </c>
      <c r="R18" s="1528">
        <v>24</v>
      </c>
      <c r="S18" s="1827">
        <f t="shared" si="1"/>
        <v>10.5</v>
      </c>
      <c r="T18" s="1827">
        <f t="shared" si="19"/>
        <v>1.5</v>
      </c>
      <c r="U18" s="1538">
        <f t="shared" si="2"/>
        <v>1.5</v>
      </c>
      <c r="V18" s="1539"/>
      <c r="W18" s="1807"/>
      <c r="X18" s="1540"/>
      <c r="Y18" s="1708"/>
      <c r="Z18" s="1808"/>
      <c r="AA18" s="1656">
        <v>12</v>
      </c>
      <c r="AB18" s="1657">
        <v>4.5</v>
      </c>
      <c r="AC18" s="1658">
        <v>3</v>
      </c>
      <c r="AD18" s="1659" t="s">
        <v>47</v>
      </c>
      <c r="AE18" s="1660">
        <v>1</v>
      </c>
      <c r="AF18" s="1884">
        <f t="shared" si="20"/>
        <v>1.125</v>
      </c>
      <c r="AG18" s="1885">
        <f t="shared" si="3"/>
        <v>3</v>
      </c>
      <c r="AH18" s="1886" t="s">
        <v>412</v>
      </c>
      <c r="AI18" s="1887" t="s">
        <v>413</v>
      </c>
      <c r="AJ18" s="1888" t="s">
        <v>413</v>
      </c>
      <c r="AK18" s="1889">
        <f t="shared" si="4"/>
        <v>5.75</v>
      </c>
      <c r="AL18" s="1890">
        <f t="shared" si="5"/>
        <v>5</v>
      </c>
      <c r="AM18" s="1891">
        <v>4.5</v>
      </c>
      <c r="AN18" s="1892">
        <v>1</v>
      </c>
      <c r="AO18" s="1893">
        <f t="shared" si="21"/>
        <v>7.75</v>
      </c>
      <c r="AP18" s="1894" t="str">
        <f t="shared" si="6"/>
        <v>PL 3/4 x 24 x 23 7/8</v>
      </c>
      <c r="AQ18" s="1895">
        <f t="shared" si="22"/>
        <v>119.33996449917647</v>
      </c>
      <c r="AR18" s="1896">
        <f t="shared" si="23"/>
        <v>122.56038931319793</v>
      </c>
      <c r="AS18" s="162"/>
      <c r="AT18" s="925">
        <f t="shared" si="7"/>
        <v>23.875</v>
      </c>
      <c r="AU18" s="925">
        <f t="shared" si="24"/>
        <v>11.928234606598746</v>
      </c>
      <c r="AV18" s="925">
        <f t="shared" si="25"/>
        <v>17.475109135593225</v>
      </c>
      <c r="AW18">
        <f t="shared" si="17"/>
        <v>119.33996449917647</v>
      </c>
      <c r="AX18">
        <f t="shared" si="26"/>
        <v>115.62300878603578</v>
      </c>
      <c r="AY18">
        <f t="shared" si="27"/>
        <v>0</v>
      </c>
      <c r="AZ18">
        <f t="shared" si="28"/>
        <v>0</v>
      </c>
      <c r="BA18">
        <f t="shared" si="29"/>
        <v>0.8125</v>
      </c>
      <c r="BB18">
        <f t="shared" si="8"/>
        <v>3</v>
      </c>
      <c r="BC18" s="1801">
        <f t="shared" si="30"/>
        <v>0.11212123696301957</v>
      </c>
      <c r="BD18"/>
      <c r="BE18">
        <v>0.25</v>
      </c>
      <c r="BF18">
        <f t="shared" si="31"/>
        <v>9.375</v>
      </c>
      <c r="BG18">
        <f t="shared" si="32"/>
        <v>10.375</v>
      </c>
      <c r="BH18">
        <f t="shared" si="33"/>
        <v>10.535051098314606</v>
      </c>
      <c r="BI18" s="1805">
        <f t="shared" si="34"/>
        <v>0.3125</v>
      </c>
      <c r="BJ18" s="1801">
        <f t="shared" si="35"/>
        <v>0.8125</v>
      </c>
      <c r="BK18">
        <f t="shared" si="36"/>
        <v>0.89252554915730276</v>
      </c>
      <c r="BL18"/>
      <c r="BM18">
        <f t="shared" si="9"/>
        <v>9.5725407943125003</v>
      </c>
      <c r="BN18">
        <f t="shared" si="10"/>
        <v>10.94892916875</v>
      </c>
      <c r="BO18">
        <f t="shared" si="37"/>
        <v>11.11783404960082</v>
      </c>
      <c r="BP18" s="1791">
        <f t="shared" si="11"/>
        <v>0.41127039715625013</v>
      </c>
      <c r="BQ18" s="1791">
        <f t="shared" si="12"/>
        <v>1.0994645843750002</v>
      </c>
      <c r="BR18">
        <f t="shared" si="13"/>
        <v>1.1839170248004098</v>
      </c>
      <c r="BS18" s="1791">
        <f t="shared" si="14"/>
        <v>0.45665156027499965</v>
      </c>
      <c r="BT18" s="1791">
        <f t="shared" si="15"/>
        <v>1.0191515602749996</v>
      </c>
      <c r="BU18">
        <f t="shared" si="16"/>
        <v>1.0943562932180066</v>
      </c>
      <c r="BV18"/>
      <c r="BW18"/>
    </row>
    <row r="19" spans="1:75" ht="14.25" customHeight="1" x14ac:dyDescent="0.25">
      <c r="B19" s="1543">
        <v>10</v>
      </c>
      <c r="C19" s="1774">
        <v>11</v>
      </c>
      <c r="D19" s="1778">
        <v>10.75</v>
      </c>
      <c r="E19" s="1544" t="s">
        <v>763</v>
      </c>
      <c r="F19" s="1818">
        <v>11.625</v>
      </c>
      <c r="G19" s="1774">
        <v>0.25</v>
      </c>
      <c r="H19" s="1543" t="s">
        <v>633</v>
      </c>
      <c r="I19" s="1546">
        <v>0.75</v>
      </c>
      <c r="J19" s="1544">
        <v>65</v>
      </c>
      <c r="K19" s="1825">
        <f t="shared" si="38"/>
        <v>2.25</v>
      </c>
      <c r="L19" s="1826">
        <f t="shared" si="18"/>
        <v>14.125</v>
      </c>
      <c r="M19" s="1549" t="s">
        <v>634</v>
      </c>
      <c r="N19" s="1544" t="s">
        <v>635</v>
      </c>
      <c r="O19" s="1842">
        <f t="shared" si="0"/>
        <v>0.75</v>
      </c>
      <c r="P19" s="1843">
        <f t="shared" si="0"/>
        <v>65</v>
      </c>
      <c r="Q19" s="1552">
        <v>14</v>
      </c>
      <c r="R19" s="1543">
        <v>21</v>
      </c>
      <c r="S19" s="1825">
        <f t="shared" si="1"/>
        <v>9</v>
      </c>
      <c r="T19" s="1825">
        <f t="shared" si="19"/>
        <v>1.5</v>
      </c>
      <c r="U19" s="1553">
        <f t="shared" si="2"/>
        <v>1.5</v>
      </c>
      <c r="V19" s="1554"/>
      <c r="W19" s="1550"/>
      <c r="X19" s="1555"/>
      <c r="Y19" s="1547"/>
      <c r="Z19" s="1556"/>
      <c r="AA19" s="1558">
        <v>12</v>
      </c>
      <c r="AB19" s="1559">
        <v>3</v>
      </c>
      <c r="AC19" s="1560">
        <v>3</v>
      </c>
      <c r="AD19" s="1561" t="s">
        <v>47</v>
      </c>
      <c r="AE19" s="1562">
        <v>1</v>
      </c>
      <c r="AF19" s="1871">
        <f t="shared" si="20"/>
        <v>1.125</v>
      </c>
      <c r="AG19" s="1872">
        <f t="shared" si="3"/>
        <v>3</v>
      </c>
      <c r="AH19" s="1873" t="s">
        <v>412</v>
      </c>
      <c r="AI19" s="1874" t="s">
        <v>413</v>
      </c>
      <c r="AJ19" s="1875" t="s">
        <v>413</v>
      </c>
      <c r="AK19" s="1876">
        <f t="shared" si="4"/>
        <v>5.75</v>
      </c>
      <c r="AL19" s="1877">
        <f t="shared" si="5"/>
        <v>5</v>
      </c>
      <c r="AM19" s="1878">
        <v>4.5</v>
      </c>
      <c r="AN19" s="1879">
        <v>1</v>
      </c>
      <c r="AO19" s="1880">
        <f t="shared" si="21"/>
        <v>8.625</v>
      </c>
      <c r="AP19" s="1881" t="str">
        <f t="shared" si="6"/>
        <v>PL 3/4 x 21 x 24 7/8</v>
      </c>
      <c r="AQ19" s="1882">
        <f t="shared" si="22"/>
        <v>108.57202699917647</v>
      </c>
      <c r="AR19" s="1883">
        <f t="shared" si="23"/>
        <v>111.14637556319794</v>
      </c>
      <c r="AT19" s="925">
        <f t="shared" si="7"/>
        <v>24.875</v>
      </c>
      <c r="AU19" s="925">
        <f t="shared" si="24"/>
        <v>11.928234606598746</v>
      </c>
      <c r="AV19" s="925">
        <f t="shared" si="25"/>
        <v>17.475109135593225</v>
      </c>
      <c r="AW19">
        <f t="shared" si="17"/>
        <v>108.57202699917647</v>
      </c>
      <c r="AX19">
        <f t="shared" si="26"/>
        <v>104.85507128603578</v>
      </c>
      <c r="AY19">
        <f t="shared" si="27"/>
        <v>0</v>
      </c>
      <c r="AZ19">
        <f t="shared" si="28"/>
        <v>0</v>
      </c>
      <c r="BA19">
        <f t="shared" si="29"/>
        <v>0.75</v>
      </c>
      <c r="BB19">
        <f t="shared" si="8"/>
        <v>3</v>
      </c>
      <c r="BC19" s="1801">
        <f t="shared" si="30"/>
        <v>9.5262490344437456E-2</v>
      </c>
      <c r="BE19">
        <v>0.1875</v>
      </c>
      <c r="BF19">
        <f t="shared" si="31"/>
        <v>10.25</v>
      </c>
      <c r="BG19">
        <f t="shared" si="32"/>
        <v>11.25</v>
      </c>
      <c r="BH19">
        <f t="shared" si="33"/>
        <v>11.423549383714631</v>
      </c>
      <c r="BI19" s="1805">
        <f t="shared" si="34"/>
        <v>0.3125</v>
      </c>
      <c r="BJ19" s="1801">
        <f t="shared" si="35"/>
        <v>0.8125</v>
      </c>
      <c r="BK19">
        <f t="shared" si="36"/>
        <v>0.89927469185731557</v>
      </c>
      <c r="BM19">
        <f t="shared" si="9"/>
        <v>10.66025403425</v>
      </c>
      <c r="BN19">
        <f t="shared" si="10"/>
        <v>12.0366424086875</v>
      </c>
      <c r="BO19">
        <f t="shared" si="37"/>
        <v>12.222327019533822</v>
      </c>
      <c r="BP19" s="1791">
        <f t="shared" si="11"/>
        <v>0.51762701712500014</v>
      </c>
      <c r="BQ19" s="1791">
        <f t="shared" si="12"/>
        <v>1.2058212043437502</v>
      </c>
      <c r="BR19">
        <f t="shared" si="13"/>
        <v>1.2986635097669108</v>
      </c>
      <c r="BS19" s="1791">
        <f t="shared" si="14"/>
        <v>0.51526544611249969</v>
      </c>
      <c r="BT19" s="1791">
        <f t="shared" si="15"/>
        <v>1.0777654461124997</v>
      </c>
      <c r="BU19">
        <f t="shared" si="16"/>
        <v>1.1597193217555204</v>
      </c>
    </row>
    <row r="20" spans="1:75" ht="14.25" customHeight="1" x14ac:dyDescent="0.25">
      <c r="B20" s="1528">
        <v>10.25</v>
      </c>
      <c r="C20" s="1775">
        <v>11.25</v>
      </c>
      <c r="D20" s="1779">
        <v>11</v>
      </c>
      <c r="E20" s="1529" t="s">
        <v>763</v>
      </c>
      <c r="F20" s="1819">
        <v>11.875</v>
      </c>
      <c r="G20" s="1775">
        <v>0.3125</v>
      </c>
      <c r="H20" s="1528" t="s">
        <v>312</v>
      </c>
      <c r="I20" s="1531">
        <v>0.75</v>
      </c>
      <c r="J20" s="1529">
        <v>65</v>
      </c>
      <c r="K20" s="1827">
        <f t="shared" si="38"/>
        <v>2.25</v>
      </c>
      <c r="L20" s="1828">
        <f t="shared" si="18"/>
        <v>14.125</v>
      </c>
      <c r="M20" s="1534" t="s">
        <v>340</v>
      </c>
      <c r="N20" s="1529" t="s">
        <v>366</v>
      </c>
      <c r="O20" s="1844">
        <f t="shared" si="0"/>
        <v>0.75</v>
      </c>
      <c r="P20" s="1845">
        <f t="shared" si="0"/>
        <v>65</v>
      </c>
      <c r="Q20" s="1537">
        <v>14</v>
      </c>
      <c r="R20" s="1528">
        <v>24</v>
      </c>
      <c r="S20" s="1827">
        <f t="shared" si="1"/>
        <v>10.5</v>
      </c>
      <c r="T20" s="1827">
        <f t="shared" si="19"/>
        <v>1.5</v>
      </c>
      <c r="U20" s="1538">
        <f t="shared" si="2"/>
        <v>1.5</v>
      </c>
      <c r="V20" s="1539"/>
      <c r="W20" s="1535"/>
      <c r="X20" s="1540"/>
      <c r="Y20" s="1532"/>
      <c r="Z20" s="1541"/>
      <c r="AA20" s="1656">
        <v>12</v>
      </c>
      <c r="AB20" s="1657">
        <v>4.5</v>
      </c>
      <c r="AC20" s="1658">
        <v>3</v>
      </c>
      <c r="AD20" s="1659" t="s">
        <v>47</v>
      </c>
      <c r="AE20" s="1660">
        <v>1</v>
      </c>
      <c r="AF20" s="1884">
        <f t="shared" si="20"/>
        <v>1.125</v>
      </c>
      <c r="AG20" s="1885">
        <f t="shared" si="3"/>
        <v>3</v>
      </c>
      <c r="AH20" s="1886" t="s">
        <v>412</v>
      </c>
      <c r="AI20" s="1887" t="s">
        <v>413</v>
      </c>
      <c r="AJ20" s="1888" t="s">
        <v>413</v>
      </c>
      <c r="AK20" s="1889">
        <f t="shared" si="4"/>
        <v>5.75</v>
      </c>
      <c r="AL20" s="1890">
        <f t="shared" si="5"/>
        <v>5</v>
      </c>
      <c r="AM20" s="1891">
        <v>5</v>
      </c>
      <c r="AN20" s="1892">
        <v>1</v>
      </c>
      <c r="AO20" s="1893">
        <f t="shared" si="21"/>
        <v>8.75</v>
      </c>
      <c r="AP20" s="1894" t="str">
        <f t="shared" si="6"/>
        <v>PL 3/4 x 24 x 24 7/8</v>
      </c>
      <c r="AQ20" s="1895">
        <f t="shared" si="22"/>
        <v>124.44476449917647</v>
      </c>
      <c r="AR20" s="1896">
        <f t="shared" si="23"/>
        <v>127.13035946979736</v>
      </c>
      <c r="AT20" s="925">
        <f t="shared" si="7"/>
        <v>24.875</v>
      </c>
      <c r="AU20" s="925">
        <f t="shared" si="24"/>
        <v>11.928234606598746</v>
      </c>
      <c r="AV20" s="925">
        <f t="shared" si="25"/>
        <v>21.205750411731103</v>
      </c>
      <c r="AW20">
        <f t="shared" si="17"/>
        <v>124.44476449917647</v>
      </c>
      <c r="AX20">
        <f t="shared" si="26"/>
        <v>119.93430138660128</v>
      </c>
      <c r="AY20">
        <f t="shared" si="27"/>
        <v>0</v>
      </c>
      <c r="AZ20">
        <f t="shared" si="28"/>
        <v>0</v>
      </c>
      <c r="BA20">
        <f t="shared" si="29"/>
        <v>0.8125</v>
      </c>
      <c r="BB20">
        <f t="shared" si="8"/>
        <v>3</v>
      </c>
      <c r="BC20" s="1801">
        <f t="shared" si="30"/>
        <v>0.11212123696301957</v>
      </c>
      <c r="BE20">
        <v>0.25</v>
      </c>
      <c r="BF20">
        <f t="shared" si="31"/>
        <v>10.375</v>
      </c>
      <c r="BG20">
        <f t="shared" si="32"/>
        <v>11.375</v>
      </c>
      <c r="BH20">
        <f t="shared" si="33"/>
        <v>11.550477710200349</v>
      </c>
      <c r="BI20" s="1805">
        <f t="shared" si="34"/>
        <v>0.3125</v>
      </c>
      <c r="BJ20" s="1801">
        <f t="shared" si="35"/>
        <v>0.8125</v>
      </c>
      <c r="BK20">
        <f t="shared" si="36"/>
        <v>0.90023885510017454</v>
      </c>
      <c r="BM20">
        <f t="shared" si="9"/>
        <v>10.7272413323125</v>
      </c>
      <c r="BN20">
        <f t="shared" si="10"/>
        <v>12.10362970675</v>
      </c>
      <c r="BO20">
        <f t="shared" si="37"/>
        <v>12.290347704644807</v>
      </c>
      <c r="BP20" s="1791">
        <f t="shared" si="11"/>
        <v>0.48862066615625022</v>
      </c>
      <c r="BQ20" s="1791">
        <f t="shared" si="12"/>
        <v>1.1768148533750002</v>
      </c>
      <c r="BR20">
        <f t="shared" si="13"/>
        <v>1.2701738523224035</v>
      </c>
      <c r="BS20" s="1791">
        <f t="shared" si="14"/>
        <v>0.52363885837500002</v>
      </c>
      <c r="BT20" s="1791">
        <f t="shared" si="15"/>
        <v>1.086138858375</v>
      </c>
      <c r="BU20">
        <f t="shared" si="16"/>
        <v>1.1690568972608797</v>
      </c>
    </row>
    <row r="21" spans="1:75" s="1809" customFormat="1" ht="14.25" customHeight="1" x14ac:dyDescent="0.25">
      <c r="A21" s="1806"/>
      <c r="B21" s="1543">
        <v>11</v>
      </c>
      <c r="C21" s="1774">
        <v>12</v>
      </c>
      <c r="D21" s="1778">
        <v>11.75</v>
      </c>
      <c r="E21" s="1544" t="s">
        <v>764</v>
      </c>
      <c r="F21" s="1818">
        <v>12.625</v>
      </c>
      <c r="G21" s="1774">
        <v>0.25</v>
      </c>
      <c r="H21" s="1543" t="s">
        <v>728</v>
      </c>
      <c r="I21" s="1546">
        <v>0.75</v>
      </c>
      <c r="J21" s="1544">
        <v>65</v>
      </c>
      <c r="K21" s="1825">
        <f t="shared" si="38"/>
        <v>2.25</v>
      </c>
      <c r="L21" s="1826">
        <f t="shared" si="18"/>
        <v>15.125</v>
      </c>
      <c r="M21" s="1549" t="s">
        <v>729</v>
      </c>
      <c r="N21" s="1544" t="s">
        <v>730</v>
      </c>
      <c r="O21" s="1842">
        <f t="shared" si="0"/>
        <v>0.75</v>
      </c>
      <c r="P21" s="1843">
        <f t="shared" si="0"/>
        <v>65</v>
      </c>
      <c r="Q21" s="1552">
        <v>15</v>
      </c>
      <c r="R21" s="1543">
        <v>24</v>
      </c>
      <c r="S21" s="1825">
        <f t="shared" si="1"/>
        <v>10.5</v>
      </c>
      <c r="T21" s="1825">
        <f t="shared" si="19"/>
        <v>1.5</v>
      </c>
      <c r="U21" s="1553">
        <f t="shared" si="2"/>
        <v>1.5</v>
      </c>
      <c r="V21" s="1554"/>
      <c r="W21" s="1810"/>
      <c r="X21" s="1555"/>
      <c r="Y21" s="1804"/>
      <c r="Z21" s="1811"/>
      <c r="AA21" s="1558">
        <v>12</v>
      </c>
      <c r="AB21" s="1559">
        <v>4.5</v>
      </c>
      <c r="AC21" s="1560">
        <v>3</v>
      </c>
      <c r="AD21" s="1561" t="s">
        <v>47</v>
      </c>
      <c r="AE21" s="1562">
        <v>1</v>
      </c>
      <c r="AF21" s="1871">
        <f t="shared" si="20"/>
        <v>1.125</v>
      </c>
      <c r="AG21" s="1872">
        <f t="shared" si="3"/>
        <v>3</v>
      </c>
      <c r="AH21" s="1873" t="s">
        <v>412</v>
      </c>
      <c r="AI21" s="1874" t="s">
        <v>413</v>
      </c>
      <c r="AJ21" s="1875" t="s">
        <v>413</v>
      </c>
      <c r="AK21" s="1876">
        <f t="shared" si="4"/>
        <v>5.75</v>
      </c>
      <c r="AL21" s="1877">
        <f t="shared" si="5"/>
        <v>5</v>
      </c>
      <c r="AM21" s="1878">
        <v>5</v>
      </c>
      <c r="AN21" s="1879">
        <v>1</v>
      </c>
      <c r="AO21" s="1880">
        <f t="shared" si="21"/>
        <v>9.625</v>
      </c>
      <c r="AP21" s="1881" t="str">
        <f t="shared" si="6"/>
        <v>PL 3/4 x 24 x 25 7/8</v>
      </c>
      <c r="AQ21" s="1882">
        <f t="shared" si="22"/>
        <v>129.54956449917646</v>
      </c>
      <c r="AR21" s="1883">
        <f t="shared" si="23"/>
        <v>132.54144746979736</v>
      </c>
      <c r="AS21" s="162"/>
      <c r="AT21" s="925">
        <f t="shared" si="7"/>
        <v>25.875</v>
      </c>
      <c r="AU21" s="925">
        <f t="shared" si="24"/>
        <v>11.928234606598746</v>
      </c>
      <c r="AV21" s="925">
        <f t="shared" si="25"/>
        <v>21.205750411731103</v>
      </c>
      <c r="AW21">
        <f t="shared" si="17"/>
        <v>129.54956449917646</v>
      </c>
      <c r="AX21">
        <f t="shared" si="26"/>
        <v>125.03910138660127</v>
      </c>
      <c r="AY21">
        <f>2*W21*(X21*Q21-K21^2*(2-PI()/2))*0.2836</f>
        <v>0</v>
      </c>
      <c r="AZ21">
        <f t="shared" si="28"/>
        <v>0</v>
      </c>
      <c r="BA21">
        <f t="shared" si="29"/>
        <v>0.75</v>
      </c>
      <c r="BB21">
        <f t="shared" si="8"/>
        <v>3</v>
      </c>
      <c r="BC21" s="1801">
        <f t="shared" si="30"/>
        <v>9.5262490344437456E-2</v>
      </c>
      <c r="BD21"/>
      <c r="BE21">
        <v>0.1875</v>
      </c>
      <c r="BF21">
        <f t="shared" si="31"/>
        <v>11.25</v>
      </c>
      <c r="BG21">
        <f t="shared" si="32"/>
        <v>12.25</v>
      </c>
      <c r="BH21">
        <f t="shared" si="33"/>
        <v>12.438975995600376</v>
      </c>
      <c r="BI21" s="1805">
        <f t="shared" si="34"/>
        <v>0.3125</v>
      </c>
      <c r="BJ21" s="1801">
        <f t="shared" si="35"/>
        <v>0.8125</v>
      </c>
      <c r="BK21">
        <f t="shared" si="36"/>
        <v>0.90698799780018824</v>
      </c>
      <c r="BL21"/>
      <c r="BM21">
        <f t="shared" si="9"/>
        <v>11.81495457225</v>
      </c>
      <c r="BN21">
        <f t="shared" si="10"/>
        <v>13.191342946687501</v>
      </c>
      <c r="BO21">
        <f t="shared" si="37"/>
        <v>13.394840674577809</v>
      </c>
      <c r="BP21" s="1791">
        <f t="shared" si="11"/>
        <v>0.59497728612500023</v>
      </c>
      <c r="BQ21" s="1791">
        <f t="shared" si="12"/>
        <v>1.2831714733437503</v>
      </c>
      <c r="BR21">
        <f t="shared" si="13"/>
        <v>1.3849203372889045</v>
      </c>
      <c r="BS21" s="1791">
        <f t="shared" si="14"/>
        <v>0.58225274421250006</v>
      </c>
      <c r="BT21" s="1791">
        <f t="shared" si="15"/>
        <v>1.1447527442125001</v>
      </c>
      <c r="BU21">
        <f t="shared" si="16"/>
        <v>1.2344199257983934</v>
      </c>
      <c r="BV21"/>
      <c r="BW21"/>
    </row>
    <row r="22" spans="1:75" s="1809" customFormat="1" ht="14.25" customHeight="1" x14ac:dyDescent="0.25">
      <c r="A22" s="1806"/>
      <c r="B22" s="1252">
        <v>11.25</v>
      </c>
      <c r="C22" s="1776">
        <v>12.25</v>
      </c>
      <c r="D22" s="1780">
        <v>12</v>
      </c>
      <c r="E22" s="1239" t="s">
        <v>764</v>
      </c>
      <c r="F22" s="1814">
        <v>12.875</v>
      </c>
      <c r="G22" s="1776">
        <v>0.375</v>
      </c>
      <c r="H22" s="1252" t="s">
        <v>731</v>
      </c>
      <c r="I22" s="1241">
        <v>0.75</v>
      </c>
      <c r="J22" s="1239">
        <v>65</v>
      </c>
      <c r="K22" s="1829">
        <f t="shared" si="38"/>
        <v>2.25</v>
      </c>
      <c r="L22" s="1830">
        <f t="shared" si="18"/>
        <v>15.125</v>
      </c>
      <c r="M22" s="1271" t="s">
        <v>732</v>
      </c>
      <c r="N22" s="1239" t="s">
        <v>733</v>
      </c>
      <c r="O22" s="1833">
        <f t="shared" si="0"/>
        <v>0.75</v>
      </c>
      <c r="P22" s="1846">
        <f t="shared" si="0"/>
        <v>65</v>
      </c>
      <c r="Q22" s="1283">
        <v>15</v>
      </c>
      <c r="R22" s="1252">
        <v>24.5</v>
      </c>
      <c r="S22" s="1829">
        <f t="shared" si="1"/>
        <v>10.5</v>
      </c>
      <c r="T22" s="1829">
        <f t="shared" si="19"/>
        <v>1.75</v>
      </c>
      <c r="U22" s="1287">
        <f t="shared" si="2"/>
        <v>1.75</v>
      </c>
      <c r="V22" s="1285">
        <v>2</v>
      </c>
      <c r="W22" s="1833">
        <f t="shared" ref="W22:W44" si="39">I22</f>
        <v>0.75</v>
      </c>
      <c r="X22" s="1240">
        <v>2.5</v>
      </c>
      <c r="Y22" s="1829">
        <f t="shared" ref="Y22" si="40">J22</f>
        <v>65</v>
      </c>
      <c r="Z22" s="1865">
        <f t="shared" ref="Z22" si="41">F22+W22</f>
        <v>13.625</v>
      </c>
      <c r="AA22" s="1296">
        <v>12</v>
      </c>
      <c r="AB22" s="1381">
        <v>3.5</v>
      </c>
      <c r="AC22" s="1382">
        <v>3.5</v>
      </c>
      <c r="AD22" s="1211" t="s">
        <v>47</v>
      </c>
      <c r="AE22" s="1212">
        <v>1.25</v>
      </c>
      <c r="AF22" s="1897">
        <f t="shared" si="20"/>
        <v>1.375</v>
      </c>
      <c r="AG22" s="1898">
        <f t="shared" si="3"/>
        <v>3.25</v>
      </c>
      <c r="AH22" s="1899" t="s">
        <v>412</v>
      </c>
      <c r="AI22" s="1900" t="s">
        <v>413</v>
      </c>
      <c r="AJ22" s="1901" t="s">
        <v>413</v>
      </c>
      <c r="AK22" s="1902">
        <f t="shared" si="4"/>
        <v>6.5</v>
      </c>
      <c r="AL22" s="1903">
        <f t="shared" si="5"/>
        <v>5.5</v>
      </c>
      <c r="AM22" s="1904">
        <v>5.5</v>
      </c>
      <c r="AN22" s="1905">
        <v>1</v>
      </c>
      <c r="AO22" s="1906">
        <f t="shared" si="21"/>
        <v>9.625</v>
      </c>
      <c r="AP22" s="1907" t="str">
        <f t="shared" si="6"/>
        <v>PL 3/4 x 24 1/2 x 27 3/8</v>
      </c>
      <c r="AQ22" s="1908">
        <f t="shared" si="22"/>
        <v>153.89336166344808</v>
      </c>
      <c r="AR22" s="1909">
        <f t="shared" si="23"/>
        <v>159.6389104809667</v>
      </c>
      <c r="AS22" s="162"/>
      <c r="AT22" s="925">
        <f t="shared" si="7"/>
        <v>27.375</v>
      </c>
      <c r="AU22" s="925">
        <f t="shared" si="24"/>
        <v>17.81872083207961</v>
      </c>
      <c r="AV22" s="925">
        <f t="shared" si="25"/>
        <v>25.329090769567706</v>
      </c>
      <c r="AW22">
        <f t="shared" si="17"/>
        <v>138.86518932901666</v>
      </c>
      <c r="AX22">
        <f t="shared" si="26"/>
        <v>133.47769172232961</v>
      </c>
      <c r="AY22">
        <f t="shared" ref="AY22" si="42">2*W22*(X22*Q22-K22^2*(2-PI()/2))*0.2836</f>
        <v>15.028172334431405</v>
      </c>
      <c r="AZ22">
        <f t="shared" si="28"/>
        <v>17.125054014431406</v>
      </c>
      <c r="BA22">
        <f t="shared" si="29"/>
        <v>0.75</v>
      </c>
      <c r="BB22">
        <f t="shared" si="8"/>
        <v>3</v>
      </c>
      <c r="BC22" s="1801">
        <f t="shared" si="30"/>
        <v>9.5262490344437456E-2</v>
      </c>
      <c r="BD22"/>
      <c r="BE22">
        <v>0.3125</v>
      </c>
      <c r="BF22">
        <f t="shared" si="31"/>
        <v>11.25</v>
      </c>
      <c r="BG22">
        <f t="shared" si="32"/>
        <v>12.25</v>
      </c>
      <c r="BH22">
        <f t="shared" si="33"/>
        <v>12.438975995600376</v>
      </c>
      <c r="BI22" s="1805">
        <f t="shared" si="34"/>
        <v>0.3125</v>
      </c>
      <c r="BJ22" s="1801">
        <f t="shared" si="35"/>
        <v>0.8125</v>
      </c>
      <c r="BK22">
        <f t="shared" si="36"/>
        <v>0.90698799780018824</v>
      </c>
      <c r="BL22"/>
      <c r="BM22">
        <f t="shared" si="9"/>
        <v>11.660254033875001</v>
      </c>
      <c r="BN22">
        <f t="shared" si="10"/>
        <v>13.036642408312501</v>
      </c>
      <c r="BO22">
        <f t="shared" si="37"/>
        <v>13.237753631038782</v>
      </c>
      <c r="BP22" s="1791">
        <f t="shared" si="11"/>
        <v>0.51762701693750035</v>
      </c>
      <c r="BQ22" s="1791">
        <f t="shared" si="12"/>
        <v>1.2058212041562504</v>
      </c>
      <c r="BR22">
        <f t="shared" si="13"/>
        <v>1.3063768155193909</v>
      </c>
      <c r="BS22" s="1791">
        <f t="shared" si="14"/>
        <v>0.58225274421250006</v>
      </c>
      <c r="BT22" s="1791">
        <f t="shared" si="15"/>
        <v>1.1447527442125001</v>
      </c>
      <c r="BU22">
        <f t="shared" si="16"/>
        <v>1.2344199257983934</v>
      </c>
      <c r="BV22"/>
      <c r="BW22"/>
    </row>
    <row r="23" spans="1:75" ht="14.25" customHeight="1" x14ac:dyDescent="0.25">
      <c r="B23" s="1251">
        <v>11.75</v>
      </c>
      <c r="C23" s="1777">
        <v>12.75</v>
      </c>
      <c r="D23" s="1781">
        <v>12.75</v>
      </c>
      <c r="E23" s="1233" t="s">
        <v>765</v>
      </c>
      <c r="F23" s="1813">
        <v>13.625</v>
      </c>
      <c r="G23" s="1777">
        <v>0.25</v>
      </c>
      <c r="H23" s="1251" t="s">
        <v>734</v>
      </c>
      <c r="I23" s="1235">
        <v>0.75</v>
      </c>
      <c r="J23" s="1233">
        <v>65</v>
      </c>
      <c r="K23" s="1831">
        <f t="shared" si="38"/>
        <v>2.25</v>
      </c>
      <c r="L23" s="1832">
        <f t="shared" si="18"/>
        <v>16.125</v>
      </c>
      <c r="M23" s="1270" t="s">
        <v>735</v>
      </c>
      <c r="N23" s="1233" t="s">
        <v>736</v>
      </c>
      <c r="O23" s="1847">
        <f t="shared" ref="O23:P44" si="43">I23</f>
        <v>0.75</v>
      </c>
      <c r="P23" s="1848">
        <f t="shared" si="43"/>
        <v>65</v>
      </c>
      <c r="Q23" s="1282">
        <v>16</v>
      </c>
      <c r="R23" s="1251">
        <v>24</v>
      </c>
      <c r="S23" s="1831">
        <f t="shared" si="1"/>
        <v>10.5</v>
      </c>
      <c r="T23" s="1831">
        <f t="shared" si="19"/>
        <v>1.5</v>
      </c>
      <c r="U23" s="1286">
        <f t="shared" si="2"/>
        <v>1.5</v>
      </c>
      <c r="V23" s="1284">
        <v>2</v>
      </c>
      <c r="W23" s="1847">
        <f t="shared" si="39"/>
        <v>0.75</v>
      </c>
      <c r="X23" s="1234">
        <v>2.5</v>
      </c>
      <c r="Y23" s="1831">
        <v>65</v>
      </c>
      <c r="Z23" s="1866">
        <f>FLOOR(F23+W23,0.25)</f>
        <v>14.25</v>
      </c>
      <c r="AA23" s="1295">
        <v>12</v>
      </c>
      <c r="AB23" s="1391">
        <v>4.5</v>
      </c>
      <c r="AC23" s="1392">
        <v>3</v>
      </c>
      <c r="AD23" s="1219" t="s">
        <v>47</v>
      </c>
      <c r="AE23" s="1210">
        <v>1</v>
      </c>
      <c r="AF23" s="1910">
        <f t="shared" si="20"/>
        <v>1.125</v>
      </c>
      <c r="AG23" s="1911">
        <f t="shared" si="3"/>
        <v>3</v>
      </c>
      <c r="AH23" s="1912" t="s">
        <v>412</v>
      </c>
      <c r="AI23" s="1913" t="s">
        <v>413</v>
      </c>
      <c r="AJ23" s="1914" t="s">
        <v>413</v>
      </c>
      <c r="AK23" s="1915">
        <f t="shared" si="4"/>
        <v>6</v>
      </c>
      <c r="AL23" s="1916">
        <f t="shared" si="5"/>
        <v>5.25</v>
      </c>
      <c r="AM23" s="1917">
        <v>5.5</v>
      </c>
      <c r="AN23" s="1918">
        <v>1</v>
      </c>
      <c r="AO23" s="1919">
        <f t="shared" si="21"/>
        <v>10.625</v>
      </c>
      <c r="AP23" s="1920" t="str">
        <f t="shared" si="6"/>
        <v>PL 3/4 x 24 x 27 3/8</v>
      </c>
      <c r="AQ23" s="1921">
        <f t="shared" si="22"/>
        <v>153.29843683360787</v>
      </c>
      <c r="AR23" s="1922">
        <f t="shared" si="23"/>
        <v>159.23375216133604</v>
      </c>
      <c r="AT23" s="925">
        <f t="shared" si="7"/>
        <v>27.375</v>
      </c>
      <c r="AU23" s="925">
        <f t="shared" si="24"/>
        <v>11.928234606598746</v>
      </c>
      <c r="AV23" s="925">
        <f t="shared" si="25"/>
        <v>25.329090769567706</v>
      </c>
      <c r="AW23">
        <f t="shared" si="17"/>
        <v>137.20676449917647</v>
      </c>
      <c r="AX23">
        <f t="shared" si="26"/>
        <v>131.8192668924894</v>
      </c>
      <c r="AY23">
        <f>2*W23*(X23*Q23-K23^2*(2-PI()/2))*0.2836</f>
        <v>16.091672334431404</v>
      </c>
      <c r="AZ23">
        <f t="shared" si="28"/>
        <v>18.401254014431405</v>
      </c>
      <c r="BA23">
        <f t="shared" si="29"/>
        <v>0.75</v>
      </c>
      <c r="BB23">
        <f t="shared" si="8"/>
        <v>3</v>
      </c>
      <c r="BC23" s="1801">
        <f t="shared" si="30"/>
        <v>9.5262490344437456E-2</v>
      </c>
      <c r="BE23">
        <v>0.1875</v>
      </c>
      <c r="BF23">
        <f t="shared" si="31"/>
        <v>12.25</v>
      </c>
      <c r="BG23">
        <f t="shared" si="32"/>
        <v>13.25</v>
      </c>
      <c r="BH23">
        <f t="shared" si="33"/>
        <v>13.454402607486122</v>
      </c>
      <c r="BI23" s="1805">
        <f t="shared" si="34"/>
        <v>0.3125</v>
      </c>
      <c r="BJ23" s="1801">
        <f t="shared" si="35"/>
        <v>0.8125</v>
      </c>
      <c r="BK23">
        <f t="shared" si="36"/>
        <v>0.91470130374306091</v>
      </c>
      <c r="BM23">
        <f t="shared" si="9"/>
        <v>12.680979975750001</v>
      </c>
      <c r="BN23">
        <f t="shared" si="10"/>
        <v>14.057368350187499</v>
      </c>
      <c r="BO23">
        <f t="shared" si="37"/>
        <v>14.274225915860796</v>
      </c>
      <c r="BP23" s="1791">
        <f t="shared" si="11"/>
        <v>0.52798998787500029</v>
      </c>
      <c r="BQ23" s="1791">
        <f t="shared" si="12"/>
        <v>1.2161841750937494</v>
      </c>
      <c r="BR23">
        <f t="shared" si="13"/>
        <v>1.3246129579303982</v>
      </c>
      <c r="BS23" s="1791">
        <f t="shared" si="14"/>
        <v>0.52424004231249999</v>
      </c>
      <c r="BT23" s="1791">
        <f t="shared" si="15"/>
        <v>1.0867400423125</v>
      </c>
      <c r="BU23">
        <f t="shared" si="16"/>
        <v>1.1821922033555472</v>
      </c>
    </row>
    <row r="24" spans="1:75" s="1809" customFormat="1" ht="14.25" customHeight="1" x14ac:dyDescent="0.25">
      <c r="A24" s="1806"/>
      <c r="B24" s="1252">
        <v>12</v>
      </c>
      <c r="C24" s="1776">
        <v>13</v>
      </c>
      <c r="D24" s="1780">
        <v>13</v>
      </c>
      <c r="E24" s="1239" t="s">
        <v>765</v>
      </c>
      <c r="F24" s="1814">
        <v>13.625</v>
      </c>
      <c r="G24" s="1776">
        <v>0.375</v>
      </c>
      <c r="H24" s="1252" t="s">
        <v>737</v>
      </c>
      <c r="I24" s="1241">
        <v>1</v>
      </c>
      <c r="J24" s="1239">
        <v>65</v>
      </c>
      <c r="K24" s="1829">
        <f t="shared" si="38"/>
        <v>3</v>
      </c>
      <c r="L24" s="1830">
        <f t="shared" si="18"/>
        <v>17.125</v>
      </c>
      <c r="M24" s="1271" t="s">
        <v>738</v>
      </c>
      <c r="N24" s="1239" t="s">
        <v>739</v>
      </c>
      <c r="O24" s="1833">
        <f t="shared" si="43"/>
        <v>1</v>
      </c>
      <c r="P24" s="1846">
        <f t="shared" si="43"/>
        <v>65</v>
      </c>
      <c r="Q24" s="1283">
        <v>17</v>
      </c>
      <c r="R24" s="1252">
        <v>24.5</v>
      </c>
      <c r="S24" s="1829">
        <f t="shared" si="1"/>
        <v>10.5</v>
      </c>
      <c r="T24" s="1829">
        <f t="shared" si="19"/>
        <v>1.75</v>
      </c>
      <c r="U24" s="1287">
        <f t="shared" si="2"/>
        <v>1.75</v>
      </c>
      <c r="V24" s="1285">
        <v>2</v>
      </c>
      <c r="W24" s="1833">
        <f t="shared" si="39"/>
        <v>1</v>
      </c>
      <c r="X24" s="1240">
        <v>3</v>
      </c>
      <c r="Y24" s="1829">
        <f t="shared" ref="Y24:Y44" si="44">J24</f>
        <v>65</v>
      </c>
      <c r="Z24" s="1865">
        <f t="shared" ref="Z24:Z44" si="45">F24+W24</f>
        <v>14.625</v>
      </c>
      <c r="AA24" s="1296">
        <v>12</v>
      </c>
      <c r="AB24" s="1381">
        <v>3.5</v>
      </c>
      <c r="AC24" s="1382">
        <v>3.5</v>
      </c>
      <c r="AD24" s="1211" t="s">
        <v>47</v>
      </c>
      <c r="AE24" s="1212">
        <v>1.25</v>
      </c>
      <c r="AF24" s="1897">
        <f t="shared" si="20"/>
        <v>1.375</v>
      </c>
      <c r="AG24" s="1898">
        <f t="shared" si="3"/>
        <v>3.75</v>
      </c>
      <c r="AH24" s="1899" t="s">
        <v>412</v>
      </c>
      <c r="AI24" s="1900" t="s">
        <v>413</v>
      </c>
      <c r="AJ24" s="1901" t="s">
        <v>413</v>
      </c>
      <c r="AK24" s="1902">
        <f t="shared" si="4"/>
        <v>7</v>
      </c>
      <c r="AL24" s="1903">
        <f t="shared" si="5"/>
        <v>6.25</v>
      </c>
      <c r="AM24" s="1904">
        <v>6</v>
      </c>
      <c r="AN24" s="1905">
        <v>1</v>
      </c>
      <c r="AO24" s="1906">
        <f t="shared" si="21"/>
        <v>10.625</v>
      </c>
      <c r="AP24" s="1907" t="str">
        <f t="shared" si="6"/>
        <v>PL 1 x 24 1/2 x 30</v>
      </c>
      <c r="AQ24" s="1908">
        <f t="shared" si="22"/>
        <v>230.12881186104482</v>
      </c>
      <c r="AR24" s="1909">
        <f t="shared" si="23"/>
        <v>238.52944168416781</v>
      </c>
      <c r="AS24" s="162"/>
      <c r="AT24" s="925">
        <f t="shared" si="7"/>
        <v>30</v>
      </c>
      <c r="AU24" s="925">
        <f t="shared" si="24"/>
        <v>17.81872083207961</v>
      </c>
      <c r="AV24" s="925">
        <f t="shared" si="25"/>
        <v>29.845130209103033</v>
      </c>
      <c r="AW24">
        <f t="shared" si="17"/>
        <v>203.39261077202224</v>
      </c>
      <c r="AX24">
        <f t="shared" si="26"/>
        <v>194.92853184472062</v>
      </c>
      <c r="AY24">
        <f t="shared" ref="AY24:AY44" si="46">2*W24*(X24*Q24-K24^2*(2-PI()/2))*0.2836</f>
        <v>26.73620108902259</v>
      </c>
      <c r="AZ24">
        <f t="shared" si="28"/>
        <v>30.099243329022592</v>
      </c>
      <c r="BA24">
        <f t="shared" si="29"/>
        <v>0.875</v>
      </c>
      <c r="BB24">
        <f t="shared" si="8"/>
        <v>4</v>
      </c>
      <c r="BC24" s="1801">
        <f t="shared" si="30"/>
        <v>9.6876251001001279E-2</v>
      </c>
      <c r="BD24"/>
      <c r="BE24">
        <v>0.3125</v>
      </c>
      <c r="BF24">
        <f t="shared" si="31"/>
        <v>12.25</v>
      </c>
      <c r="BG24">
        <f t="shared" si="32"/>
        <v>13</v>
      </c>
      <c r="BH24">
        <f t="shared" si="33"/>
        <v>13.200545954514686</v>
      </c>
      <c r="BI24" s="1805">
        <f t="shared" si="34"/>
        <v>0.3125</v>
      </c>
      <c r="BJ24" s="1801">
        <f t="shared" si="35"/>
        <v>0.6875</v>
      </c>
      <c r="BK24">
        <f t="shared" si="36"/>
        <v>0.78777297725734297</v>
      </c>
      <c r="BL24"/>
      <c r="BM24">
        <f t="shared" si="9"/>
        <v>12.526279437375001</v>
      </c>
      <c r="BN24">
        <f t="shared" si="10"/>
        <v>13.902667811812499</v>
      </c>
      <c r="BO24">
        <f t="shared" si="37"/>
        <v>14.117138872321771</v>
      </c>
      <c r="BP24" s="1791">
        <f t="shared" si="11"/>
        <v>0.45063971868750041</v>
      </c>
      <c r="BQ24" s="1791">
        <f t="shared" si="12"/>
        <v>1.1388339059062496</v>
      </c>
      <c r="BR24">
        <f t="shared" si="13"/>
        <v>1.2460694361608855</v>
      </c>
      <c r="BS24" s="1791">
        <f t="shared" si="14"/>
        <v>0.52424004231249999</v>
      </c>
      <c r="BT24" s="1791">
        <f t="shared" si="15"/>
        <v>1.0867400423125</v>
      </c>
      <c r="BU24">
        <f t="shared" si="16"/>
        <v>1.1821922033555472</v>
      </c>
      <c r="BV24"/>
      <c r="BW24"/>
    </row>
    <row r="25" spans="1:75" ht="14.25" customHeight="1" x14ac:dyDescent="0.25">
      <c r="B25" s="1251">
        <v>12.75</v>
      </c>
      <c r="C25" s="1777">
        <v>13.75</v>
      </c>
      <c r="D25" s="1781">
        <v>13.75</v>
      </c>
      <c r="E25" s="1233">
        <v>14</v>
      </c>
      <c r="F25" s="1813">
        <v>14.375</v>
      </c>
      <c r="G25" s="1777">
        <v>0.25</v>
      </c>
      <c r="H25" s="1251" t="s">
        <v>314</v>
      </c>
      <c r="I25" s="1235">
        <v>1</v>
      </c>
      <c r="J25" s="1233">
        <v>65</v>
      </c>
      <c r="K25" s="1831">
        <f t="shared" si="38"/>
        <v>3</v>
      </c>
      <c r="L25" s="1832">
        <f t="shared" si="18"/>
        <v>18.125</v>
      </c>
      <c r="M25" s="1270" t="s">
        <v>342</v>
      </c>
      <c r="N25" s="1233" t="s">
        <v>368</v>
      </c>
      <c r="O25" s="1847">
        <f t="shared" si="43"/>
        <v>1</v>
      </c>
      <c r="P25" s="1848">
        <f t="shared" si="43"/>
        <v>65</v>
      </c>
      <c r="Q25" s="1282">
        <v>18</v>
      </c>
      <c r="R25" s="1251">
        <v>24.5</v>
      </c>
      <c r="S25" s="1831">
        <f t="shared" si="1"/>
        <v>10.5</v>
      </c>
      <c r="T25" s="1831">
        <f t="shared" si="19"/>
        <v>1.75</v>
      </c>
      <c r="U25" s="1286">
        <f t="shared" si="2"/>
        <v>1.75</v>
      </c>
      <c r="V25" s="1284">
        <v>2</v>
      </c>
      <c r="W25" s="1847">
        <f t="shared" si="39"/>
        <v>1</v>
      </c>
      <c r="X25" s="1234">
        <v>3</v>
      </c>
      <c r="Y25" s="1831">
        <f t="shared" si="44"/>
        <v>65</v>
      </c>
      <c r="Z25" s="1866">
        <f t="shared" si="45"/>
        <v>15.375</v>
      </c>
      <c r="AA25" s="1298">
        <v>12</v>
      </c>
      <c r="AB25" s="1383">
        <v>3.5</v>
      </c>
      <c r="AC25" s="1384">
        <v>3.5</v>
      </c>
      <c r="AD25" s="1213" t="s">
        <v>47</v>
      </c>
      <c r="AE25" s="1214">
        <v>1.25</v>
      </c>
      <c r="AF25" s="1923">
        <f t="shared" si="20"/>
        <v>1.375</v>
      </c>
      <c r="AG25" s="1924">
        <f t="shared" si="3"/>
        <v>3.75</v>
      </c>
      <c r="AH25" s="1925" t="s">
        <v>412</v>
      </c>
      <c r="AI25" s="1926" t="s">
        <v>413</v>
      </c>
      <c r="AJ25" s="1927" t="s">
        <v>413</v>
      </c>
      <c r="AK25" s="1928">
        <f t="shared" si="4"/>
        <v>7</v>
      </c>
      <c r="AL25" s="1929">
        <f t="shared" si="5"/>
        <v>6.25</v>
      </c>
      <c r="AM25" s="1930">
        <v>6</v>
      </c>
      <c r="AN25" s="1931">
        <v>1</v>
      </c>
      <c r="AO25" s="1932">
        <f t="shared" si="21"/>
        <v>11.625</v>
      </c>
      <c r="AP25" s="1933" t="str">
        <f t="shared" si="6"/>
        <v>PL 1 x 24 1/2 x 31</v>
      </c>
      <c r="AQ25" s="1921">
        <f t="shared" si="22"/>
        <v>238.77861186104482</v>
      </c>
      <c r="AR25" s="1934">
        <f t="shared" si="23"/>
        <v>247.99884568416778</v>
      </c>
      <c r="AT25" s="925">
        <f t="shared" si="7"/>
        <v>31</v>
      </c>
      <c r="AU25" s="925">
        <f t="shared" si="24"/>
        <v>17.81872083207961</v>
      </c>
      <c r="AV25" s="925">
        <f t="shared" si="25"/>
        <v>29.845130209103033</v>
      </c>
      <c r="AW25">
        <f t="shared" si="17"/>
        <v>210.34081077202222</v>
      </c>
      <c r="AX25">
        <f t="shared" si="26"/>
        <v>201.87673184472061</v>
      </c>
      <c r="AY25">
        <f t="shared" si="46"/>
        <v>28.437801089022592</v>
      </c>
      <c r="AZ25">
        <f t="shared" si="28"/>
        <v>32.084443329022591</v>
      </c>
      <c r="BA25">
        <f t="shared" si="29"/>
        <v>0.875</v>
      </c>
      <c r="BB25">
        <f t="shared" si="8"/>
        <v>4</v>
      </c>
      <c r="BC25" s="1801">
        <f t="shared" si="30"/>
        <v>9.6876251001001279E-2</v>
      </c>
      <c r="BE25">
        <v>0.25</v>
      </c>
      <c r="BF25">
        <f t="shared" si="31"/>
        <v>13.25</v>
      </c>
      <c r="BG25">
        <f t="shared" si="32"/>
        <v>13.875</v>
      </c>
      <c r="BH25">
        <f t="shared" si="33"/>
        <v>14.089044239914712</v>
      </c>
      <c r="BI25" s="1805">
        <f t="shared" si="34"/>
        <v>0.3125</v>
      </c>
      <c r="BJ25" s="1801">
        <f t="shared" si="35"/>
        <v>0.625</v>
      </c>
      <c r="BK25">
        <f t="shared" si="36"/>
        <v>0.73202211995735578</v>
      </c>
      <c r="BM25">
        <f t="shared" si="9"/>
        <v>13.835680513749999</v>
      </c>
      <c r="BN25">
        <f t="shared" si="10"/>
        <v>14.990381051749999</v>
      </c>
      <c r="BO25">
        <f t="shared" si="37"/>
        <v>15.221631842254773</v>
      </c>
      <c r="BP25" s="1791">
        <f t="shared" si="11"/>
        <v>0.60534025687499948</v>
      </c>
      <c r="BQ25" s="1791">
        <f t="shared" si="12"/>
        <v>1.1826905258749996</v>
      </c>
      <c r="BR25">
        <f t="shared" si="13"/>
        <v>1.2983159211273865</v>
      </c>
      <c r="BS25" s="1791">
        <f t="shared" si="14"/>
        <v>0.59122734041249991</v>
      </c>
      <c r="BT25" s="1791">
        <f t="shared" si="15"/>
        <v>1.0912273404124999</v>
      </c>
      <c r="BU25">
        <f t="shared" si="16"/>
        <v>1.1934286441555608</v>
      </c>
    </row>
    <row r="26" spans="1:75" ht="14.25" customHeight="1" x14ac:dyDescent="0.25">
      <c r="B26" s="1252">
        <v>12.75</v>
      </c>
      <c r="C26" s="1776">
        <v>13.75</v>
      </c>
      <c r="D26" s="1780">
        <v>13.75</v>
      </c>
      <c r="E26" s="1239" t="s">
        <v>766</v>
      </c>
      <c r="F26" s="1814">
        <v>14.625</v>
      </c>
      <c r="G26" s="1776">
        <v>0.375</v>
      </c>
      <c r="H26" s="1252" t="s">
        <v>315</v>
      </c>
      <c r="I26" s="1241">
        <v>1</v>
      </c>
      <c r="J26" s="1239">
        <v>65</v>
      </c>
      <c r="K26" s="1829">
        <f t="shared" si="38"/>
        <v>3</v>
      </c>
      <c r="L26" s="1830">
        <f t="shared" si="18"/>
        <v>18.125</v>
      </c>
      <c r="M26" s="1271" t="s">
        <v>343</v>
      </c>
      <c r="N26" s="1239" t="s">
        <v>369</v>
      </c>
      <c r="O26" s="1833">
        <f t="shared" si="43"/>
        <v>1</v>
      </c>
      <c r="P26" s="1846">
        <f t="shared" si="43"/>
        <v>65</v>
      </c>
      <c r="Q26" s="1283">
        <v>18</v>
      </c>
      <c r="R26" s="1252">
        <v>24</v>
      </c>
      <c r="S26" s="1829">
        <f t="shared" si="1"/>
        <v>10</v>
      </c>
      <c r="T26" s="1829">
        <f t="shared" si="19"/>
        <v>2</v>
      </c>
      <c r="U26" s="1287">
        <f t="shared" si="2"/>
        <v>2</v>
      </c>
      <c r="V26" s="1285">
        <v>2</v>
      </c>
      <c r="W26" s="1833">
        <f t="shared" si="39"/>
        <v>1</v>
      </c>
      <c r="X26" s="1240">
        <v>3</v>
      </c>
      <c r="Y26" s="1829">
        <f t="shared" si="44"/>
        <v>65</v>
      </c>
      <c r="Z26" s="1865">
        <f t="shared" si="45"/>
        <v>15.625</v>
      </c>
      <c r="AA26" s="1300">
        <v>8</v>
      </c>
      <c r="AB26" s="1385">
        <v>6</v>
      </c>
      <c r="AC26" s="1386">
        <v>4</v>
      </c>
      <c r="AD26" s="1215" t="s">
        <v>47</v>
      </c>
      <c r="AE26" s="1216">
        <v>1.5</v>
      </c>
      <c r="AF26" s="1935">
        <f t="shared" si="20"/>
        <v>1.625</v>
      </c>
      <c r="AG26" s="1936">
        <f t="shared" si="3"/>
        <v>4</v>
      </c>
      <c r="AH26" s="1937" t="s">
        <v>412</v>
      </c>
      <c r="AI26" s="1938" t="s">
        <v>413</v>
      </c>
      <c r="AJ26" s="1939" t="s">
        <v>413</v>
      </c>
      <c r="AK26" s="1940">
        <f t="shared" si="4"/>
        <v>7.5</v>
      </c>
      <c r="AL26" s="1941">
        <f t="shared" si="5"/>
        <v>6.5</v>
      </c>
      <c r="AM26" s="1942">
        <v>6</v>
      </c>
      <c r="AN26" s="1943">
        <v>1</v>
      </c>
      <c r="AO26" s="1944">
        <f t="shared" si="21"/>
        <v>11.375</v>
      </c>
      <c r="AP26" s="1945" t="str">
        <f t="shared" si="6"/>
        <v>PL 1 x 24 x 32</v>
      </c>
      <c r="AQ26" s="1908">
        <f t="shared" si="22"/>
        <v>241.53724142220034</v>
      </c>
      <c r="AR26" s="1946">
        <f t="shared" si="23"/>
        <v>250.92299301899266</v>
      </c>
      <c r="AT26" s="925">
        <f t="shared" si="7"/>
        <v>32</v>
      </c>
      <c r="AU26" s="925">
        <f t="shared" si="24"/>
        <v>16.591536201771095</v>
      </c>
      <c r="AV26" s="925">
        <f t="shared" si="25"/>
        <v>29.845130209103033</v>
      </c>
      <c r="AW26">
        <f t="shared" si="17"/>
        <v>213.09944033317774</v>
      </c>
      <c r="AX26">
        <f t="shared" si="26"/>
        <v>204.63536140587613</v>
      </c>
      <c r="AY26">
        <f t="shared" si="46"/>
        <v>28.437801089022592</v>
      </c>
      <c r="AZ26">
        <f t="shared" si="28"/>
        <v>32.084443329022591</v>
      </c>
      <c r="BA26">
        <f t="shared" si="29"/>
        <v>0.875</v>
      </c>
      <c r="BB26">
        <f t="shared" si="8"/>
        <v>4</v>
      </c>
      <c r="BC26" s="1801">
        <f t="shared" si="30"/>
        <v>9.6876251001001279E-2</v>
      </c>
      <c r="BE26">
        <v>0.3125</v>
      </c>
      <c r="BF26">
        <f t="shared" si="31"/>
        <v>13</v>
      </c>
      <c r="BG26">
        <f t="shared" si="32"/>
        <v>14</v>
      </c>
      <c r="BH26">
        <f t="shared" si="33"/>
        <v>14.215972566400429</v>
      </c>
      <c r="BI26" s="1805">
        <f t="shared" si="34"/>
        <v>0.3125</v>
      </c>
      <c r="BJ26" s="1801">
        <f t="shared" si="35"/>
        <v>0.8125</v>
      </c>
      <c r="BK26">
        <f t="shared" si="36"/>
        <v>0.92048628320021475</v>
      </c>
      <c r="BM26">
        <f t="shared" si="9"/>
        <v>13.392304840874999</v>
      </c>
      <c r="BN26">
        <f t="shared" si="10"/>
        <v>14.768693215312499</v>
      </c>
      <c r="BO26">
        <f t="shared" si="37"/>
        <v>14.99652411360476</v>
      </c>
      <c r="BP26" s="1791">
        <f t="shared" si="11"/>
        <v>0.50865242043749959</v>
      </c>
      <c r="BQ26" s="1791">
        <f t="shared" si="12"/>
        <v>1.1968466076562496</v>
      </c>
      <c r="BR26">
        <f t="shared" si="13"/>
        <v>1.3107620568023801</v>
      </c>
      <c r="BS26" s="1791">
        <f t="shared" si="14"/>
        <v>0.57448051588750015</v>
      </c>
      <c r="BT26" s="1791">
        <f t="shared" si="15"/>
        <v>1.1369805158875002</v>
      </c>
      <c r="BU26">
        <f t="shared" si="16"/>
        <v>1.2382176563877021</v>
      </c>
    </row>
    <row r="27" spans="1:75" s="1809" customFormat="1" ht="14.25" customHeight="1" x14ac:dyDescent="0.25">
      <c r="A27" s="1806"/>
      <c r="B27" s="1251">
        <v>13.5</v>
      </c>
      <c r="C27" s="1777">
        <v>14.5</v>
      </c>
      <c r="D27" s="1781">
        <v>14.5</v>
      </c>
      <c r="E27" s="1233" t="s">
        <v>781</v>
      </c>
      <c r="F27" s="1813">
        <v>15.5</v>
      </c>
      <c r="G27" s="1777">
        <v>0.25</v>
      </c>
      <c r="H27" s="1251" t="s">
        <v>740</v>
      </c>
      <c r="I27" s="1235">
        <v>1</v>
      </c>
      <c r="J27" s="1233">
        <v>65</v>
      </c>
      <c r="K27" s="1831">
        <f t="shared" si="38"/>
        <v>3</v>
      </c>
      <c r="L27" s="1832">
        <f t="shared" si="18"/>
        <v>19.125</v>
      </c>
      <c r="M27" s="1270" t="s">
        <v>741</v>
      </c>
      <c r="N27" s="1233" t="s">
        <v>742</v>
      </c>
      <c r="O27" s="1847">
        <f t="shared" si="43"/>
        <v>1</v>
      </c>
      <c r="P27" s="1848">
        <f t="shared" si="43"/>
        <v>65</v>
      </c>
      <c r="Q27" s="1282">
        <v>19</v>
      </c>
      <c r="R27" s="1251">
        <v>24</v>
      </c>
      <c r="S27" s="1831">
        <f t="shared" si="1"/>
        <v>10</v>
      </c>
      <c r="T27" s="1831">
        <f t="shared" si="19"/>
        <v>2</v>
      </c>
      <c r="U27" s="1286">
        <f t="shared" si="2"/>
        <v>2</v>
      </c>
      <c r="V27" s="1284">
        <v>2</v>
      </c>
      <c r="W27" s="1847">
        <f t="shared" si="39"/>
        <v>1</v>
      </c>
      <c r="X27" s="1234">
        <v>3</v>
      </c>
      <c r="Y27" s="1831">
        <f t="shared" si="44"/>
        <v>65</v>
      </c>
      <c r="Z27" s="1866">
        <f t="shared" si="45"/>
        <v>16.5</v>
      </c>
      <c r="AA27" s="1302">
        <v>8</v>
      </c>
      <c r="AB27" s="1387">
        <v>6</v>
      </c>
      <c r="AC27" s="1388">
        <v>4</v>
      </c>
      <c r="AD27" s="1823" t="s">
        <v>47</v>
      </c>
      <c r="AE27" s="1824">
        <v>1.5</v>
      </c>
      <c r="AF27" s="1947">
        <f t="shared" si="20"/>
        <v>1.625</v>
      </c>
      <c r="AG27" s="1948">
        <f t="shared" si="3"/>
        <v>4</v>
      </c>
      <c r="AH27" s="1949" t="s">
        <v>412</v>
      </c>
      <c r="AI27" s="1950" t="s">
        <v>413</v>
      </c>
      <c r="AJ27" s="1951" t="s">
        <v>413</v>
      </c>
      <c r="AK27" s="1952">
        <f t="shared" si="4"/>
        <v>7.5</v>
      </c>
      <c r="AL27" s="1953">
        <f t="shared" si="5"/>
        <v>6.5</v>
      </c>
      <c r="AM27" s="1954">
        <v>6.5</v>
      </c>
      <c r="AN27" s="1955">
        <v>1</v>
      </c>
      <c r="AO27" s="1956">
        <f t="shared" si="21"/>
        <v>12.375</v>
      </c>
      <c r="AP27" s="1957" t="str">
        <f t="shared" si="6"/>
        <v>PL 1 x 24 x 33</v>
      </c>
      <c r="AQ27" s="1921">
        <f t="shared" si="22"/>
        <v>250.04524142220032</v>
      </c>
      <c r="AR27" s="1958">
        <f t="shared" si="23"/>
        <v>258.76644367969334</v>
      </c>
      <c r="AS27" s="162"/>
      <c r="AT27" s="925">
        <f t="shared" si="7"/>
        <v>33</v>
      </c>
      <c r="AU27" s="925">
        <f t="shared" si="24"/>
        <v>16.591536201771095</v>
      </c>
      <c r="AV27" s="925">
        <f t="shared" si="25"/>
        <v>34.753868730337089</v>
      </c>
      <c r="AW27">
        <f t="shared" si="17"/>
        <v>219.90584033317774</v>
      </c>
      <c r="AX27">
        <f t="shared" si="26"/>
        <v>210.04964316125412</v>
      </c>
      <c r="AY27">
        <f t="shared" si="46"/>
        <v>30.139401089022591</v>
      </c>
      <c r="AZ27">
        <f t="shared" si="28"/>
        <v>34.06964332902259</v>
      </c>
      <c r="BA27">
        <f t="shared" si="29"/>
        <v>0.9375</v>
      </c>
      <c r="BB27">
        <f t="shared" si="8"/>
        <v>4</v>
      </c>
      <c r="BC27" s="1801">
        <f t="shared" si="30"/>
        <v>0.11141494242442995</v>
      </c>
      <c r="BD27"/>
      <c r="BE27">
        <v>0.25</v>
      </c>
      <c r="BF27">
        <f t="shared" si="31"/>
        <v>14</v>
      </c>
      <c r="BG27">
        <f t="shared" si="32"/>
        <v>15</v>
      </c>
      <c r="BH27">
        <f t="shared" si="33"/>
        <v>15.231399178286175</v>
      </c>
      <c r="BI27" s="1805">
        <f t="shared" si="34"/>
        <v>0.3125</v>
      </c>
      <c r="BJ27" s="1801">
        <f t="shared" si="35"/>
        <v>0.8125</v>
      </c>
      <c r="BK27">
        <f t="shared" si="36"/>
        <v>0.92819958914308742</v>
      </c>
      <c r="BL27"/>
      <c r="BM27">
        <f t="shared" si="9"/>
        <v>14.701705917249999</v>
      </c>
      <c r="BN27">
        <f t="shared" si="10"/>
        <v>15.856406455249999</v>
      </c>
      <c r="BO27">
        <f t="shared" si="37"/>
        <v>16.101017083537762</v>
      </c>
      <c r="BP27" s="1791">
        <f t="shared" si="11"/>
        <v>0.66335295862499954</v>
      </c>
      <c r="BQ27" s="1791">
        <f t="shared" si="12"/>
        <v>1.2407032276249996</v>
      </c>
      <c r="BR27">
        <f t="shared" si="13"/>
        <v>1.3630085417688811</v>
      </c>
      <c r="BS27" s="1791">
        <f t="shared" si="14"/>
        <v>0.64146781398750008</v>
      </c>
      <c r="BT27" s="1791">
        <f t="shared" si="15"/>
        <v>1.1414678139875001</v>
      </c>
      <c r="BU27">
        <f t="shared" si="16"/>
        <v>1.2494540971877148</v>
      </c>
      <c r="BV27"/>
      <c r="BW27"/>
    </row>
    <row r="28" spans="1:75" s="1809" customFormat="1" ht="14.25" customHeight="1" x14ac:dyDescent="0.25">
      <c r="A28" s="1806"/>
      <c r="B28" s="1252">
        <v>13.5</v>
      </c>
      <c r="C28" s="1776">
        <v>14.5</v>
      </c>
      <c r="D28" s="1780">
        <v>14.75</v>
      </c>
      <c r="E28" s="1239" t="s">
        <v>767</v>
      </c>
      <c r="F28" s="1814">
        <v>15.625</v>
      </c>
      <c r="G28" s="1776">
        <v>0.375</v>
      </c>
      <c r="H28" s="1252" t="s">
        <v>743</v>
      </c>
      <c r="I28" s="1241">
        <v>1</v>
      </c>
      <c r="J28" s="1239">
        <v>65</v>
      </c>
      <c r="K28" s="1833">
        <f>3*I28</f>
        <v>3</v>
      </c>
      <c r="L28" s="1830">
        <f t="shared" si="18"/>
        <v>19.125</v>
      </c>
      <c r="M28" s="1271" t="s">
        <v>744</v>
      </c>
      <c r="N28" s="1239" t="s">
        <v>745</v>
      </c>
      <c r="O28" s="1833">
        <f t="shared" si="43"/>
        <v>1</v>
      </c>
      <c r="P28" s="1846">
        <f t="shared" si="43"/>
        <v>65</v>
      </c>
      <c r="Q28" s="1283">
        <v>19</v>
      </c>
      <c r="R28" s="1252">
        <v>28</v>
      </c>
      <c r="S28" s="1829">
        <f t="shared" si="1"/>
        <v>12</v>
      </c>
      <c r="T28" s="1829">
        <f t="shared" si="19"/>
        <v>2</v>
      </c>
      <c r="U28" s="1287">
        <f t="shared" si="2"/>
        <v>2</v>
      </c>
      <c r="V28" s="1285">
        <v>2</v>
      </c>
      <c r="W28" s="1833">
        <f t="shared" si="39"/>
        <v>1</v>
      </c>
      <c r="X28" s="1240">
        <v>3</v>
      </c>
      <c r="Y28" s="1829">
        <f t="shared" si="44"/>
        <v>65</v>
      </c>
      <c r="Z28" s="1865">
        <f t="shared" si="45"/>
        <v>16.625</v>
      </c>
      <c r="AA28" s="1304">
        <v>12</v>
      </c>
      <c r="AB28" s="1389">
        <v>4</v>
      </c>
      <c r="AC28" s="1390">
        <v>4</v>
      </c>
      <c r="AD28" s="1217" t="s">
        <v>47</v>
      </c>
      <c r="AE28" s="1218">
        <v>1.5</v>
      </c>
      <c r="AF28" s="1959">
        <f t="shared" si="20"/>
        <v>1.625</v>
      </c>
      <c r="AG28" s="1960">
        <f t="shared" si="3"/>
        <v>4</v>
      </c>
      <c r="AH28" s="1961" t="s">
        <v>412</v>
      </c>
      <c r="AI28" s="1962" t="s">
        <v>413</v>
      </c>
      <c r="AJ28" s="1963" t="s">
        <v>413</v>
      </c>
      <c r="AK28" s="1964">
        <f t="shared" si="4"/>
        <v>7.5</v>
      </c>
      <c r="AL28" s="1965">
        <f t="shared" si="5"/>
        <v>6.5</v>
      </c>
      <c r="AM28" s="1966">
        <v>6.5</v>
      </c>
      <c r="AN28" s="1967">
        <v>1</v>
      </c>
      <c r="AO28" s="1968">
        <f t="shared" si="21"/>
        <v>12.375</v>
      </c>
      <c r="AP28" s="1969" t="str">
        <f t="shared" si="6"/>
        <v>PL 1 x 28 x 33</v>
      </c>
      <c r="AQ28" s="1908">
        <f t="shared" si="22"/>
        <v>285.12776158878921</v>
      </c>
      <c r="AR28" s="1970">
        <f t="shared" si="23"/>
        <v>295.95391505627754</v>
      </c>
      <c r="AS28" s="162"/>
      <c r="AT28" s="925">
        <f t="shared" si="7"/>
        <v>33</v>
      </c>
      <c r="AU28" s="925">
        <f t="shared" si="24"/>
        <v>24.887304302656641</v>
      </c>
      <c r="AV28" s="925">
        <f t="shared" si="25"/>
        <v>34.753868730337089</v>
      </c>
      <c r="AW28">
        <f t="shared" si="17"/>
        <v>254.9883604997666</v>
      </c>
      <c r="AX28">
        <f t="shared" si="26"/>
        <v>245.13216332784299</v>
      </c>
      <c r="AY28">
        <f t="shared" si="46"/>
        <v>30.139401089022591</v>
      </c>
      <c r="AZ28">
        <f t="shared" si="28"/>
        <v>34.06964332902259</v>
      </c>
      <c r="BA28">
        <f t="shared" si="29"/>
        <v>0.875</v>
      </c>
      <c r="BB28">
        <f t="shared" si="8"/>
        <v>4</v>
      </c>
      <c r="BC28" s="1801">
        <f t="shared" si="30"/>
        <v>9.6876251001001279E-2</v>
      </c>
      <c r="BD28"/>
      <c r="BE28">
        <v>0.3125</v>
      </c>
      <c r="BF28">
        <f t="shared" si="31"/>
        <v>14</v>
      </c>
      <c r="BG28">
        <f t="shared" si="32"/>
        <v>15</v>
      </c>
      <c r="BH28">
        <f t="shared" si="33"/>
        <v>15.231399178286175</v>
      </c>
      <c r="BI28" s="1805">
        <f t="shared" si="34"/>
        <v>0.3125</v>
      </c>
      <c r="BJ28" s="1801">
        <f t="shared" si="35"/>
        <v>0.8125</v>
      </c>
      <c r="BK28">
        <f t="shared" si="36"/>
        <v>0.92819958914308742</v>
      </c>
      <c r="BL28"/>
      <c r="BM28">
        <f t="shared" si="9"/>
        <v>14.258330244374999</v>
      </c>
      <c r="BN28">
        <f t="shared" si="10"/>
        <v>15.634718618812501</v>
      </c>
      <c r="BO28">
        <f t="shared" si="37"/>
        <v>15.875909354887753</v>
      </c>
      <c r="BP28" s="1791">
        <f t="shared" si="11"/>
        <v>0.44166512218749965</v>
      </c>
      <c r="BQ28" s="1791">
        <f t="shared" si="12"/>
        <v>1.1298593094062506</v>
      </c>
      <c r="BR28">
        <f t="shared" si="13"/>
        <v>1.2504546774438765</v>
      </c>
      <c r="BS28" s="1791">
        <f t="shared" si="14"/>
        <v>0.51646781398750008</v>
      </c>
      <c r="BT28" s="1791">
        <f t="shared" si="15"/>
        <v>1.0789678139875001</v>
      </c>
      <c r="BU28">
        <f t="shared" si="16"/>
        <v>1.1859899339448559</v>
      </c>
      <c r="BV28"/>
      <c r="BW28"/>
    </row>
    <row r="29" spans="1:75" s="1809" customFormat="1" ht="14.25" customHeight="1" x14ac:dyDescent="0.25">
      <c r="A29" s="1806"/>
      <c r="B29" s="1251">
        <v>15</v>
      </c>
      <c r="C29" s="1777">
        <v>16</v>
      </c>
      <c r="D29" s="1781">
        <v>16</v>
      </c>
      <c r="E29" s="1233" t="s">
        <v>768</v>
      </c>
      <c r="F29" s="1813">
        <v>17.375</v>
      </c>
      <c r="G29" s="1777">
        <v>0.25</v>
      </c>
      <c r="H29" s="1251" t="s">
        <v>746</v>
      </c>
      <c r="I29" s="1235">
        <v>1</v>
      </c>
      <c r="J29" s="1233">
        <v>65</v>
      </c>
      <c r="K29" s="1831">
        <f t="shared" si="38"/>
        <v>3</v>
      </c>
      <c r="L29" s="1832">
        <f t="shared" si="18"/>
        <v>21.125</v>
      </c>
      <c r="M29" s="1270" t="s">
        <v>747</v>
      </c>
      <c r="N29" s="1233" t="s">
        <v>748</v>
      </c>
      <c r="O29" s="1847">
        <f t="shared" si="43"/>
        <v>1</v>
      </c>
      <c r="P29" s="1848">
        <f t="shared" si="43"/>
        <v>65</v>
      </c>
      <c r="Q29" s="1282">
        <v>21</v>
      </c>
      <c r="R29" s="1251">
        <v>24</v>
      </c>
      <c r="S29" s="1831">
        <f t="shared" si="1"/>
        <v>10</v>
      </c>
      <c r="T29" s="1831">
        <f t="shared" si="19"/>
        <v>2</v>
      </c>
      <c r="U29" s="1286">
        <f t="shared" si="2"/>
        <v>2</v>
      </c>
      <c r="V29" s="1284">
        <v>2</v>
      </c>
      <c r="W29" s="1847">
        <f t="shared" si="39"/>
        <v>1</v>
      </c>
      <c r="X29" s="1234">
        <v>3</v>
      </c>
      <c r="Y29" s="1831">
        <f t="shared" si="44"/>
        <v>65</v>
      </c>
      <c r="Z29" s="1866">
        <f t="shared" si="45"/>
        <v>18.375</v>
      </c>
      <c r="AA29" s="1295">
        <v>12</v>
      </c>
      <c r="AB29" s="1391">
        <v>2</v>
      </c>
      <c r="AC29" s="1392">
        <v>4</v>
      </c>
      <c r="AD29" s="1219" t="s">
        <v>47</v>
      </c>
      <c r="AE29" s="1210">
        <v>1.5</v>
      </c>
      <c r="AF29" s="1910">
        <f t="shared" si="20"/>
        <v>1.625</v>
      </c>
      <c r="AG29" s="1911">
        <f t="shared" si="3"/>
        <v>4</v>
      </c>
      <c r="AH29" s="1912" t="s">
        <v>412</v>
      </c>
      <c r="AI29" s="1913" t="s">
        <v>413</v>
      </c>
      <c r="AJ29" s="1914" t="s">
        <v>413</v>
      </c>
      <c r="AK29" s="1915">
        <f t="shared" si="4"/>
        <v>7.5</v>
      </c>
      <c r="AL29" s="1916">
        <f t="shared" si="5"/>
        <v>6.5</v>
      </c>
      <c r="AM29" s="1917">
        <v>7.5</v>
      </c>
      <c r="AN29" s="1918">
        <v>1</v>
      </c>
      <c r="AO29" s="1919">
        <f t="shared" si="21"/>
        <v>13.875</v>
      </c>
      <c r="AP29" s="1920" t="str">
        <f t="shared" si="6"/>
        <v>PL 1 x 24 x 35</v>
      </c>
      <c r="AQ29" s="1921">
        <f t="shared" si="22"/>
        <v>264.70856158878922</v>
      </c>
      <c r="AR29" s="1922">
        <f t="shared" si="23"/>
        <v>271.60534949624713</v>
      </c>
      <c r="AS29" s="162"/>
      <c r="AT29" s="925">
        <f t="shared" si="7"/>
        <v>35</v>
      </c>
      <c r="AU29" s="925">
        <f t="shared" si="24"/>
        <v>24.887304302656641</v>
      </c>
      <c r="AV29" s="925">
        <f t="shared" si="25"/>
        <v>45.749443017901363</v>
      </c>
      <c r="AW29">
        <f t="shared" si="17"/>
        <v>231.16596049976661</v>
      </c>
      <c r="AX29">
        <f t="shared" si="26"/>
        <v>218.19141845988977</v>
      </c>
      <c r="AY29">
        <f t="shared" si="46"/>
        <v>33.54260108902259</v>
      </c>
      <c r="AZ29">
        <f t="shared" si="28"/>
        <v>38.040043329022588</v>
      </c>
      <c r="BA29">
        <f t="shared" si="29"/>
        <v>0.875</v>
      </c>
      <c r="BB29">
        <f t="shared" si="8"/>
        <v>4</v>
      </c>
      <c r="BC29" s="1801">
        <f t="shared" si="30"/>
        <v>9.6876251001001279E-2</v>
      </c>
      <c r="BD29"/>
      <c r="BE29">
        <v>0.25</v>
      </c>
      <c r="BF29">
        <f t="shared" si="31"/>
        <v>15.5</v>
      </c>
      <c r="BG29">
        <f t="shared" si="32"/>
        <v>16.875</v>
      </c>
      <c r="BH29">
        <f t="shared" si="33"/>
        <v>17.135324075571948</v>
      </c>
      <c r="BI29" s="1805">
        <f t="shared" si="34"/>
        <v>0.3125</v>
      </c>
      <c r="BJ29" s="1801">
        <f t="shared" si="35"/>
        <v>1</v>
      </c>
      <c r="BK29">
        <f t="shared" si="36"/>
        <v>1.1301620377859738</v>
      </c>
      <c r="BL29"/>
      <c r="BM29">
        <f t="shared" si="9"/>
        <v>16.433756724249999</v>
      </c>
      <c r="BN29">
        <f t="shared" si="10"/>
        <v>17.58845726225</v>
      </c>
      <c r="BO29">
        <f t="shared" si="37"/>
        <v>17.859787566103744</v>
      </c>
      <c r="BP29" s="1791">
        <f t="shared" si="11"/>
        <v>0.77937836212499967</v>
      </c>
      <c r="BQ29" s="1791">
        <f t="shared" si="12"/>
        <v>1.3567286311249998</v>
      </c>
      <c r="BR29">
        <f t="shared" si="13"/>
        <v>1.4923937830518721</v>
      </c>
      <c r="BS29" s="1791">
        <f t="shared" si="14"/>
        <v>0.74194876113749952</v>
      </c>
      <c r="BT29" s="1791">
        <f t="shared" si="15"/>
        <v>1.2419487611374995</v>
      </c>
      <c r="BU29">
        <f t="shared" si="16"/>
        <v>1.3615050032520237</v>
      </c>
      <c r="BV29"/>
      <c r="BW29"/>
    </row>
    <row r="30" spans="1:75" s="1809" customFormat="1" ht="14.25" customHeight="1" x14ac:dyDescent="0.25">
      <c r="A30" s="1806"/>
      <c r="B30" s="1252">
        <v>15.375</v>
      </c>
      <c r="C30" s="1776">
        <v>16.375</v>
      </c>
      <c r="D30" s="1780">
        <v>16</v>
      </c>
      <c r="E30" s="1239" t="s">
        <v>782</v>
      </c>
      <c r="F30" s="1814">
        <v>17.625</v>
      </c>
      <c r="G30" s="1776">
        <v>0.375</v>
      </c>
      <c r="H30" s="1252" t="s">
        <v>749</v>
      </c>
      <c r="I30" s="1241">
        <v>1</v>
      </c>
      <c r="J30" s="1239">
        <v>65</v>
      </c>
      <c r="K30" s="1829">
        <f t="shared" si="38"/>
        <v>3</v>
      </c>
      <c r="L30" s="1830">
        <f t="shared" si="18"/>
        <v>21.125</v>
      </c>
      <c r="M30" s="1271" t="s">
        <v>750</v>
      </c>
      <c r="N30" s="1239" t="s">
        <v>751</v>
      </c>
      <c r="O30" s="1833">
        <f t="shared" si="43"/>
        <v>1</v>
      </c>
      <c r="P30" s="1846">
        <f t="shared" si="43"/>
        <v>65</v>
      </c>
      <c r="Q30" s="1283">
        <v>21</v>
      </c>
      <c r="R30" s="1252">
        <v>32</v>
      </c>
      <c r="S30" s="1829">
        <f t="shared" si="1"/>
        <v>14</v>
      </c>
      <c r="T30" s="1829">
        <f t="shared" si="19"/>
        <v>2</v>
      </c>
      <c r="U30" s="1287">
        <f t="shared" si="2"/>
        <v>2</v>
      </c>
      <c r="V30" s="1285">
        <v>2</v>
      </c>
      <c r="W30" s="1833">
        <f t="shared" si="39"/>
        <v>1</v>
      </c>
      <c r="X30" s="1240">
        <v>3</v>
      </c>
      <c r="Y30" s="1829">
        <f t="shared" si="44"/>
        <v>65</v>
      </c>
      <c r="Z30" s="1865">
        <f t="shared" si="45"/>
        <v>18.625</v>
      </c>
      <c r="AA30" s="1307">
        <v>12</v>
      </c>
      <c r="AB30" s="1393">
        <v>6</v>
      </c>
      <c r="AC30" s="1394">
        <v>4</v>
      </c>
      <c r="AD30" s="1220" t="s">
        <v>47</v>
      </c>
      <c r="AE30" s="1221">
        <v>1.5</v>
      </c>
      <c r="AF30" s="1971">
        <f t="shared" si="20"/>
        <v>1.625</v>
      </c>
      <c r="AG30" s="1972">
        <f t="shared" si="3"/>
        <v>4</v>
      </c>
      <c r="AH30" s="1973" t="s">
        <v>412</v>
      </c>
      <c r="AI30" s="1974" t="s">
        <v>413</v>
      </c>
      <c r="AJ30" s="1975" t="s">
        <v>413</v>
      </c>
      <c r="AK30" s="1976">
        <f t="shared" si="4"/>
        <v>7.5</v>
      </c>
      <c r="AL30" s="1977">
        <f t="shared" si="5"/>
        <v>6.5</v>
      </c>
      <c r="AM30" s="1978">
        <v>7.5</v>
      </c>
      <c r="AN30" s="1979">
        <v>1</v>
      </c>
      <c r="AO30" s="2101">
        <f t="shared" si="21"/>
        <v>13.625</v>
      </c>
      <c r="AP30" s="1981" t="str">
        <f t="shared" si="6"/>
        <v>PL 1 x 32 x 35</v>
      </c>
      <c r="AQ30" s="1908">
        <f t="shared" si="22"/>
        <v>344.11656158878918</v>
      </c>
      <c r="AR30" s="1982">
        <f t="shared" si="23"/>
        <v>355.77782949624708</v>
      </c>
      <c r="AS30" s="162"/>
      <c r="AT30" s="925">
        <f t="shared" si="7"/>
        <v>35</v>
      </c>
      <c r="AU30" s="925">
        <f t="shared" si="24"/>
        <v>24.887304302656641</v>
      </c>
      <c r="AV30" s="925">
        <f t="shared" si="25"/>
        <v>45.749443017901363</v>
      </c>
      <c r="AW30">
        <f t="shared" si="17"/>
        <v>310.5739604997666</v>
      </c>
      <c r="AX30">
        <f t="shared" si="26"/>
        <v>297.59941845988976</v>
      </c>
      <c r="AY30">
        <f t="shared" si="46"/>
        <v>33.54260108902259</v>
      </c>
      <c r="AZ30">
        <f t="shared" si="28"/>
        <v>38.040043329022588</v>
      </c>
      <c r="BA30">
        <f t="shared" si="29"/>
        <v>0.875</v>
      </c>
      <c r="BB30">
        <f t="shared" si="8"/>
        <v>4</v>
      </c>
      <c r="BC30" s="1801">
        <f t="shared" si="30"/>
        <v>9.6876251001001279E-2</v>
      </c>
      <c r="BD30"/>
      <c r="BE30">
        <v>0.3125</v>
      </c>
      <c r="BF30">
        <f t="shared" si="31"/>
        <v>15.25</v>
      </c>
      <c r="BG30">
        <f t="shared" si="32"/>
        <v>17</v>
      </c>
      <c r="BH30">
        <f t="shared" si="33"/>
        <v>17.262252402057666</v>
      </c>
      <c r="BI30" s="1805">
        <f t="shared" si="34"/>
        <v>0.3125</v>
      </c>
      <c r="BJ30" s="1801">
        <f t="shared" si="35"/>
        <v>1.1875</v>
      </c>
      <c r="BK30">
        <f t="shared" si="36"/>
        <v>1.3186262010288328</v>
      </c>
      <c r="BL30"/>
      <c r="BM30">
        <f t="shared" si="9"/>
        <v>16.423393753125001</v>
      </c>
      <c r="BN30">
        <f t="shared" si="10"/>
        <v>17.799782127562498</v>
      </c>
      <c r="BO30">
        <f t="shared" si="37"/>
        <v>18.074372458095226</v>
      </c>
      <c r="BP30" s="1791">
        <f t="shared" si="11"/>
        <v>0.89919687656250069</v>
      </c>
      <c r="BQ30" s="1791">
        <f t="shared" si="12"/>
        <v>1.5873910637812489</v>
      </c>
      <c r="BR30">
        <f t="shared" si="13"/>
        <v>1.724686229047613</v>
      </c>
      <c r="BS30" s="1791">
        <f t="shared" si="14"/>
        <v>0.91270193661249976</v>
      </c>
      <c r="BT30" s="1791">
        <f t="shared" si="15"/>
        <v>1.4752019366124998</v>
      </c>
      <c r="BU30">
        <f t="shared" si="16"/>
        <v>1.5966865052127419</v>
      </c>
      <c r="BV30"/>
      <c r="BW30"/>
    </row>
    <row r="31" spans="1:75" ht="14.25" customHeight="1" x14ac:dyDescent="0.25">
      <c r="B31" s="1251">
        <v>16.5</v>
      </c>
      <c r="C31" s="1777">
        <v>17.5</v>
      </c>
      <c r="D31" s="1781">
        <v>17.5</v>
      </c>
      <c r="E31" s="1233" t="s">
        <v>783</v>
      </c>
      <c r="F31" s="1813">
        <v>18.5</v>
      </c>
      <c r="G31" s="1777">
        <v>0.25</v>
      </c>
      <c r="H31" s="1251" t="s">
        <v>318</v>
      </c>
      <c r="I31" s="1235">
        <v>1</v>
      </c>
      <c r="J31" s="1233">
        <v>65</v>
      </c>
      <c r="K31" s="1831">
        <f t="shared" si="38"/>
        <v>3</v>
      </c>
      <c r="L31" s="1832">
        <f t="shared" si="18"/>
        <v>22.125</v>
      </c>
      <c r="M31" s="1270" t="s">
        <v>346</v>
      </c>
      <c r="N31" s="1233" t="s">
        <v>372</v>
      </c>
      <c r="O31" s="1847">
        <f t="shared" si="43"/>
        <v>1</v>
      </c>
      <c r="P31" s="1848">
        <f t="shared" si="43"/>
        <v>65</v>
      </c>
      <c r="Q31" s="1282">
        <v>22</v>
      </c>
      <c r="R31" s="1251">
        <v>24</v>
      </c>
      <c r="S31" s="1831">
        <f t="shared" si="1"/>
        <v>10</v>
      </c>
      <c r="T31" s="1831">
        <f t="shared" si="19"/>
        <v>2</v>
      </c>
      <c r="U31" s="1286">
        <f t="shared" si="2"/>
        <v>2</v>
      </c>
      <c r="V31" s="1284">
        <v>2</v>
      </c>
      <c r="W31" s="1847">
        <f t="shared" si="39"/>
        <v>1</v>
      </c>
      <c r="X31" s="1234">
        <v>3</v>
      </c>
      <c r="Y31" s="1831">
        <f t="shared" si="44"/>
        <v>65</v>
      </c>
      <c r="Z31" s="1866">
        <f t="shared" si="45"/>
        <v>19.5</v>
      </c>
      <c r="AA31" s="1295">
        <v>12</v>
      </c>
      <c r="AB31" s="1391">
        <v>2</v>
      </c>
      <c r="AC31" s="1392">
        <v>4</v>
      </c>
      <c r="AD31" s="1219" t="s">
        <v>47</v>
      </c>
      <c r="AE31" s="1210">
        <v>1.5</v>
      </c>
      <c r="AF31" s="1910">
        <f t="shared" si="20"/>
        <v>1.625</v>
      </c>
      <c r="AG31" s="1911">
        <f t="shared" si="3"/>
        <v>4</v>
      </c>
      <c r="AH31" s="1912" t="s">
        <v>412</v>
      </c>
      <c r="AI31" s="1913" t="s">
        <v>413</v>
      </c>
      <c r="AJ31" s="1914" t="s">
        <v>413</v>
      </c>
      <c r="AK31" s="1915">
        <f t="shared" si="4"/>
        <v>7.5</v>
      </c>
      <c r="AL31" s="1916">
        <f t="shared" si="5"/>
        <v>6.5</v>
      </c>
      <c r="AM31" s="1917">
        <v>8</v>
      </c>
      <c r="AN31" s="1918">
        <v>1</v>
      </c>
      <c r="AO31" s="1919">
        <f t="shared" si="21"/>
        <v>15.375</v>
      </c>
      <c r="AP31" s="1920" t="str">
        <f t="shared" si="6"/>
        <v>PL 1 x 24 x 36</v>
      </c>
      <c r="AQ31" s="1921">
        <f t="shared" si="22"/>
        <v>273.2165615887892</v>
      </c>
      <c r="AR31" s="1922">
        <f t="shared" si="23"/>
        <v>279.09464527551597</v>
      </c>
      <c r="AT31" s="925">
        <f t="shared" si="7"/>
        <v>36</v>
      </c>
      <c r="AU31" s="925">
        <f t="shared" si="24"/>
        <v>24.887304302656641</v>
      </c>
      <c r="AV31" s="925">
        <f t="shared" si="25"/>
        <v>51.836278784231588</v>
      </c>
      <c r="AW31">
        <f t="shared" si="17"/>
        <v>237.97236049976661</v>
      </c>
      <c r="AX31">
        <f t="shared" si="26"/>
        <v>223.27159183655851</v>
      </c>
      <c r="AY31">
        <f t="shared" si="46"/>
        <v>35.244201089022589</v>
      </c>
      <c r="AZ31">
        <f t="shared" si="28"/>
        <v>40.025243329022587</v>
      </c>
      <c r="BA31">
        <f t="shared" si="29"/>
        <v>0.9375</v>
      </c>
      <c r="BB31">
        <f t="shared" si="8"/>
        <v>4</v>
      </c>
      <c r="BC31" s="1801">
        <f t="shared" si="30"/>
        <v>0.11141494242442995</v>
      </c>
      <c r="BE31">
        <v>0.25</v>
      </c>
      <c r="BF31">
        <f t="shared" si="31"/>
        <v>17</v>
      </c>
      <c r="BG31">
        <f t="shared" si="32"/>
        <v>18</v>
      </c>
      <c r="BH31">
        <f t="shared" si="33"/>
        <v>18.277679013943409</v>
      </c>
      <c r="BI31" s="1805">
        <f t="shared" si="34"/>
        <v>0.3125</v>
      </c>
      <c r="BJ31" s="1801">
        <f t="shared" si="35"/>
        <v>0.8125</v>
      </c>
      <c r="BK31">
        <f t="shared" si="36"/>
        <v>0.95133950697170455</v>
      </c>
      <c r="BM31">
        <f t="shared" si="9"/>
        <v>18.16580753125</v>
      </c>
      <c r="BN31">
        <f t="shared" si="10"/>
        <v>19.32050806925</v>
      </c>
      <c r="BO31">
        <f t="shared" si="37"/>
        <v>19.618558048669726</v>
      </c>
      <c r="BP31" s="1791">
        <f t="shared" si="11"/>
        <v>0.89540376562499979</v>
      </c>
      <c r="BQ31" s="1791">
        <f t="shared" si="12"/>
        <v>1.4727540346249999</v>
      </c>
      <c r="BR31">
        <f t="shared" si="13"/>
        <v>1.6217790243348631</v>
      </c>
      <c r="BS31" s="1791">
        <f t="shared" si="14"/>
        <v>0.84242970828749986</v>
      </c>
      <c r="BT31" s="1791">
        <f t="shared" si="15"/>
        <v>1.3424297082874999</v>
      </c>
      <c r="BU31">
        <f t="shared" si="16"/>
        <v>1.4735559093163326</v>
      </c>
    </row>
    <row r="32" spans="1:75" ht="14.25" customHeight="1" x14ac:dyDescent="0.25">
      <c r="B32" s="1252">
        <v>16.75</v>
      </c>
      <c r="C32" s="1776">
        <v>17.75</v>
      </c>
      <c r="D32" s="1780">
        <v>17.75</v>
      </c>
      <c r="E32" s="1239" t="s">
        <v>769</v>
      </c>
      <c r="F32" s="1814">
        <v>18.625</v>
      </c>
      <c r="G32" s="1776">
        <v>0.375</v>
      </c>
      <c r="H32" s="1252" t="s">
        <v>319</v>
      </c>
      <c r="I32" s="1241">
        <v>1</v>
      </c>
      <c r="J32" s="1239">
        <v>65</v>
      </c>
      <c r="K32" s="1829">
        <f t="shared" si="38"/>
        <v>3</v>
      </c>
      <c r="L32" s="1830">
        <f t="shared" si="18"/>
        <v>22.125</v>
      </c>
      <c r="M32" s="1271" t="s">
        <v>347</v>
      </c>
      <c r="N32" s="1239" t="s">
        <v>373</v>
      </c>
      <c r="O32" s="1833">
        <f t="shared" si="43"/>
        <v>1</v>
      </c>
      <c r="P32" s="1846">
        <f t="shared" si="43"/>
        <v>65</v>
      </c>
      <c r="Q32" s="1283">
        <v>22</v>
      </c>
      <c r="R32" s="1252">
        <v>32</v>
      </c>
      <c r="S32" s="1829">
        <f t="shared" si="1"/>
        <v>14</v>
      </c>
      <c r="T32" s="1829">
        <f t="shared" si="19"/>
        <v>2</v>
      </c>
      <c r="U32" s="1287">
        <f t="shared" si="2"/>
        <v>2</v>
      </c>
      <c r="V32" s="1285">
        <v>2</v>
      </c>
      <c r="W32" s="1833">
        <f t="shared" si="39"/>
        <v>1</v>
      </c>
      <c r="X32" s="1240">
        <v>3</v>
      </c>
      <c r="Y32" s="1829">
        <f t="shared" si="44"/>
        <v>65</v>
      </c>
      <c r="Z32" s="1865">
        <f t="shared" si="45"/>
        <v>19.625</v>
      </c>
      <c r="AA32" s="1307">
        <v>12</v>
      </c>
      <c r="AB32" s="1393">
        <v>6</v>
      </c>
      <c r="AC32" s="1394">
        <v>4</v>
      </c>
      <c r="AD32" s="1220" t="s">
        <v>47</v>
      </c>
      <c r="AE32" s="1221">
        <v>1.5</v>
      </c>
      <c r="AF32" s="1971">
        <f t="shared" si="20"/>
        <v>1.625</v>
      </c>
      <c r="AG32" s="1972">
        <f t="shared" si="3"/>
        <v>4</v>
      </c>
      <c r="AH32" s="1973" t="s">
        <v>412</v>
      </c>
      <c r="AI32" s="1974" t="s">
        <v>413</v>
      </c>
      <c r="AJ32" s="1975" t="s">
        <v>413</v>
      </c>
      <c r="AK32" s="1976">
        <f t="shared" si="4"/>
        <v>7.5</v>
      </c>
      <c r="AL32" s="1977">
        <f t="shared" si="5"/>
        <v>6.5</v>
      </c>
      <c r="AM32" s="1978">
        <v>8</v>
      </c>
      <c r="AN32" s="1979">
        <v>1</v>
      </c>
      <c r="AO32" s="1980">
        <f t="shared" si="21"/>
        <v>15.375</v>
      </c>
      <c r="AP32" s="1981" t="str">
        <f t="shared" si="6"/>
        <v>PL 1 x 32 x 36</v>
      </c>
      <c r="AQ32" s="1908">
        <f t="shared" si="22"/>
        <v>354.89336158878916</v>
      </c>
      <c r="AR32" s="1982">
        <f t="shared" si="23"/>
        <v>365.67205327551596</v>
      </c>
      <c r="AT32" s="925">
        <f t="shared" si="7"/>
        <v>36</v>
      </c>
      <c r="AU32" s="925">
        <f t="shared" si="24"/>
        <v>24.887304302656641</v>
      </c>
      <c r="AV32" s="925">
        <f t="shared" si="25"/>
        <v>51.836278784231588</v>
      </c>
      <c r="AW32">
        <f t="shared" si="17"/>
        <v>319.64916049976659</v>
      </c>
      <c r="AX32">
        <f t="shared" si="26"/>
        <v>304.94839183655847</v>
      </c>
      <c r="AY32">
        <f t="shared" si="46"/>
        <v>35.244201089022589</v>
      </c>
      <c r="AZ32">
        <f t="shared" si="28"/>
        <v>40.025243329022587</v>
      </c>
      <c r="BA32">
        <f t="shared" si="29"/>
        <v>0.875</v>
      </c>
      <c r="BB32">
        <f t="shared" si="8"/>
        <v>4</v>
      </c>
      <c r="BC32" s="1801">
        <f t="shared" si="30"/>
        <v>9.6876251001001279E-2</v>
      </c>
      <c r="BE32">
        <v>0.3125</v>
      </c>
      <c r="BF32">
        <f t="shared" si="31"/>
        <v>17</v>
      </c>
      <c r="BG32">
        <f t="shared" si="32"/>
        <v>18</v>
      </c>
      <c r="BH32">
        <f t="shared" si="33"/>
        <v>18.277679013943409</v>
      </c>
      <c r="BI32" s="1805">
        <f t="shared" si="34"/>
        <v>0.3125</v>
      </c>
      <c r="BJ32" s="1801">
        <f t="shared" si="35"/>
        <v>0.8125</v>
      </c>
      <c r="BK32">
        <f t="shared" si="36"/>
        <v>0.95133950697170455</v>
      </c>
      <c r="BM32">
        <f t="shared" si="9"/>
        <v>18.011106992875</v>
      </c>
      <c r="BN32">
        <f t="shared" si="10"/>
        <v>19.387495367312496</v>
      </c>
      <c r="BO32">
        <f t="shared" si="37"/>
        <v>19.686578733780706</v>
      </c>
      <c r="BP32" s="1791">
        <f t="shared" si="11"/>
        <v>0.81805349643749992</v>
      </c>
      <c r="BQ32" s="1791">
        <f t="shared" si="12"/>
        <v>1.5062476836562482</v>
      </c>
      <c r="BR32">
        <f t="shared" si="13"/>
        <v>1.6557893668903532</v>
      </c>
      <c r="BS32" s="1791">
        <f t="shared" si="14"/>
        <v>0.84242970828749986</v>
      </c>
      <c r="BT32" s="1791">
        <f t="shared" si="15"/>
        <v>1.4049297082874999</v>
      </c>
      <c r="BU32">
        <f t="shared" si="16"/>
        <v>1.5370200725591916</v>
      </c>
    </row>
    <row r="33" spans="1:75" ht="14.25" customHeight="1" x14ac:dyDescent="0.25">
      <c r="B33" s="1251">
        <v>18</v>
      </c>
      <c r="C33" s="1777">
        <v>19</v>
      </c>
      <c r="D33" s="1781">
        <v>19</v>
      </c>
      <c r="E33" s="1233" t="s">
        <v>770</v>
      </c>
      <c r="F33" s="1813">
        <v>20.5</v>
      </c>
      <c r="G33" s="1777">
        <v>0.25</v>
      </c>
      <c r="H33" s="1251" t="s">
        <v>320</v>
      </c>
      <c r="I33" s="1235">
        <v>1</v>
      </c>
      <c r="J33" s="1233">
        <v>65</v>
      </c>
      <c r="K33" s="1831">
        <f t="shared" si="38"/>
        <v>3</v>
      </c>
      <c r="L33" s="1832">
        <f t="shared" si="18"/>
        <v>24.125</v>
      </c>
      <c r="M33" s="1270" t="s">
        <v>348</v>
      </c>
      <c r="N33" s="1233" t="s">
        <v>374</v>
      </c>
      <c r="O33" s="1847">
        <f t="shared" si="43"/>
        <v>1</v>
      </c>
      <c r="P33" s="1848">
        <f t="shared" si="43"/>
        <v>65</v>
      </c>
      <c r="Q33" s="1282">
        <v>24</v>
      </c>
      <c r="R33" s="1251">
        <v>28</v>
      </c>
      <c r="S33" s="1831">
        <f t="shared" si="1"/>
        <v>12</v>
      </c>
      <c r="T33" s="1831">
        <f t="shared" si="19"/>
        <v>2</v>
      </c>
      <c r="U33" s="1286">
        <f t="shared" si="2"/>
        <v>2</v>
      </c>
      <c r="V33" s="1284">
        <v>2</v>
      </c>
      <c r="W33" s="1847">
        <f t="shared" si="39"/>
        <v>1</v>
      </c>
      <c r="X33" s="1234">
        <v>3</v>
      </c>
      <c r="Y33" s="1831">
        <f t="shared" si="44"/>
        <v>65</v>
      </c>
      <c r="Z33" s="1866">
        <f t="shared" si="45"/>
        <v>21.5</v>
      </c>
      <c r="AA33" s="1309">
        <v>12</v>
      </c>
      <c r="AB33" s="1395">
        <v>4</v>
      </c>
      <c r="AC33" s="1396">
        <v>4</v>
      </c>
      <c r="AD33" s="1222" t="s">
        <v>47</v>
      </c>
      <c r="AE33" s="1223">
        <v>1.5</v>
      </c>
      <c r="AF33" s="1983">
        <f t="shared" si="20"/>
        <v>1.625</v>
      </c>
      <c r="AG33" s="1984">
        <f t="shared" si="3"/>
        <v>4</v>
      </c>
      <c r="AH33" s="1985" t="s">
        <v>412</v>
      </c>
      <c r="AI33" s="1986" t="s">
        <v>413</v>
      </c>
      <c r="AJ33" s="1987" t="s">
        <v>413</v>
      </c>
      <c r="AK33" s="1988">
        <f t="shared" si="4"/>
        <v>7.5</v>
      </c>
      <c r="AL33" s="1989">
        <f t="shared" si="5"/>
        <v>6.5</v>
      </c>
      <c r="AM33" s="1990">
        <v>9</v>
      </c>
      <c r="AN33" s="1991">
        <v>1.25</v>
      </c>
      <c r="AO33" s="1992">
        <f t="shared" si="21"/>
        <v>16.625</v>
      </c>
      <c r="AP33" s="1993" t="str">
        <f t="shared" si="6"/>
        <v>PL 1 x 28 x 38</v>
      </c>
      <c r="AQ33" s="1921">
        <f t="shared" si="22"/>
        <v>333.33976158878914</v>
      </c>
      <c r="AR33" s="1994">
        <f t="shared" si="23"/>
        <v>339.14709779154799</v>
      </c>
      <c r="AT33" s="925">
        <f t="shared" si="7"/>
        <v>38</v>
      </c>
      <c r="AU33" s="925">
        <f t="shared" si="24"/>
        <v>24.887304302656641</v>
      </c>
      <c r="AV33" s="925">
        <f t="shared" si="25"/>
        <v>66.071620495810336</v>
      </c>
      <c r="AW33">
        <f t="shared" si="17"/>
        <v>294.69236049976655</v>
      </c>
      <c r="AX33">
        <f t="shared" si="26"/>
        <v>275.95444892715477</v>
      </c>
      <c r="AY33">
        <f t="shared" si="46"/>
        <v>38.647401089022587</v>
      </c>
      <c r="AZ33">
        <f t="shared" si="28"/>
        <v>43.995643329022585</v>
      </c>
      <c r="BA33">
        <f t="shared" si="29"/>
        <v>0.9375</v>
      </c>
      <c r="BB33">
        <f t="shared" si="8"/>
        <v>4</v>
      </c>
      <c r="BC33" s="1801">
        <f t="shared" si="30"/>
        <v>0.11141494242442995</v>
      </c>
      <c r="BE33">
        <v>0.25</v>
      </c>
      <c r="BF33">
        <f t="shared" si="31"/>
        <v>18.5</v>
      </c>
      <c r="BG33">
        <f t="shared" si="32"/>
        <v>20</v>
      </c>
      <c r="BH33">
        <f t="shared" si="33"/>
        <v>20.3085322377149</v>
      </c>
      <c r="BI33" s="1805">
        <f t="shared" si="34"/>
        <v>0.3125</v>
      </c>
      <c r="BJ33" s="1801">
        <f t="shared" si="35"/>
        <v>1.0625</v>
      </c>
      <c r="BK33">
        <f t="shared" si="36"/>
        <v>1.2167661188574499</v>
      </c>
      <c r="BM33">
        <f t="shared" si="9"/>
        <v>19.89785833825</v>
      </c>
      <c r="BN33">
        <f t="shared" si="10"/>
        <v>21.05255887625</v>
      </c>
      <c r="BO33">
        <f t="shared" si="37"/>
        <v>21.377328531235705</v>
      </c>
      <c r="BP33" s="1791">
        <f t="shared" si="11"/>
        <v>1.0114291691249999</v>
      </c>
      <c r="BQ33" s="1791">
        <f t="shared" si="12"/>
        <v>1.588779438125</v>
      </c>
      <c r="BR33">
        <f t="shared" si="13"/>
        <v>1.7511642656178523</v>
      </c>
      <c r="BS33" s="1791">
        <f t="shared" si="14"/>
        <v>0.92616383091249954</v>
      </c>
      <c r="BT33" s="1791">
        <f t="shared" si="15"/>
        <v>1.4261638309124995</v>
      </c>
      <c r="BU33">
        <f t="shared" si="16"/>
        <v>1.5688599908556418</v>
      </c>
    </row>
    <row r="34" spans="1:75" ht="14.25" customHeight="1" x14ac:dyDescent="0.25">
      <c r="B34" s="1252">
        <v>18</v>
      </c>
      <c r="C34" s="1776">
        <v>19</v>
      </c>
      <c r="D34" s="1780">
        <v>19</v>
      </c>
      <c r="E34" s="1239" t="s">
        <v>770</v>
      </c>
      <c r="F34" s="1814">
        <v>20.625</v>
      </c>
      <c r="G34" s="1776">
        <v>0.375</v>
      </c>
      <c r="H34" s="1252" t="s">
        <v>321</v>
      </c>
      <c r="I34" s="1241">
        <v>1</v>
      </c>
      <c r="J34" s="1239">
        <v>65</v>
      </c>
      <c r="K34" s="1829">
        <f t="shared" si="38"/>
        <v>3</v>
      </c>
      <c r="L34" s="1830">
        <f t="shared" si="18"/>
        <v>24.125</v>
      </c>
      <c r="M34" s="1271" t="s">
        <v>349</v>
      </c>
      <c r="N34" s="1239" t="s">
        <v>375</v>
      </c>
      <c r="O34" s="1833">
        <f t="shared" si="43"/>
        <v>1</v>
      </c>
      <c r="P34" s="1846">
        <f t="shared" si="43"/>
        <v>65</v>
      </c>
      <c r="Q34" s="1283">
        <v>24</v>
      </c>
      <c r="R34" s="1252">
        <v>36</v>
      </c>
      <c r="S34" s="1829">
        <f t="shared" si="1"/>
        <v>16</v>
      </c>
      <c r="T34" s="1829">
        <f t="shared" si="19"/>
        <v>2</v>
      </c>
      <c r="U34" s="1287">
        <f t="shared" si="2"/>
        <v>2</v>
      </c>
      <c r="V34" s="1285">
        <v>2</v>
      </c>
      <c r="W34" s="1833">
        <f t="shared" si="39"/>
        <v>1</v>
      </c>
      <c r="X34" s="1240">
        <v>3.25</v>
      </c>
      <c r="Y34" s="1829">
        <f t="shared" si="44"/>
        <v>65</v>
      </c>
      <c r="Z34" s="1865">
        <f t="shared" si="45"/>
        <v>21.625</v>
      </c>
      <c r="AA34" s="1311">
        <v>16</v>
      </c>
      <c r="AB34" s="1397">
        <v>4</v>
      </c>
      <c r="AC34" s="1398">
        <v>4</v>
      </c>
      <c r="AD34" s="1224" t="s">
        <v>47</v>
      </c>
      <c r="AE34" s="1225">
        <v>1.5</v>
      </c>
      <c r="AF34" s="1995">
        <f t="shared" si="20"/>
        <v>1.625</v>
      </c>
      <c r="AG34" s="1996">
        <f t="shared" si="3"/>
        <v>4</v>
      </c>
      <c r="AH34" s="1997" t="s">
        <v>412</v>
      </c>
      <c r="AI34" s="1998" t="s">
        <v>413</v>
      </c>
      <c r="AJ34" s="1999" t="s">
        <v>413</v>
      </c>
      <c r="AK34" s="2000">
        <f t="shared" si="4"/>
        <v>7.75</v>
      </c>
      <c r="AL34" s="2001">
        <f t="shared" si="5"/>
        <v>6.75</v>
      </c>
      <c r="AM34" s="2002">
        <v>9</v>
      </c>
      <c r="AN34" s="2003">
        <v>1.25</v>
      </c>
      <c r="AO34" s="2004">
        <f t="shared" si="21"/>
        <v>16.375</v>
      </c>
      <c r="AP34" s="2005" t="str">
        <f t="shared" si="6"/>
        <v>PL 1 x 36 x 38 1/2</v>
      </c>
      <c r="AQ34" s="1908">
        <f t="shared" si="22"/>
        <v>425.70948175537802</v>
      </c>
      <c r="AR34" s="2006">
        <f t="shared" si="23"/>
        <v>437.05900116813228</v>
      </c>
      <c r="AT34" s="925">
        <f t="shared" si="7"/>
        <v>38.5</v>
      </c>
      <c r="AU34" s="925">
        <f t="shared" si="24"/>
        <v>33.183072403542191</v>
      </c>
      <c r="AV34" s="925">
        <f t="shared" si="25"/>
        <v>66.071620495810336</v>
      </c>
      <c r="AW34">
        <f t="shared" si="17"/>
        <v>383.65888066635546</v>
      </c>
      <c r="AX34">
        <f t="shared" si="26"/>
        <v>364.92096909374368</v>
      </c>
      <c r="AY34">
        <f t="shared" si="46"/>
        <v>42.050601089022585</v>
      </c>
      <c r="AZ34">
        <f t="shared" si="28"/>
        <v>47.398843329022583</v>
      </c>
      <c r="BA34">
        <f t="shared" si="29"/>
        <v>0.875</v>
      </c>
      <c r="BB34">
        <f t="shared" si="8"/>
        <v>4</v>
      </c>
      <c r="BC34" s="1801">
        <f t="shared" si="30"/>
        <v>9.6876251001001279E-2</v>
      </c>
      <c r="BE34">
        <v>0.3125</v>
      </c>
      <c r="BF34">
        <f t="shared" si="31"/>
        <v>18.25</v>
      </c>
      <c r="BG34">
        <f t="shared" si="32"/>
        <v>20</v>
      </c>
      <c r="BH34">
        <f t="shared" si="33"/>
        <v>20.3085322377149</v>
      </c>
      <c r="BI34" s="1805">
        <f t="shared" si="34"/>
        <v>0.3125</v>
      </c>
      <c r="BJ34" s="1801">
        <f t="shared" si="35"/>
        <v>1.1875</v>
      </c>
      <c r="BK34">
        <f t="shared" si="36"/>
        <v>1.3417661188574499</v>
      </c>
      <c r="BM34">
        <f t="shared" si="9"/>
        <v>19.454482665375</v>
      </c>
      <c r="BN34">
        <f t="shared" si="10"/>
        <v>20.830871039812497</v>
      </c>
      <c r="BO34">
        <f t="shared" si="37"/>
        <v>21.152220802585688</v>
      </c>
      <c r="BP34" s="1791">
        <f t="shared" si="11"/>
        <v>0.91474133268750002</v>
      </c>
      <c r="BQ34" s="1791">
        <f t="shared" si="12"/>
        <v>1.6029355199062483</v>
      </c>
      <c r="BR34">
        <f t="shared" si="13"/>
        <v>1.7636104012928442</v>
      </c>
      <c r="BS34" s="1791">
        <f t="shared" si="14"/>
        <v>0.90941700638749978</v>
      </c>
      <c r="BT34" s="1791">
        <f t="shared" si="15"/>
        <v>1.4719170063874998</v>
      </c>
      <c r="BU34">
        <f t="shared" si="16"/>
        <v>1.613649003087783</v>
      </c>
    </row>
    <row r="35" spans="1:75" ht="14.25" customHeight="1" x14ac:dyDescent="0.25">
      <c r="A35" s="1812"/>
      <c r="B35" s="1251"/>
      <c r="C35" s="1777"/>
      <c r="D35" s="1781">
        <v>21</v>
      </c>
      <c r="E35" s="1233" t="s">
        <v>784</v>
      </c>
      <c r="F35" s="1813">
        <v>22.5</v>
      </c>
      <c r="G35" s="1777">
        <v>0.25</v>
      </c>
      <c r="H35" s="1251" t="s">
        <v>322</v>
      </c>
      <c r="I35" s="1235">
        <v>1</v>
      </c>
      <c r="J35" s="1233">
        <v>65</v>
      </c>
      <c r="K35" s="1831">
        <f t="shared" si="38"/>
        <v>3</v>
      </c>
      <c r="L35" s="1832">
        <f t="shared" si="18"/>
        <v>26.125</v>
      </c>
      <c r="M35" s="1270" t="s">
        <v>350</v>
      </c>
      <c r="N35" s="1233" t="s">
        <v>376</v>
      </c>
      <c r="O35" s="1847">
        <f t="shared" si="43"/>
        <v>1</v>
      </c>
      <c r="P35" s="1848">
        <f t="shared" si="43"/>
        <v>65</v>
      </c>
      <c r="Q35" s="1282">
        <v>26</v>
      </c>
      <c r="R35" s="1251">
        <v>32</v>
      </c>
      <c r="S35" s="1831">
        <f t="shared" si="1"/>
        <v>14</v>
      </c>
      <c r="T35" s="1831">
        <f t="shared" si="19"/>
        <v>2</v>
      </c>
      <c r="U35" s="1286">
        <f t="shared" si="2"/>
        <v>2</v>
      </c>
      <c r="V35" s="1284">
        <v>2</v>
      </c>
      <c r="W35" s="1847">
        <f t="shared" si="39"/>
        <v>1</v>
      </c>
      <c r="X35" s="1234">
        <v>3.25</v>
      </c>
      <c r="Y35" s="1831">
        <f t="shared" si="44"/>
        <v>65</v>
      </c>
      <c r="Z35" s="1866">
        <f t="shared" si="45"/>
        <v>23.5</v>
      </c>
      <c r="AA35" s="1313">
        <v>12</v>
      </c>
      <c r="AB35" s="1399">
        <v>6</v>
      </c>
      <c r="AC35" s="1400">
        <v>4</v>
      </c>
      <c r="AD35" s="1226" t="s">
        <v>47</v>
      </c>
      <c r="AE35" s="1227">
        <v>1.5</v>
      </c>
      <c r="AF35" s="2007">
        <f t="shared" si="20"/>
        <v>1.625</v>
      </c>
      <c r="AG35" s="2008">
        <f t="shared" si="3"/>
        <v>4</v>
      </c>
      <c r="AH35" s="2009" t="s">
        <v>412</v>
      </c>
      <c r="AI35" s="2010" t="s">
        <v>413</v>
      </c>
      <c r="AJ35" s="2011" t="s">
        <v>413</v>
      </c>
      <c r="AK35" s="2012">
        <f t="shared" si="4"/>
        <v>7.75</v>
      </c>
      <c r="AL35" s="2013">
        <f t="shared" si="5"/>
        <v>6.75</v>
      </c>
      <c r="AM35" s="2014">
        <v>9.5</v>
      </c>
      <c r="AN35" s="2015">
        <v>1.25</v>
      </c>
      <c r="AO35" s="2016">
        <f t="shared" si="21"/>
        <v>18.625</v>
      </c>
      <c r="AP35" s="2017" t="str">
        <f t="shared" si="6"/>
        <v>PL 1 x 32 x 40 1/2</v>
      </c>
      <c r="AQ35" s="1921">
        <f t="shared" si="22"/>
        <v>406.22496158878914</v>
      </c>
      <c r="AR35" s="2018">
        <f t="shared" si="23"/>
        <v>414.82268668938508</v>
      </c>
      <c r="AT35" s="925">
        <f t="shared" si="7"/>
        <v>40.5</v>
      </c>
      <c r="AU35" s="925">
        <f t="shared" si="24"/>
        <v>24.887304302656641</v>
      </c>
      <c r="AV35" s="925">
        <f t="shared" si="25"/>
        <v>73.336553507236729</v>
      </c>
      <c r="AW35">
        <f t="shared" si="17"/>
        <v>360.48756049976657</v>
      </c>
      <c r="AX35">
        <f t="shared" si="26"/>
        <v>339.68931392511428</v>
      </c>
      <c r="AY35">
        <f t="shared" si="46"/>
        <v>45.73740108902259</v>
      </c>
      <c r="AZ35">
        <f t="shared" si="28"/>
        <v>51.652843329022588</v>
      </c>
      <c r="BA35">
        <f t="shared" si="29"/>
        <v>0.9375</v>
      </c>
      <c r="BB35">
        <f t="shared" si="8"/>
        <v>4</v>
      </c>
      <c r="BC35" s="1801">
        <f t="shared" si="30"/>
        <v>0.11141494242442995</v>
      </c>
      <c r="BE35">
        <v>0.25</v>
      </c>
      <c r="BF35">
        <f t="shared" si="31"/>
        <v>20.5</v>
      </c>
      <c r="BG35">
        <f t="shared" si="32"/>
        <v>22</v>
      </c>
      <c r="BH35">
        <f t="shared" si="33"/>
        <v>22.33938546148639</v>
      </c>
      <c r="BI35" s="1805">
        <f t="shared" si="34"/>
        <v>0.3125</v>
      </c>
      <c r="BJ35" s="1801">
        <f t="shared" si="35"/>
        <v>1.0625</v>
      </c>
      <c r="BK35">
        <f t="shared" si="36"/>
        <v>1.2321927307431952</v>
      </c>
      <c r="BP35" s="1791"/>
      <c r="BQ35" s="1791"/>
      <c r="BS35" s="1791"/>
      <c r="BT35" s="1791"/>
    </row>
    <row r="36" spans="1:75" s="1809" customFormat="1" ht="14.25" customHeight="1" x14ac:dyDescent="0.25">
      <c r="A36" s="1806"/>
      <c r="B36" s="1252"/>
      <c r="C36" s="1776"/>
      <c r="D36" s="1780">
        <v>20.75</v>
      </c>
      <c r="E36" s="1239" t="s">
        <v>785</v>
      </c>
      <c r="F36" s="1814">
        <v>21.5</v>
      </c>
      <c r="G36" s="1776">
        <v>0.375</v>
      </c>
      <c r="H36" s="1252" t="s">
        <v>752</v>
      </c>
      <c r="I36" s="1241">
        <v>1</v>
      </c>
      <c r="J36" s="1239">
        <v>65</v>
      </c>
      <c r="K36" s="1829">
        <f t="shared" si="38"/>
        <v>3</v>
      </c>
      <c r="L36" s="1830">
        <f t="shared" si="18"/>
        <v>25.125</v>
      </c>
      <c r="M36" s="1271" t="s">
        <v>753</v>
      </c>
      <c r="N36" s="1239" t="s">
        <v>754</v>
      </c>
      <c r="O36" s="1833">
        <f t="shared" si="43"/>
        <v>1</v>
      </c>
      <c r="P36" s="1846">
        <f t="shared" si="43"/>
        <v>65</v>
      </c>
      <c r="Q36" s="1283">
        <v>25</v>
      </c>
      <c r="R36" s="1252">
        <v>36</v>
      </c>
      <c r="S36" s="1829">
        <f t="shared" si="1"/>
        <v>16</v>
      </c>
      <c r="T36" s="1829">
        <f t="shared" si="19"/>
        <v>2</v>
      </c>
      <c r="U36" s="1287">
        <f t="shared" si="2"/>
        <v>2</v>
      </c>
      <c r="V36" s="1285">
        <v>2</v>
      </c>
      <c r="W36" s="1833">
        <f t="shared" si="39"/>
        <v>1</v>
      </c>
      <c r="X36" s="1240">
        <v>3.25</v>
      </c>
      <c r="Y36" s="1829">
        <f t="shared" si="44"/>
        <v>65</v>
      </c>
      <c r="Z36" s="1865">
        <f t="shared" si="45"/>
        <v>22.5</v>
      </c>
      <c r="AA36" s="1348">
        <v>16</v>
      </c>
      <c r="AB36" s="1401">
        <v>4</v>
      </c>
      <c r="AC36" s="1402">
        <v>4</v>
      </c>
      <c r="AD36" s="1349" t="s">
        <v>47</v>
      </c>
      <c r="AE36" s="1350">
        <v>1.5</v>
      </c>
      <c r="AF36" s="2019">
        <f t="shared" si="20"/>
        <v>1.625</v>
      </c>
      <c r="AG36" s="2020">
        <f t="shared" si="3"/>
        <v>4</v>
      </c>
      <c r="AH36" s="2021" t="s">
        <v>412</v>
      </c>
      <c r="AI36" s="2022" t="s">
        <v>413</v>
      </c>
      <c r="AJ36" s="2023" t="s">
        <v>413</v>
      </c>
      <c r="AK36" s="2024">
        <f t="shared" si="4"/>
        <v>7.75</v>
      </c>
      <c r="AL36" s="2025">
        <f t="shared" si="5"/>
        <v>6.75</v>
      </c>
      <c r="AM36" s="2026">
        <v>9</v>
      </c>
      <c r="AN36" s="2027">
        <v>1.25</v>
      </c>
      <c r="AO36" s="2028">
        <f t="shared" si="21"/>
        <v>18.125</v>
      </c>
      <c r="AP36" s="2029" t="str">
        <f t="shared" si="6"/>
        <v>PL 1 x 36 x 39 1/2</v>
      </c>
      <c r="AQ36" s="1908">
        <f t="shared" si="22"/>
        <v>437.76248175537808</v>
      </c>
      <c r="AR36" s="2030">
        <f t="shared" si="23"/>
        <v>450.13579716813223</v>
      </c>
      <c r="AS36" s="162"/>
      <c r="AT36" s="925">
        <f t="shared" si="7"/>
        <v>39.5</v>
      </c>
      <c r="AU36" s="925">
        <f t="shared" si="24"/>
        <v>33.183072403542191</v>
      </c>
      <c r="AV36" s="925">
        <f t="shared" si="25"/>
        <v>66.071620495810336</v>
      </c>
      <c r="AW36">
        <f t="shared" si="17"/>
        <v>393.86848066635548</v>
      </c>
      <c r="AX36">
        <f t="shared" si="26"/>
        <v>375.13056909374365</v>
      </c>
      <c r="AY36">
        <f t="shared" si="46"/>
        <v>43.894001089022588</v>
      </c>
      <c r="AZ36">
        <f t="shared" si="28"/>
        <v>49.525843329022585</v>
      </c>
      <c r="BA36">
        <f t="shared" si="29"/>
        <v>0.8125</v>
      </c>
      <c r="BB36">
        <f t="shared" si="8"/>
        <v>4</v>
      </c>
      <c r="BC36" s="1801">
        <f t="shared" si="30"/>
        <v>8.3388741526675414E-2</v>
      </c>
      <c r="BD36"/>
      <c r="BE36">
        <v>0.3125</v>
      </c>
      <c r="BF36">
        <f t="shared" si="31"/>
        <v>20</v>
      </c>
      <c r="BG36">
        <f t="shared" si="32"/>
        <v>20.875</v>
      </c>
      <c r="BH36">
        <f t="shared" si="33"/>
        <v>21.197030523114929</v>
      </c>
      <c r="BI36" s="1805">
        <f t="shared" si="34"/>
        <v>0.3125</v>
      </c>
      <c r="BJ36" s="1801">
        <f t="shared" si="35"/>
        <v>0.75</v>
      </c>
      <c r="BK36">
        <f t="shared" si="36"/>
        <v>0.91101526155746448</v>
      </c>
      <c r="BL36"/>
      <c r="BM36"/>
      <c r="BN36"/>
      <c r="BO36"/>
      <c r="BP36"/>
      <c r="BQ36"/>
      <c r="BR36"/>
      <c r="BS36"/>
      <c r="BT36"/>
      <c r="BU36"/>
      <c r="BV36"/>
      <c r="BW36"/>
    </row>
    <row r="37" spans="1:75" ht="14.25" customHeight="1" x14ac:dyDescent="0.25">
      <c r="B37" s="1251"/>
      <c r="C37" s="1777"/>
      <c r="D37" s="1781">
        <v>23</v>
      </c>
      <c r="E37" s="1233" t="s">
        <v>771</v>
      </c>
      <c r="F37" s="1813">
        <v>24.375</v>
      </c>
      <c r="G37" s="1777">
        <v>0.25</v>
      </c>
      <c r="H37" s="1251" t="s">
        <v>324</v>
      </c>
      <c r="I37" s="1235">
        <v>1</v>
      </c>
      <c r="J37" s="1233">
        <v>65</v>
      </c>
      <c r="K37" s="1831">
        <f t="shared" si="38"/>
        <v>3</v>
      </c>
      <c r="L37" s="1832">
        <f t="shared" si="18"/>
        <v>28.125</v>
      </c>
      <c r="M37" s="1270" t="s">
        <v>352</v>
      </c>
      <c r="N37" s="1233" t="s">
        <v>378</v>
      </c>
      <c r="O37" s="1847">
        <f t="shared" si="43"/>
        <v>1</v>
      </c>
      <c r="P37" s="1848">
        <f t="shared" si="43"/>
        <v>65</v>
      </c>
      <c r="Q37" s="1282">
        <v>28</v>
      </c>
      <c r="R37" s="1251">
        <v>32</v>
      </c>
      <c r="S37" s="1831">
        <f t="shared" si="1"/>
        <v>14</v>
      </c>
      <c r="T37" s="1831">
        <f t="shared" si="19"/>
        <v>2</v>
      </c>
      <c r="U37" s="1286">
        <f t="shared" si="2"/>
        <v>2</v>
      </c>
      <c r="V37" s="1284">
        <v>2</v>
      </c>
      <c r="W37" s="1847">
        <f t="shared" si="39"/>
        <v>1</v>
      </c>
      <c r="X37" s="1234">
        <v>3.25</v>
      </c>
      <c r="Y37" s="1831">
        <f t="shared" si="44"/>
        <v>65</v>
      </c>
      <c r="Z37" s="1866">
        <f t="shared" si="45"/>
        <v>25.375</v>
      </c>
      <c r="AA37" s="1351">
        <v>12</v>
      </c>
      <c r="AB37" s="1403">
        <v>6</v>
      </c>
      <c r="AC37" s="1404">
        <v>4</v>
      </c>
      <c r="AD37" s="1352" t="s">
        <v>47</v>
      </c>
      <c r="AE37" s="1353">
        <v>1.5</v>
      </c>
      <c r="AF37" s="2031">
        <f t="shared" si="20"/>
        <v>1.625</v>
      </c>
      <c r="AG37" s="2032">
        <f t="shared" si="3"/>
        <v>4</v>
      </c>
      <c r="AH37" s="2033" t="s">
        <v>412</v>
      </c>
      <c r="AI37" s="2034" t="s">
        <v>413</v>
      </c>
      <c r="AJ37" s="2035" t="s">
        <v>413</v>
      </c>
      <c r="AK37" s="2036">
        <f t="shared" si="4"/>
        <v>7.75</v>
      </c>
      <c r="AL37" s="2037">
        <f t="shared" si="5"/>
        <v>6.75</v>
      </c>
      <c r="AM37" s="2038">
        <v>10.5</v>
      </c>
      <c r="AN37" s="2039">
        <v>1.25</v>
      </c>
      <c r="AO37" s="2040">
        <f t="shared" si="21"/>
        <v>20.625</v>
      </c>
      <c r="AP37" s="2041" t="str">
        <f t="shared" si="6"/>
        <v>PL 1 x 32 x 42 1/2</v>
      </c>
      <c r="AQ37" s="1921">
        <f t="shared" si="22"/>
        <v>428.06216158878914</v>
      </c>
      <c r="AR37" s="2042">
        <f t="shared" si="23"/>
        <v>433.84928560362727</v>
      </c>
      <c r="AT37" s="925">
        <f t="shared" si="7"/>
        <v>42.5</v>
      </c>
      <c r="AU37" s="925">
        <f t="shared" si="24"/>
        <v>24.887304302656641</v>
      </c>
      <c r="AV37" s="925">
        <f t="shared" si="25"/>
        <v>89.044516775185699</v>
      </c>
      <c r="AW37">
        <f t="shared" si="17"/>
        <v>378.63796049976656</v>
      </c>
      <c r="AX37">
        <f t="shared" si="26"/>
        <v>353.38493554232389</v>
      </c>
      <c r="AY37">
        <f t="shared" si="46"/>
        <v>49.424201089022588</v>
      </c>
      <c r="AZ37">
        <f t="shared" si="28"/>
        <v>55.906843329022585</v>
      </c>
      <c r="BA37">
        <f t="shared" si="29"/>
        <v>0.875</v>
      </c>
      <c r="BB37">
        <f t="shared" si="8"/>
        <v>4</v>
      </c>
      <c r="BC37" s="1801">
        <f t="shared" si="30"/>
        <v>9.6876251001001279E-2</v>
      </c>
      <c r="BE37">
        <v>0.25</v>
      </c>
      <c r="BF37">
        <f t="shared" si="31"/>
        <v>22.5</v>
      </c>
      <c r="BG37">
        <f t="shared" si="32"/>
        <v>23.875</v>
      </c>
      <c r="BH37">
        <f t="shared" si="33"/>
        <v>24.243310358772163</v>
      </c>
      <c r="BI37" s="1805">
        <f t="shared" si="34"/>
        <v>0.3125</v>
      </c>
      <c r="BJ37" s="1801">
        <f t="shared" si="35"/>
        <v>1</v>
      </c>
      <c r="BK37">
        <f t="shared" si="36"/>
        <v>1.1841551793860816</v>
      </c>
    </row>
    <row r="38" spans="1:75" ht="14.25" customHeight="1" x14ac:dyDescent="0.25">
      <c r="B38" s="1252"/>
      <c r="C38" s="1776"/>
      <c r="D38" s="1780">
        <v>22</v>
      </c>
      <c r="E38" s="1239" t="s">
        <v>786</v>
      </c>
      <c r="F38" s="1814">
        <v>23.5</v>
      </c>
      <c r="G38" s="1776">
        <v>0.375</v>
      </c>
      <c r="H38" s="1252" t="s">
        <v>325</v>
      </c>
      <c r="I38" s="1241">
        <v>1.25</v>
      </c>
      <c r="J38" s="1239">
        <v>65</v>
      </c>
      <c r="K38" s="1829">
        <f t="shared" si="38"/>
        <v>3.75</v>
      </c>
      <c r="L38" s="1830">
        <f t="shared" si="18"/>
        <v>28.125</v>
      </c>
      <c r="M38" s="1271" t="s">
        <v>353</v>
      </c>
      <c r="N38" s="1239" t="s">
        <v>379</v>
      </c>
      <c r="O38" s="1833">
        <f t="shared" si="43"/>
        <v>1.25</v>
      </c>
      <c r="P38" s="1846">
        <f t="shared" si="43"/>
        <v>65</v>
      </c>
      <c r="Q38" s="1283">
        <v>28</v>
      </c>
      <c r="R38" s="1252">
        <v>33.5</v>
      </c>
      <c r="S38" s="1829">
        <f t="shared" si="1"/>
        <v>14.25</v>
      </c>
      <c r="T38" s="1829">
        <f t="shared" si="19"/>
        <v>2.5</v>
      </c>
      <c r="U38" s="1287">
        <f t="shared" si="2"/>
        <v>2.5</v>
      </c>
      <c r="V38" s="1285">
        <v>2</v>
      </c>
      <c r="W38" s="1833">
        <f t="shared" si="39"/>
        <v>1.25</v>
      </c>
      <c r="X38" s="1240">
        <v>3.75</v>
      </c>
      <c r="Y38" s="1829">
        <f t="shared" si="44"/>
        <v>65</v>
      </c>
      <c r="Z38" s="1865">
        <f t="shared" si="45"/>
        <v>24.75</v>
      </c>
      <c r="AA38" s="1354">
        <v>12</v>
      </c>
      <c r="AB38" s="1405">
        <v>4.75</v>
      </c>
      <c r="AC38" s="1406">
        <v>4.75</v>
      </c>
      <c r="AD38" s="1355" t="s">
        <v>49</v>
      </c>
      <c r="AE38" s="1356">
        <v>1.75</v>
      </c>
      <c r="AF38" s="2043">
        <f t="shared" si="20"/>
        <v>1.875</v>
      </c>
      <c r="AG38" s="2044">
        <f t="shared" si="3"/>
        <v>4.75</v>
      </c>
      <c r="AH38" s="2045" t="s">
        <v>412</v>
      </c>
      <c r="AI38" s="2046" t="s">
        <v>413</v>
      </c>
      <c r="AJ38" s="2047" t="s">
        <v>413</v>
      </c>
      <c r="AK38" s="2048">
        <f t="shared" si="4"/>
        <v>9.25</v>
      </c>
      <c r="AL38" s="2049">
        <f t="shared" si="5"/>
        <v>8</v>
      </c>
      <c r="AM38" s="2050">
        <v>10</v>
      </c>
      <c r="AN38" s="2051">
        <v>1.25</v>
      </c>
      <c r="AO38" s="2046">
        <f t="shared" si="21"/>
        <v>19.375</v>
      </c>
      <c r="AP38" s="2052" t="str">
        <f t="shared" si="6"/>
        <v>PL 1 1/4 x 33 1/2 x 45 1/4</v>
      </c>
      <c r="AQ38" s="1908">
        <f t="shared" si="22"/>
        <v>595.79739506299927</v>
      </c>
      <c r="AR38" s="2053">
        <f t="shared" si="23"/>
        <v>609.6995546117314</v>
      </c>
      <c r="AT38" s="925">
        <f t="shared" si="7"/>
        <v>45.25</v>
      </c>
      <c r="AU38" s="925">
        <f t="shared" si="24"/>
        <v>33.133985018329852</v>
      </c>
      <c r="AV38" s="925">
        <f t="shared" si="25"/>
        <v>80.99418560036186</v>
      </c>
      <c r="AW38">
        <f t="shared" si="17"/>
        <v>525.63168981100205</v>
      </c>
      <c r="AX38">
        <f t="shared" si="26"/>
        <v>496.91925101567381</v>
      </c>
      <c r="AY38">
        <f t="shared" si="46"/>
        <v>70.165705251997238</v>
      </c>
      <c r="AZ38">
        <f t="shared" si="28"/>
        <v>78.269008051997233</v>
      </c>
      <c r="BA38">
        <f t="shared" si="29"/>
        <v>1.0625</v>
      </c>
      <c r="BB38">
        <f t="shared" si="8"/>
        <v>5</v>
      </c>
      <c r="BC38" s="1801">
        <f t="shared" si="30"/>
        <v>0.11419466720173155</v>
      </c>
      <c r="BE38">
        <v>0.3125</v>
      </c>
      <c r="BF38">
        <f t="shared" si="31"/>
        <v>21.25</v>
      </c>
      <c r="BG38">
        <f t="shared" si="32"/>
        <v>22.875</v>
      </c>
      <c r="BH38">
        <f t="shared" si="33"/>
        <v>23.227883746886416</v>
      </c>
      <c r="BI38" s="1805">
        <f t="shared" si="34"/>
        <v>0.3125</v>
      </c>
      <c r="BJ38" s="1801">
        <f t="shared" si="35"/>
        <v>1.125</v>
      </c>
      <c r="BK38">
        <f t="shared" si="36"/>
        <v>1.3014418734432081</v>
      </c>
    </row>
    <row r="39" spans="1:75" ht="14.25" customHeight="1" x14ac:dyDescent="0.25">
      <c r="B39" s="1251"/>
      <c r="C39" s="1777"/>
      <c r="D39" s="1781">
        <v>24.5</v>
      </c>
      <c r="E39" s="1233" t="s">
        <v>772</v>
      </c>
      <c r="F39" s="1813">
        <v>25.25</v>
      </c>
      <c r="G39" s="1777">
        <v>0.3125</v>
      </c>
      <c r="H39" s="1251" t="s">
        <v>326</v>
      </c>
      <c r="I39" s="1235">
        <v>1.25</v>
      </c>
      <c r="J39" s="1233">
        <v>65</v>
      </c>
      <c r="K39" s="1831">
        <f t="shared" si="38"/>
        <v>3.75</v>
      </c>
      <c r="L39" s="1832">
        <f t="shared" si="18"/>
        <v>30.125</v>
      </c>
      <c r="M39" s="1270" t="s">
        <v>354</v>
      </c>
      <c r="N39" s="1233" t="s">
        <v>380</v>
      </c>
      <c r="O39" s="1847">
        <f t="shared" si="43"/>
        <v>1.25</v>
      </c>
      <c r="P39" s="1848">
        <f t="shared" si="43"/>
        <v>65</v>
      </c>
      <c r="Q39" s="1282">
        <v>30</v>
      </c>
      <c r="R39" s="1251">
        <v>33.5</v>
      </c>
      <c r="S39" s="1831">
        <f t="shared" si="1"/>
        <v>14.25</v>
      </c>
      <c r="T39" s="1831">
        <f t="shared" si="19"/>
        <v>2.5</v>
      </c>
      <c r="U39" s="1286">
        <f t="shared" si="2"/>
        <v>2.5</v>
      </c>
      <c r="V39" s="1284">
        <v>2</v>
      </c>
      <c r="W39" s="1847">
        <f t="shared" si="39"/>
        <v>1.25</v>
      </c>
      <c r="X39" s="1234">
        <v>3.75</v>
      </c>
      <c r="Y39" s="1831">
        <f t="shared" si="44"/>
        <v>65</v>
      </c>
      <c r="Z39" s="1866">
        <f t="shared" si="45"/>
        <v>26.5</v>
      </c>
      <c r="AA39" s="1357">
        <v>12</v>
      </c>
      <c r="AB39" s="1407">
        <v>4.75</v>
      </c>
      <c r="AC39" s="1408">
        <v>4.75</v>
      </c>
      <c r="AD39" s="1358" t="s">
        <v>49</v>
      </c>
      <c r="AE39" s="1359">
        <v>1.75</v>
      </c>
      <c r="AF39" s="2054">
        <f t="shared" si="20"/>
        <v>1.875</v>
      </c>
      <c r="AG39" s="2055">
        <f t="shared" si="3"/>
        <v>4.75</v>
      </c>
      <c r="AH39" s="2056" t="s">
        <v>412</v>
      </c>
      <c r="AI39" s="2057" t="s">
        <v>413</v>
      </c>
      <c r="AJ39" s="2058" t="s">
        <v>413</v>
      </c>
      <c r="AK39" s="2059">
        <f t="shared" si="4"/>
        <v>9.25</v>
      </c>
      <c r="AL39" s="2060">
        <f t="shared" si="5"/>
        <v>8</v>
      </c>
      <c r="AM39" s="2061">
        <v>11</v>
      </c>
      <c r="AN39" s="2062">
        <v>1.25</v>
      </c>
      <c r="AO39" s="2063">
        <f t="shared" si="21"/>
        <v>22</v>
      </c>
      <c r="AP39" s="2064" t="str">
        <f t="shared" si="6"/>
        <v>PL 1 1/4 x 33 1/2 x 47 1/4</v>
      </c>
      <c r="AQ39" s="1921">
        <f t="shared" si="22"/>
        <v>624.86639506299923</v>
      </c>
      <c r="AR39" s="2065">
        <f t="shared" si="23"/>
        <v>635.06652418667431</v>
      </c>
      <c r="AT39" s="925">
        <f t="shared" si="7"/>
        <v>47.25</v>
      </c>
      <c r="AU39" s="925">
        <f t="shared" si="24"/>
        <v>33.133985018329852</v>
      </c>
      <c r="AV39" s="925">
        <f t="shared" si="25"/>
        <v>97.487547031708274</v>
      </c>
      <c r="AW39">
        <f t="shared" si="17"/>
        <v>549.38318981100201</v>
      </c>
      <c r="AX39">
        <f t="shared" si="26"/>
        <v>514.82385438826157</v>
      </c>
      <c r="AY39">
        <f t="shared" si="46"/>
        <v>75.483205251997248</v>
      </c>
      <c r="AZ39">
        <f t="shared" si="28"/>
        <v>84.295508051997231</v>
      </c>
      <c r="BA39">
        <f t="shared" si="29"/>
        <v>1</v>
      </c>
      <c r="BB39">
        <f t="shared" si="8"/>
        <v>5</v>
      </c>
      <c r="BC39" s="1801">
        <f t="shared" si="30"/>
        <v>0.10102051443364424</v>
      </c>
      <c r="BE39">
        <v>0.25</v>
      </c>
      <c r="BF39">
        <f t="shared" si="31"/>
        <v>23.875</v>
      </c>
      <c r="BG39">
        <f t="shared" si="32"/>
        <v>24.75</v>
      </c>
      <c r="BH39">
        <f t="shared" si="33"/>
        <v>25.131808644172189</v>
      </c>
      <c r="BI39" s="1805">
        <f t="shared" si="34"/>
        <v>0.3125</v>
      </c>
      <c r="BJ39" s="1801">
        <f t="shared" si="35"/>
        <v>0.75</v>
      </c>
      <c r="BK39">
        <f t="shared" si="36"/>
        <v>0.94090432208609442</v>
      </c>
    </row>
    <row r="40" spans="1:75" ht="14.25" customHeight="1" x14ac:dyDescent="0.25">
      <c r="B40" s="1252"/>
      <c r="C40" s="1776"/>
      <c r="D40" s="1780">
        <v>24</v>
      </c>
      <c r="E40" s="1239" t="s">
        <v>773</v>
      </c>
      <c r="F40" s="1814">
        <v>25.5</v>
      </c>
      <c r="G40" s="1776">
        <v>0.4375</v>
      </c>
      <c r="H40" s="1252" t="s">
        <v>327</v>
      </c>
      <c r="I40" s="1241">
        <v>1.25</v>
      </c>
      <c r="J40" s="1239">
        <v>65</v>
      </c>
      <c r="K40" s="1829">
        <f t="shared" si="38"/>
        <v>3.75</v>
      </c>
      <c r="L40" s="1830">
        <f t="shared" si="18"/>
        <v>30.125</v>
      </c>
      <c r="M40" s="1271" t="s">
        <v>355</v>
      </c>
      <c r="N40" s="1239" t="s">
        <v>381</v>
      </c>
      <c r="O40" s="1833">
        <f t="shared" si="43"/>
        <v>1.25</v>
      </c>
      <c r="P40" s="1846">
        <f t="shared" si="43"/>
        <v>65</v>
      </c>
      <c r="Q40" s="1283">
        <v>30</v>
      </c>
      <c r="R40" s="1252">
        <v>38.25</v>
      </c>
      <c r="S40" s="1829">
        <f t="shared" si="1"/>
        <v>16.625</v>
      </c>
      <c r="T40" s="1829">
        <f t="shared" si="19"/>
        <v>2.5</v>
      </c>
      <c r="U40" s="1287">
        <f t="shared" si="2"/>
        <v>2.5</v>
      </c>
      <c r="V40" s="1285">
        <v>2</v>
      </c>
      <c r="W40" s="1833">
        <f t="shared" si="39"/>
        <v>1.25</v>
      </c>
      <c r="X40" s="1240">
        <v>4</v>
      </c>
      <c r="Y40" s="1829">
        <f t="shared" si="44"/>
        <v>65</v>
      </c>
      <c r="Z40" s="1865">
        <f t="shared" si="45"/>
        <v>26.75</v>
      </c>
      <c r="AA40" s="1360">
        <v>16</v>
      </c>
      <c r="AB40" s="1409">
        <v>2.375</v>
      </c>
      <c r="AC40" s="1410">
        <v>4.75</v>
      </c>
      <c r="AD40" s="1361" t="s">
        <v>49</v>
      </c>
      <c r="AE40" s="1362">
        <v>1.75</v>
      </c>
      <c r="AF40" s="2066">
        <f t="shared" si="20"/>
        <v>1.875</v>
      </c>
      <c r="AG40" s="2067">
        <f t="shared" si="3"/>
        <v>4.75</v>
      </c>
      <c r="AH40" s="2068" t="s">
        <v>412</v>
      </c>
      <c r="AI40" s="2069" t="s">
        <v>413</v>
      </c>
      <c r="AJ40" s="2070" t="s">
        <v>413</v>
      </c>
      <c r="AK40" s="2071">
        <f t="shared" si="4"/>
        <v>9.5</v>
      </c>
      <c r="AL40" s="2072">
        <f t="shared" si="5"/>
        <v>8.25</v>
      </c>
      <c r="AM40" s="2073">
        <v>11</v>
      </c>
      <c r="AN40" s="2074">
        <v>1.25</v>
      </c>
      <c r="AO40" s="2075">
        <f t="shared" si="21"/>
        <v>21.25</v>
      </c>
      <c r="AP40" s="2076" t="str">
        <f t="shared" si="6"/>
        <v>PL 1 1/4 x 38 1/4 x 47 3/4</v>
      </c>
      <c r="AQ40" s="1908">
        <f t="shared" si="22"/>
        <v>712.61146875000009</v>
      </c>
      <c r="AR40" s="2077">
        <f t="shared" si="23"/>
        <v>728.07630229489496</v>
      </c>
      <c r="AT40" s="925">
        <f t="shared" si="7"/>
        <v>47.75</v>
      </c>
      <c r="AU40" s="925">
        <f t="shared" si="24"/>
        <v>44.178646691106465</v>
      </c>
      <c r="AV40" s="925">
        <f t="shared" si="25"/>
        <v>97.487547031708274</v>
      </c>
      <c r="AW40">
        <f t="shared" si="17"/>
        <v>631.81076349800287</v>
      </c>
      <c r="AX40">
        <f t="shared" si="26"/>
        <v>597.2514280752622</v>
      </c>
      <c r="AY40">
        <f t="shared" si="46"/>
        <v>80.800705251997243</v>
      </c>
      <c r="AZ40">
        <f t="shared" si="28"/>
        <v>89.613008051997241</v>
      </c>
      <c r="BA40">
        <f t="shared" si="29"/>
        <v>1</v>
      </c>
      <c r="BB40">
        <f t="shared" si="8"/>
        <v>5</v>
      </c>
      <c r="BC40" s="1801">
        <f t="shared" si="30"/>
        <v>0.10102051443364424</v>
      </c>
      <c r="BE40">
        <v>0.375</v>
      </c>
      <c r="BF40">
        <f t="shared" si="31"/>
        <v>23.125</v>
      </c>
      <c r="BG40">
        <f t="shared" si="32"/>
        <v>24.75</v>
      </c>
      <c r="BH40">
        <f t="shared" si="33"/>
        <v>25.131808644172189</v>
      </c>
      <c r="BI40" s="1805">
        <f t="shared" si="34"/>
        <v>0.3125</v>
      </c>
      <c r="BJ40" s="1801">
        <f t="shared" si="35"/>
        <v>1.125</v>
      </c>
      <c r="BK40">
        <f t="shared" si="36"/>
        <v>1.3159043220860944</v>
      </c>
    </row>
    <row r="41" spans="1:75" ht="14.25" customHeight="1" x14ac:dyDescent="0.25">
      <c r="B41" s="1253"/>
      <c r="C41" s="1713"/>
      <c r="D41" s="1782">
        <v>25.5</v>
      </c>
      <c r="E41" s="1233" t="s">
        <v>787</v>
      </c>
      <c r="F41" s="2102">
        <v>27.25</v>
      </c>
      <c r="G41" s="1713">
        <v>0.3125</v>
      </c>
      <c r="H41" s="1274" t="s">
        <v>328</v>
      </c>
      <c r="I41" s="1245">
        <v>1.25</v>
      </c>
      <c r="J41" s="1246">
        <v>65</v>
      </c>
      <c r="K41" s="1834">
        <f t="shared" si="38"/>
        <v>3.75</v>
      </c>
      <c r="L41" s="1835">
        <f t="shared" si="18"/>
        <v>32.125</v>
      </c>
      <c r="M41" s="1328" t="s">
        <v>356</v>
      </c>
      <c r="N41" s="1329" t="s">
        <v>382</v>
      </c>
      <c r="O41" s="1849">
        <f t="shared" si="43"/>
        <v>1.25</v>
      </c>
      <c r="P41" s="1850">
        <f t="shared" si="43"/>
        <v>65</v>
      </c>
      <c r="Q41" s="1336">
        <v>32</v>
      </c>
      <c r="R41" s="1373">
        <v>38.25</v>
      </c>
      <c r="S41" s="1857">
        <f t="shared" si="1"/>
        <v>16.625</v>
      </c>
      <c r="T41" s="1858">
        <f t="shared" si="19"/>
        <v>2.5</v>
      </c>
      <c r="U41" s="1341">
        <f t="shared" si="2"/>
        <v>2.5</v>
      </c>
      <c r="V41" s="1345">
        <v>2</v>
      </c>
      <c r="W41" s="1849">
        <f t="shared" si="39"/>
        <v>1.25</v>
      </c>
      <c r="X41" s="1324">
        <v>4</v>
      </c>
      <c r="Y41" s="1858">
        <f t="shared" si="44"/>
        <v>65</v>
      </c>
      <c r="Z41" s="1867">
        <f t="shared" si="45"/>
        <v>28.5</v>
      </c>
      <c r="AA41" s="1363">
        <v>12</v>
      </c>
      <c r="AB41" s="1411">
        <v>7.125</v>
      </c>
      <c r="AC41" s="1412">
        <v>4.75</v>
      </c>
      <c r="AD41" s="1364" t="s">
        <v>49</v>
      </c>
      <c r="AE41" s="1365">
        <v>1.75</v>
      </c>
      <c r="AF41" s="2078">
        <f t="shared" si="20"/>
        <v>1.875</v>
      </c>
      <c r="AG41" s="2079">
        <f t="shared" si="3"/>
        <v>4.75</v>
      </c>
      <c r="AH41" s="2080" t="s">
        <v>412</v>
      </c>
      <c r="AI41" s="2081" t="s">
        <v>413</v>
      </c>
      <c r="AJ41" s="2082" t="s">
        <v>413</v>
      </c>
      <c r="AK41" s="2083">
        <f t="shared" si="4"/>
        <v>9.5</v>
      </c>
      <c r="AL41" s="2084">
        <f t="shared" si="5"/>
        <v>8.25</v>
      </c>
      <c r="AM41" s="2085">
        <v>12</v>
      </c>
      <c r="AN41" s="2086">
        <v>1.5</v>
      </c>
      <c r="AO41" s="2103">
        <f t="shared" si="21"/>
        <v>22.75</v>
      </c>
      <c r="AP41" s="2087" t="str">
        <f t="shared" si="6"/>
        <v>PL 1 1/4 x 38 1/4 x 49 3/4</v>
      </c>
      <c r="AQ41" s="1921">
        <f t="shared" si="22"/>
        <v>749.31805131299927</v>
      </c>
      <c r="AR41" s="2088">
        <f t="shared" si="23"/>
        <v>760.54304878259029</v>
      </c>
      <c r="AT41" s="925">
        <f t="shared" si="7"/>
        <v>49.75</v>
      </c>
      <c r="AU41" s="925">
        <f t="shared" si="24"/>
        <v>33.133985018329852</v>
      </c>
      <c r="AV41" s="925">
        <f t="shared" si="25"/>
        <v>116.63162726452107</v>
      </c>
      <c r="AW41">
        <f t="shared" si="17"/>
        <v>662.84534606100203</v>
      </c>
      <c r="AX41">
        <f t="shared" si="26"/>
        <v>621.49943419572935</v>
      </c>
      <c r="AY41">
        <f t="shared" si="46"/>
        <v>86.47270525199724</v>
      </c>
      <c r="AZ41">
        <f t="shared" si="28"/>
        <v>95.994008051997255</v>
      </c>
      <c r="BA41">
        <f t="shared" si="29"/>
        <v>1</v>
      </c>
      <c r="BB41">
        <f t="shared" si="8"/>
        <v>5</v>
      </c>
      <c r="BC41" s="1801">
        <f t="shared" si="30"/>
        <v>0.10102051443364424</v>
      </c>
      <c r="BE41">
        <v>0.25</v>
      </c>
      <c r="BF41">
        <f t="shared" si="31"/>
        <v>24.875</v>
      </c>
      <c r="BG41">
        <f t="shared" si="32"/>
        <v>26.75</v>
      </c>
      <c r="BH41">
        <f t="shared" si="33"/>
        <v>27.16266186794368</v>
      </c>
      <c r="BI41" s="1805">
        <f t="shared" si="34"/>
        <v>0.3125</v>
      </c>
      <c r="BJ41" s="1801">
        <f t="shared" si="35"/>
        <v>1.25</v>
      </c>
      <c r="BK41">
        <f t="shared" si="36"/>
        <v>1.4563309339718398</v>
      </c>
    </row>
    <row r="42" spans="1:75" ht="14.25" customHeight="1" x14ac:dyDescent="0.25">
      <c r="B42" s="1254"/>
      <c r="C42" s="1714"/>
      <c r="D42" s="1784">
        <v>26</v>
      </c>
      <c r="E42" s="1239" t="s">
        <v>774</v>
      </c>
      <c r="F42" s="1815">
        <v>27.5</v>
      </c>
      <c r="G42" s="1714">
        <v>0.4375</v>
      </c>
      <c r="H42" s="1276" t="s">
        <v>329</v>
      </c>
      <c r="I42" s="1247">
        <v>1.25</v>
      </c>
      <c r="J42" s="1248">
        <v>65</v>
      </c>
      <c r="K42" s="1836">
        <f t="shared" si="38"/>
        <v>3.75</v>
      </c>
      <c r="L42" s="1837">
        <f t="shared" si="18"/>
        <v>32.125</v>
      </c>
      <c r="M42" s="1330" t="s">
        <v>357</v>
      </c>
      <c r="N42" s="1331" t="s">
        <v>383</v>
      </c>
      <c r="O42" s="1851">
        <f t="shared" si="43"/>
        <v>1.25</v>
      </c>
      <c r="P42" s="1852">
        <f t="shared" si="43"/>
        <v>65</v>
      </c>
      <c r="Q42" s="1337">
        <v>32</v>
      </c>
      <c r="R42" s="1374">
        <v>43</v>
      </c>
      <c r="S42" s="1859">
        <f t="shared" si="1"/>
        <v>19</v>
      </c>
      <c r="T42" s="1860">
        <f t="shared" si="19"/>
        <v>2.5</v>
      </c>
      <c r="U42" s="1342">
        <f t="shared" si="2"/>
        <v>2.5</v>
      </c>
      <c r="V42" s="1229">
        <v>2</v>
      </c>
      <c r="W42" s="1851">
        <f t="shared" si="39"/>
        <v>1.25</v>
      </c>
      <c r="X42" s="1325">
        <v>4.25</v>
      </c>
      <c r="Y42" s="1860">
        <f t="shared" si="44"/>
        <v>65</v>
      </c>
      <c r="Z42" s="1868">
        <f t="shared" si="45"/>
        <v>28.75</v>
      </c>
      <c r="AA42" s="1307">
        <v>16</v>
      </c>
      <c r="AB42" s="1393">
        <v>4.75</v>
      </c>
      <c r="AC42" s="1413">
        <v>4.75</v>
      </c>
      <c r="AD42" s="1366" t="s">
        <v>49</v>
      </c>
      <c r="AE42" s="1367">
        <v>1.75</v>
      </c>
      <c r="AF42" s="2089">
        <f t="shared" si="20"/>
        <v>1.875</v>
      </c>
      <c r="AG42" s="2090">
        <f t="shared" si="3"/>
        <v>4.75</v>
      </c>
      <c r="AH42" s="2091" t="s">
        <v>412</v>
      </c>
      <c r="AI42" s="2092" t="s">
        <v>413</v>
      </c>
      <c r="AJ42" s="2093" t="s">
        <v>413</v>
      </c>
      <c r="AK42" s="2094">
        <f t="shared" si="4"/>
        <v>9.75</v>
      </c>
      <c r="AL42" s="2095">
        <f t="shared" si="5"/>
        <v>8.5</v>
      </c>
      <c r="AM42" s="2096">
        <v>12</v>
      </c>
      <c r="AN42" s="2097">
        <v>1.5</v>
      </c>
      <c r="AO42" s="2098">
        <f t="shared" si="21"/>
        <v>23</v>
      </c>
      <c r="AP42" s="2099" t="str">
        <f t="shared" si="6"/>
        <v>PL 1 1/4 x 43 x 50 1/4</v>
      </c>
      <c r="AQ42" s="1908">
        <f t="shared" si="22"/>
        <v>842.46924999999999</v>
      </c>
      <c r="AR42" s="2100">
        <f t="shared" si="23"/>
        <v>859.2833193908109</v>
      </c>
      <c r="AT42" s="925">
        <f t="shared" si="7"/>
        <v>50.25</v>
      </c>
      <c r="AU42" s="925">
        <f t="shared" si="24"/>
        <v>44.178646691106465</v>
      </c>
      <c r="AV42" s="925">
        <f t="shared" si="25"/>
        <v>116.63162726452107</v>
      </c>
      <c r="AW42">
        <f t="shared" si="17"/>
        <v>750.32454474800272</v>
      </c>
      <c r="AX42">
        <f t="shared" si="26"/>
        <v>708.97863288273004</v>
      </c>
      <c r="AY42">
        <f t="shared" si="46"/>
        <v>92.144705251997237</v>
      </c>
      <c r="AZ42">
        <f t="shared" si="28"/>
        <v>101.66600805199725</v>
      </c>
      <c r="BA42">
        <f t="shared" si="29"/>
        <v>1</v>
      </c>
      <c r="BB42">
        <f t="shared" si="8"/>
        <v>5</v>
      </c>
      <c r="BC42" s="1801">
        <f t="shared" si="30"/>
        <v>0.10102051443364424</v>
      </c>
      <c r="BE42">
        <v>0.375</v>
      </c>
      <c r="BF42">
        <f t="shared" si="31"/>
        <v>25.125</v>
      </c>
      <c r="BG42">
        <f t="shared" si="32"/>
        <v>26.75</v>
      </c>
      <c r="BH42">
        <f t="shared" si="33"/>
        <v>27.16266186794368</v>
      </c>
      <c r="BI42" s="1805">
        <f t="shared" si="34"/>
        <v>0.3125</v>
      </c>
      <c r="BJ42" s="1801">
        <f t="shared" si="35"/>
        <v>1.125</v>
      </c>
      <c r="BK42">
        <f t="shared" si="36"/>
        <v>1.3313309339718398</v>
      </c>
    </row>
    <row r="43" spans="1:75" ht="14.25" customHeight="1" x14ac:dyDescent="0.25">
      <c r="B43" s="1255"/>
      <c r="C43" s="1715"/>
      <c r="D43" s="1786">
        <v>28</v>
      </c>
      <c r="E43" s="1233" t="s">
        <v>775</v>
      </c>
      <c r="F43" s="1820">
        <v>29.375</v>
      </c>
      <c r="G43" s="1715">
        <v>0.375</v>
      </c>
      <c r="H43" s="1278" t="s">
        <v>330</v>
      </c>
      <c r="I43" s="1249">
        <v>1.25</v>
      </c>
      <c r="J43" s="1250">
        <v>65</v>
      </c>
      <c r="K43" s="1838">
        <f t="shared" si="38"/>
        <v>3.75</v>
      </c>
      <c r="L43" s="1839">
        <f t="shared" si="18"/>
        <v>34.125</v>
      </c>
      <c r="M43" s="1332" t="s">
        <v>358</v>
      </c>
      <c r="N43" s="1333" t="s">
        <v>384</v>
      </c>
      <c r="O43" s="1853">
        <f t="shared" si="43"/>
        <v>1.25</v>
      </c>
      <c r="P43" s="1854">
        <f t="shared" si="43"/>
        <v>65</v>
      </c>
      <c r="Q43" s="1338">
        <v>34</v>
      </c>
      <c r="R43" s="1375">
        <v>43</v>
      </c>
      <c r="S43" s="1861">
        <f t="shared" si="1"/>
        <v>19</v>
      </c>
      <c r="T43" s="1862">
        <f t="shared" si="19"/>
        <v>2.5</v>
      </c>
      <c r="U43" s="1343">
        <f t="shared" si="2"/>
        <v>2.5</v>
      </c>
      <c r="V43" s="1346">
        <v>2</v>
      </c>
      <c r="W43" s="1853">
        <f t="shared" si="39"/>
        <v>1.25</v>
      </c>
      <c r="X43" s="1326">
        <v>4.25</v>
      </c>
      <c r="Y43" s="1862">
        <f t="shared" si="44"/>
        <v>65</v>
      </c>
      <c r="Z43" s="1869">
        <f t="shared" si="45"/>
        <v>30.625</v>
      </c>
      <c r="AA43" s="1368">
        <v>16</v>
      </c>
      <c r="AB43" s="1414">
        <v>4.75</v>
      </c>
      <c r="AC43" s="1415">
        <v>4.75</v>
      </c>
      <c r="AD43" s="1369" t="s">
        <v>49</v>
      </c>
      <c r="AE43" s="1370">
        <v>1.75</v>
      </c>
      <c r="AF43" s="914">
        <f t="shared" si="20"/>
        <v>1.875</v>
      </c>
      <c r="AG43" s="1511">
        <f t="shared" si="3"/>
        <v>4.75</v>
      </c>
      <c r="AH43" s="916" t="s">
        <v>412</v>
      </c>
      <c r="AI43" s="917" t="s">
        <v>413</v>
      </c>
      <c r="AJ43" s="1322" t="s">
        <v>413</v>
      </c>
      <c r="AK43" s="1492">
        <f t="shared" si="4"/>
        <v>9.75</v>
      </c>
      <c r="AL43" s="1473">
        <f t="shared" si="5"/>
        <v>8.5</v>
      </c>
      <c r="AM43" s="1741">
        <v>13</v>
      </c>
      <c r="AN43" s="1766">
        <v>1.5</v>
      </c>
      <c r="AO43" s="1816">
        <f t="shared" si="21"/>
        <v>25.125</v>
      </c>
      <c r="AP43" s="922" t="str">
        <f t="shared" si="6"/>
        <v>PL 1 1/4 x 43 x 52 1/4</v>
      </c>
      <c r="AQ43" s="1515">
        <f t="shared" si="22"/>
        <v>878.9827499999999</v>
      </c>
      <c r="AR43" s="1523">
        <f t="shared" si="23"/>
        <v>891.36094269431442</v>
      </c>
      <c r="AT43" s="925">
        <f t="shared" si="7"/>
        <v>52.25</v>
      </c>
      <c r="AU43" s="925">
        <f t="shared" si="24"/>
        <v>44.178646691106465</v>
      </c>
      <c r="AV43" s="925">
        <f t="shared" si="25"/>
        <v>136.26658134945728</v>
      </c>
      <c r="AW43">
        <f t="shared" si="17"/>
        <v>780.81154474800269</v>
      </c>
      <c r="AX43">
        <f t="shared" si="26"/>
        <v>732.50504165962013</v>
      </c>
      <c r="AY43">
        <f t="shared" si="46"/>
        <v>98.17120525199725</v>
      </c>
      <c r="AZ43">
        <f t="shared" si="28"/>
        <v>108.40150805199725</v>
      </c>
      <c r="BA43">
        <f t="shared" si="29"/>
        <v>1</v>
      </c>
      <c r="BB43">
        <f t="shared" si="8"/>
        <v>5</v>
      </c>
      <c r="BC43" s="1801">
        <f t="shared" si="30"/>
        <v>0.10102051443364424</v>
      </c>
      <c r="BE43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05">
        <f t="shared" si="34"/>
        <v>0.3125</v>
      </c>
      <c r="BJ43" s="1801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256"/>
      <c r="C44" s="1716"/>
      <c r="D44" s="1788">
        <v>28</v>
      </c>
      <c r="E44" s="1821" t="s">
        <v>776</v>
      </c>
      <c r="F44" s="1822">
        <v>29.625</v>
      </c>
      <c r="G44" s="1716">
        <v>0.5</v>
      </c>
      <c r="H44" s="1280" t="s">
        <v>331</v>
      </c>
      <c r="I44" s="1257">
        <v>1.25</v>
      </c>
      <c r="J44" s="1258">
        <v>65</v>
      </c>
      <c r="K44" s="1840">
        <f t="shared" si="38"/>
        <v>3.75</v>
      </c>
      <c r="L44" s="1841">
        <f t="shared" si="18"/>
        <v>34.125</v>
      </c>
      <c r="M44" s="1334" t="s">
        <v>359</v>
      </c>
      <c r="N44" s="1335" t="s">
        <v>385</v>
      </c>
      <c r="O44" s="1855">
        <f t="shared" si="43"/>
        <v>1.25</v>
      </c>
      <c r="P44" s="1856">
        <f t="shared" si="43"/>
        <v>65</v>
      </c>
      <c r="Q44" s="1339">
        <v>34</v>
      </c>
      <c r="R44" s="1376">
        <v>47.75</v>
      </c>
      <c r="S44" s="1863">
        <f t="shared" si="1"/>
        <v>21.375</v>
      </c>
      <c r="T44" s="1864">
        <f t="shared" si="19"/>
        <v>2.5</v>
      </c>
      <c r="U44" s="1344">
        <f>CEILING(1.3*AE44,0.25)</f>
        <v>2.5</v>
      </c>
      <c r="V44" s="1347">
        <v>2</v>
      </c>
      <c r="W44" s="1855">
        <f t="shared" si="39"/>
        <v>1.25</v>
      </c>
      <c r="X44" s="1327">
        <v>4.5</v>
      </c>
      <c r="Y44" s="1864">
        <f t="shared" si="44"/>
        <v>65</v>
      </c>
      <c r="Z44" s="1870">
        <f t="shared" si="45"/>
        <v>30.875</v>
      </c>
      <c r="AA44" s="1340">
        <v>20</v>
      </c>
      <c r="AB44" s="1416">
        <v>2.375</v>
      </c>
      <c r="AC44" s="1417">
        <v>4.75</v>
      </c>
      <c r="AD44" s="1371" t="s">
        <v>49</v>
      </c>
      <c r="AE44" s="1372">
        <v>1.75</v>
      </c>
      <c r="AF44" s="1263">
        <f t="shared" si="20"/>
        <v>1.875</v>
      </c>
      <c r="AG44" s="1512">
        <f t="shared" si="3"/>
        <v>4.75</v>
      </c>
      <c r="AH44" s="1264" t="s">
        <v>412</v>
      </c>
      <c r="AI44" s="1265" t="s">
        <v>413</v>
      </c>
      <c r="AJ44" s="1323" t="s">
        <v>413</v>
      </c>
      <c r="AK44" s="1493">
        <f t="shared" si="4"/>
        <v>10</v>
      </c>
      <c r="AL44" s="1474">
        <f t="shared" si="5"/>
        <v>8.75</v>
      </c>
      <c r="AM44" s="1742">
        <v>13</v>
      </c>
      <c r="AN44" s="1767">
        <v>1.5</v>
      </c>
      <c r="AO44" s="1817">
        <f t="shared" si="21"/>
        <v>24.875</v>
      </c>
      <c r="AP44" s="1268" t="str">
        <f t="shared" si="6"/>
        <v>PL 1 1/4 x 47 3/4 x 52 3/4</v>
      </c>
      <c r="AQ44" s="1516">
        <f t="shared" si="22"/>
        <v>977.54007368700081</v>
      </c>
      <c r="AR44" s="1269">
        <f t="shared" si="23"/>
        <v>995.83170580253534</v>
      </c>
      <c r="AT44" s="925">
        <f t="shared" si="7"/>
        <v>52.75</v>
      </c>
      <c r="AU44" s="925">
        <f t="shared" si="24"/>
        <v>55.223308363883085</v>
      </c>
      <c r="AV44" s="925">
        <f t="shared" si="25"/>
        <v>136.26658134945728</v>
      </c>
      <c r="AW44">
        <f t="shared" si="17"/>
        <v>873.34236843500355</v>
      </c>
      <c r="AX44">
        <f t="shared" si="26"/>
        <v>825.03586534662088</v>
      </c>
      <c r="AY44">
        <f t="shared" si="46"/>
        <v>104.19770525199725</v>
      </c>
      <c r="AZ44">
        <f t="shared" si="28"/>
        <v>114.42800805199725</v>
      </c>
      <c r="BA44">
        <f t="shared" si="29"/>
        <v>1</v>
      </c>
      <c r="BB44">
        <f t="shared" si="8"/>
        <v>5</v>
      </c>
      <c r="BC44" s="1801">
        <f t="shared" si="30"/>
        <v>0.10102051443364424</v>
      </c>
      <c r="BE44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05">
        <f t="shared" si="34"/>
        <v>0.3125</v>
      </c>
      <c r="BJ44" s="1801">
        <f t="shared" si="35"/>
        <v>1.1875</v>
      </c>
      <c r="BK44">
        <f t="shared" si="36"/>
        <v>1.4092575458575851</v>
      </c>
    </row>
    <row r="45" spans="1:75" x14ac:dyDescent="0.25">
      <c r="B45" s="2104" t="s">
        <v>778</v>
      </c>
      <c r="C45" s="2107" t="s">
        <v>780</v>
      </c>
      <c r="Q45" s="928"/>
      <c r="R45" s="928"/>
    </row>
    <row r="46" spans="1:75" x14ac:dyDescent="0.25">
      <c r="B46" s="2104"/>
      <c r="C46" s="2105" t="s">
        <v>779</v>
      </c>
      <c r="Q46" s="928"/>
      <c r="R46" s="928"/>
    </row>
    <row r="47" spans="1:75" x14ac:dyDescent="0.25">
      <c r="Q47" s="928"/>
      <c r="R47" s="928"/>
    </row>
    <row r="48" spans="1:75" ht="32.25" customHeight="1" thickBot="1" x14ac:dyDescent="0.3">
      <c r="D48" s="2193" t="s">
        <v>688</v>
      </c>
      <c r="E48" s="2193"/>
      <c r="F48" s="2193" t="s">
        <v>689</v>
      </c>
      <c r="G48" s="2193"/>
      <c r="H48" s="2193" t="s">
        <v>690</v>
      </c>
      <c r="I48" s="2193"/>
    </row>
    <row r="49" spans="4:9" ht="15.75" thickTop="1" x14ac:dyDescent="0.25">
      <c r="D49" s="2194" t="s">
        <v>697</v>
      </c>
      <c r="E49" s="2194"/>
      <c r="F49" s="2195" t="s">
        <v>693</v>
      </c>
      <c r="G49" s="2194"/>
      <c r="H49" s="2194" t="s">
        <v>695</v>
      </c>
      <c r="I49" s="2194"/>
    </row>
    <row r="50" spans="4:9" x14ac:dyDescent="0.25">
      <c r="D50" s="2196" t="s">
        <v>698</v>
      </c>
      <c r="E50" s="2196"/>
      <c r="F50" s="2197" t="s">
        <v>694</v>
      </c>
      <c r="G50" s="2196"/>
      <c r="H50" s="2196" t="s">
        <v>695</v>
      </c>
      <c r="I50" s="2196"/>
    </row>
    <row r="51" spans="4:9" x14ac:dyDescent="0.25">
      <c r="D51" s="2196" t="s">
        <v>699</v>
      </c>
      <c r="E51" s="2196"/>
      <c r="F51" s="2197" t="s">
        <v>701</v>
      </c>
      <c r="G51" s="2196"/>
      <c r="H51" s="2196" t="s">
        <v>695</v>
      </c>
      <c r="I51" s="2196"/>
    </row>
    <row r="52" spans="4:9" x14ac:dyDescent="0.25">
      <c r="D52" s="2196" t="s">
        <v>699</v>
      </c>
      <c r="E52" s="2196"/>
      <c r="F52" s="2197" t="s">
        <v>702</v>
      </c>
      <c r="G52" s="2196"/>
      <c r="H52" s="2196" t="s">
        <v>692</v>
      </c>
      <c r="I52" s="2196"/>
    </row>
    <row r="53" spans="4:9" x14ac:dyDescent="0.25">
      <c r="D53" s="2196" t="s">
        <v>700</v>
      </c>
      <c r="E53" s="2196"/>
      <c r="F53" s="2197" t="s">
        <v>696</v>
      </c>
      <c r="G53" s="2196"/>
      <c r="H53" s="2196" t="s">
        <v>691</v>
      </c>
      <c r="I53" s="2196"/>
    </row>
  </sheetData>
  <mergeCells count="63">
    <mergeCell ref="D52:E52"/>
    <mergeCell ref="F52:G52"/>
    <mergeCell ref="H52:I52"/>
    <mergeCell ref="D53:E53"/>
    <mergeCell ref="F53:G53"/>
    <mergeCell ref="H53:I53"/>
    <mergeCell ref="D50:E50"/>
    <mergeCell ref="F50:G50"/>
    <mergeCell ref="H50:I50"/>
    <mergeCell ref="D51:E51"/>
    <mergeCell ref="F51:G51"/>
    <mergeCell ref="H51:I51"/>
    <mergeCell ref="D48:E48"/>
    <mergeCell ref="F48:G48"/>
    <mergeCell ref="H48:I48"/>
    <mergeCell ref="D49:E49"/>
    <mergeCell ref="F49:G49"/>
    <mergeCell ref="H49:I49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H2:I2"/>
    <mergeCell ref="BF3:BK3"/>
    <mergeCell ref="B4:G4"/>
    <mergeCell ref="H4:L4"/>
    <mergeCell ref="M4:Q4"/>
    <mergeCell ref="R4:U4"/>
    <mergeCell ref="V4:Z4"/>
    <mergeCell ref="AA4:AJ4"/>
    <mergeCell ref="AK4:AR4"/>
  </mergeCells>
  <conditionalFormatting sqref="BC20 BC25:BC30 BC33:BC44">
    <cfRule type="cellIs" dxfId="18" priority="19" operator="greaterThan">
      <formula>$BC$5</formula>
    </cfRule>
  </conditionalFormatting>
  <conditionalFormatting sqref="BC10">
    <cfRule type="cellIs" dxfId="17" priority="14" operator="greaterThan">
      <formula>$BC$5</formula>
    </cfRule>
  </conditionalFormatting>
  <conditionalFormatting sqref="BC13">
    <cfRule type="cellIs" dxfId="16" priority="11" operator="greaterThan">
      <formula>$BC$5</formula>
    </cfRule>
  </conditionalFormatting>
  <conditionalFormatting sqref="BC15">
    <cfRule type="cellIs" dxfId="15" priority="9" operator="greaterThan">
      <formula>$BC$5</formula>
    </cfRule>
  </conditionalFormatting>
  <conditionalFormatting sqref="BC11">
    <cfRule type="cellIs" dxfId="14" priority="13" operator="greaterThan">
      <formula>$BC$5</formula>
    </cfRule>
  </conditionalFormatting>
  <conditionalFormatting sqref="BC16">
    <cfRule type="cellIs" dxfId="13" priority="8" operator="greaterThan">
      <formula>$BC$5</formula>
    </cfRule>
  </conditionalFormatting>
  <conditionalFormatting sqref="BC31:BC32">
    <cfRule type="cellIs" dxfId="12" priority="18" operator="greaterThan">
      <formula>$BC$5</formula>
    </cfRule>
  </conditionalFormatting>
  <conditionalFormatting sqref="BC9">
    <cfRule type="cellIs" dxfId="11" priority="17" operator="greaterThan">
      <formula>$BC$5</formula>
    </cfRule>
  </conditionalFormatting>
  <conditionalFormatting sqref="BC19">
    <cfRule type="cellIs" dxfId="10" priority="5" operator="greaterThan">
      <formula>$BC$5</formula>
    </cfRule>
  </conditionalFormatting>
  <conditionalFormatting sqref="BC14">
    <cfRule type="cellIs" dxfId="9" priority="10" operator="greaterThan">
      <formula>$BC$5</formula>
    </cfRule>
  </conditionalFormatting>
  <conditionalFormatting sqref="BC17">
    <cfRule type="cellIs" dxfId="8" priority="7" operator="greaterThan">
      <formula>$BC$5</formula>
    </cfRule>
  </conditionalFormatting>
  <conditionalFormatting sqref="BC21">
    <cfRule type="cellIs" dxfId="7" priority="1" operator="greaterThan">
      <formula>$BC$5</formula>
    </cfRule>
  </conditionalFormatting>
  <conditionalFormatting sqref="BC22">
    <cfRule type="cellIs" dxfId="6" priority="4" operator="greaterThan">
      <formula>$BC$5</formula>
    </cfRule>
  </conditionalFormatting>
  <conditionalFormatting sqref="BC8">
    <cfRule type="cellIs" dxfId="5" priority="16" operator="greaterThan">
      <formula>$BC$5</formula>
    </cfRule>
  </conditionalFormatting>
  <conditionalFormatting sqref="BC7">
    <cfRule type="cellIs" dxfId="4" priority="15" operator="greaterThan">
      <formula>$BC$5</formula>
    </cfRule>
  </conditionalFormatting>
  <conditionalFormatting sqref="BC12">
    <cfRule type="cellIs" dxfId="3" priority="12" operator="greaterThan">
      <formula>$BC$5</formula>
    </cfRule>
  </conditionalFormatting>
  <conditionalFormatting sqref="BC18">
    <cfRule type="cellIs" dxfId="2" priority="6" operator="greaterThan">
      <formula>$BC$5</formula>
    </cfRule>
  </conditionalFormatting>
  <conditionalFormatting sqref="BC23">
    <cfRule type="cellIs" dxfId="1" priority="3" operator="greaterThan">
      <formula>$BC$5</formula>
    </cfRule>
  </conditionalFormatting>
  <conditionalFormatting sqref="BC24">
    <cfRule type="cellIs" dxfId="0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54" customWidth="1"/>
    <col min="2" max="3" width="8.42578125" style="954" customWidth="1"/>
    <col min="4" max="4" width="8.85546875" style="954" customWidth="1"/>
    <col min="5" max="5" width="7.28515625" style="954" customWidth="1"/>
    <col min="6" max="6" width="14" style="954" customWidth="1"/>
    <col min="7" max="7" width="8.140625" style="954" customWidth="1"/>
    <col min="8" max="8" width="12" style="954" customWidth="1"/>
    <col min="9" max="9" width="5.42578125" style="954" customWidth="1"/>
    <col min="10" max="10" width="6.85546875" style="954" customWidth="1"/>
    <col min="11" max="11" width="6.7109375" style="954" customWidth="1"/>
    <col min="12" max="12" width="7.140625" style="954" customWidth="1"/>
    <col min="13" max="13" width="8.28515625" style="954" customWidth="1"/>
    <col min="14" max="14" width="12.140625" style="954" customWidth="1"/>
    <col min="15" max="15" width="5.140625" style="954" customWidth="1"/>
    <col min="16" max="16" width="7.5703125" style="954" customWidth="1"/>
    <col min="17" max="17" width="8.140625" style="954" customWidth="1"/>
    <col min="18" max="18" width="7.140625" style="954" customWidth="1"/>
    <col min="19" max="19" width="7.42578125" style="954" customWidth="1"/>
    <col min="20" max="20" width="6" style="954" customWidth="1"/>
    <col min="21" max="21" width="7.5703125" style="954" customWidth="1"/>
    <col min="22" max="22" width="6.7109375" style="954" customWidth="1"/>
    <col min="23" max="23" width="6.5703125" style="954" customWidth="1"/>
    <col min="24" max="24" width="8.42578125" style="954" customWidth="1"/>
    <col min="25" max="25" width="8.85546875" style="954" customWidth="1"/>
    <col min="26" max="26" width="7.42578125" style="954" customWidth="1"/>
    <col min="27" max="27" width="7.140625" style="954" customWidth="1"/>
    <col min="28" max="28" width="7.42578125" style="954" customWidth="1"/>
    <col min="29" max="29" width="7.7109375" style="954" customWidth="1"/>
    <col min="30" max="30" width="7.85546875" style="954" customWidth="1"/>
    <col min="31" max="31" width="7.7109375" style="954" customWidth="1"/>
    <col min="32" max="32" width="7.5703125" style="954" customWidth="1"/>
    <col min="33" max="33" width="18.140625" style="954" customWidth="1"/>
    <col min="34" max="34" width="7.140625" style="954" customWidth="1"/>
    <col min="35" max="16384" width="9.140625" style="954"/>
  </cols>
  <sheetData>
    <row r="2" spans="2:34" x14ac:dyDescent="0.25">
      <c r="B2" s="953" t="s">
        <v>272</v>
      </c>
      <c r="C2" s="953"/>
    </row>
    <row r="3" spans="2:34" ht="9" customHeight="1" x14ac:dyDescent="0.25"/>
    <row r="4" spans="2:34" x14ac:dyDescent="0.25">
      <c r="B4" s="2198" t="s">
        <v>512</v>
      </c>
      <c r="C4" s="2199"/>
      <c r="D4" s="2199"/>
      <c r="E4" s="2200"/>
      <c r="F4" s="2210" t="s">
        <v>513</v>
      </c>
      <c r="G4" s="2211"/>
      <c r="H4" s="2211"/>
      <c r="I4" s="2211"/>
      <c r="J4" s="2212"/>
      <c r="K4" s="2213" t="s">
        <v>514</v>
      </c>
      <c r="L4" s="2204"/>
      <c r="M4" s="2204"/>
      <c r="N4" s="2204"/>
      <c r="O4" s="2204"/>
      <c r="P4" s="2209"/>
      <c r="Q4" s="2203" t="s">
        <v>303</v>
      </c>
      <c r="R4" s="2204"/>
      <c r="S4" s="2209"/>
      <c r="T4" s="2203" t="s">
        <v>44</v>
      </c>
      <c r="U4" s="2204"/>
      <c r="V4" s="2204"/>
      <c r="W4" s="2204"/>
      <c r="X4" s="2204"/>
      <c r="Y4" s="2204"/>
      <c r="Z4" s="2204"/>
      <c r="AA4" s="2204"/>
      <c r="AB4" s="2205"/>
      <c r="AC4" s="2206" t="s">
        <v>515</v>
      </c>
      <c r="AD4" s="2207"/>
      <c r="AE4" s="2207"/>
      <c r="AF4" s="2207"/>
      <c r="AG4" s="2207"/>
      <c r="AH4" s="2208"/>
    </row>
    <row r="5" spans="2:34" ht="64.5" x14ac:dyDescent="0.25">
      <c r="B5" s="166" t="s">
        <v>274</v>
      </c>
      <c r="C5" s="167" t="s">
        <v>609</v>
      </c>
      <c r="D5" s="167" t="s">
        <v>610</v>
      </c>
      <c r="E5" s="1120" t="s">
        <v>8</v>
      </c>
      <c r="F5" s="168" t="s">
        <v>275</v>
      </c>
      <c r="G5" s="169" t="s">
        <v>276</v>
      </c>
      <c r="H5" s="170" t="s">
        <v>277</v>
      </c>
      <c r="I5" s="171" t="s">
        <v>278</v>
      </c>
      <c r="J5" s="172" t="s">
        <v>279</v>
      </c>
      <c r="K5" s="173" t="s">
        <v>280</v>
      </c>
      <c r="L5" s="174" t="s">
        <v>281</v>
      </c>
      <c r="M5" s="175" t="s">
        <v>276</v>
      </c>
      <c r="N5" s="176" t="s">
        <v>277</v>
      </c>
      <c r="O5" s="177" t="s">
        <v>278</v>
      </c>
      <c r="P5" s="178" t="s">
        <v>282</v>
      </c>
      <c r="Q5" s="179" t="s">
        <v>283</v>
      </c>
      <c r="R5" s="180" t="s">
        <v>284</v>
      </c>
      <c r="S5" s="181" t="s">
        <v>285</v>
      </c>
      <c r="T5" s="182" t="s">
        <v>286</v>
      </c>
      <c r="U5" s="183" t="s">
        <v>287</v>
      </c>
      <c r="V5" s="184" t="s">
        <v>288</v>
      </c>
      <c r="W5" s="185" t="s">
        <v>289</v>
      </c>
      <c r="X5" s="186" t="s">
        <v>290</v>
      </c>
      <c r="Y5" s="187" t="s">
        <v>291</v>
      </c>
      <c r="Z5" s="188" t="s">
        <v>292</v>
      </c>
      <c r="AA5" s="189" t="s">
        <v>293</v>
      </c>
      <c r="AB5" s="190" t="s">
        <v>294</v>
      </c>
      <c r="AC5" s="191" t="s">
        <v>295</v>
      </c>
      <c r="AD5" s="192" t="s">
        <v>296</v>
      </c>
      <c r="AE5" s="2201" t="s">
        <v>297</v>
      </c>
      <c r="AF5" s="2202"/>
      <c r="AG5" s="193" t="s">
        <v>298</v>
      </c>
      <c r="AH5" s="194" t="s">
        <v>299</v>
      </c>
    </row>
    <row r="6" spans="2:34" x14ac:dyDescent="0.25">
      <c r="B6" s="955" t="s">
        <v>411</v>
      </c>
      <c r="C6" s="1182"/>
      <c r="D6" s="956">
        <v>6</v>
      </c>
      <c r="E6" s="1121" t="s">
        <v>605</v>
      </c>
      <c r="F6" s="957" t="s">
        <v>575</v>
      </c>
      <c r="G6" s="958">
        <v>0.625</v>
      </c>
      <c r="H6" s="959" t="s">
        <v>511</v>
      </c>
      <c r="I6" s="960">
        <v>65</v>
      </c>
      <c r="J6" s="961">
        <v>2</v>
      </c>
      <c r="K6" s="962" t="s">
        <v>516</v>
      </c>
      <c r="L6" s="963" t="s">
        <v>517</v>
      </c>
      <c r="M6" s="964">
        <v>0.625</v>
      </c>
      <c r="N6" s="965" t="s">
        <v>511</v>
      </c>
      <c r="O6" s="966">
        <v>65</v>
      </c>
      <c r="P6" s="967">
        <v>9</v>
      </c>
      <c r="Q6" s="968">
        <v>11</v>
      </c>
      <c r="R6" s="969">
        <v>4</v>
      </c>
      <c r="S6" s="970">
        <v>1.5</v>
      </c>
      <c r="T6" s="971">
        <v>4</v>
      </c>
      <c r="U6" s="972">
        <v>4</v>
      </c>
      <c r="V6" s="973">
        <v>0</v>
      </c>
      <c r="W6" s="974" t="s">
        <v>47</v>
      </c>
      <c r="X6" s="975">
        <v>1</v>
      </c>
      <c r="Y6" s="976">
        <v>1.125</v>
      </c>
      <c r="Z6" s="197">
        <v>3</v>
      </c>
      <c r="AA6" s="198" t="s">
        <v>412</v>
      </c>
      <c r="AB6" s="199" t="s">
        <v>413</v>
      </c>
      <c r="AC6" s="977">
        <v>5.5</v>
      </c>
      <c r="AD6" s="978">
        <v>5.875</v>
      </c>
      <c r="AE6" s="979">
        <v>4.625</v>
      </c>
      <c r="AF6" s="980">
        <v>4.8125</v>
      </c>
      <c r="AG6" s="981" t="s">
        <v>491</v>
      </c>
      <c r="AH6" s="982">
        <v>36</v>
      </c>
    </row>
    <row r="7" spans="2:34" x14ac:dyDescent="0.25">
      <c r="B7" s="200" t="s">
        <v>414</v>
      </c>
      <c r="C7" s="1183"/>
      <c r="D7" s="201">
        <v>8</v>
      </c>
      <c r="E7" s="1122" t="s">
        <v>605</v>
      </c>
      <c r="F7" s="202" t="s">
        <v>576</v>
      </c>
      <c r="G7" s="983">
        <v>0.625</v>
      </c>
      <c r="H7" s="203" t="s">
        <v>511</v>
      </c>
      <c r="I7" s="984">
        <v>65</v>
      </c>
      <c r="J7" s="204">
        <v>2</v>
      </c>
      <c r="K7" s="205" t="s">
        <v>518</v>
      </c>
      <c r="L7" s="206" t="s">
        <v>519</v>
      </c>
      <c r="M7" s="985">
        <v>0.625</v>
      </c>
      <c r="N7" s="986" t="s">
        <v>511</v>
      </c>
      <c r="O7" s="207">
        <v>65</v>
      </c>
      <c r="P7" s="208">
        <v>11</v>
      </c>
      <c r="Q7" s="209">
        <v>15</v>
      </c>
      <c r="R7" s="210">
        <v>6</v>
      </c>
      <c r="S7" s="211">
        <v>1.5</v>
      </c>
      <c r="T7" s="212">
        <v>8</v>
      </c>
      <c r="U7" s="213">
        <v>3</v>
      </c>
      <c r="V7" s="214">
        <v>3</v>
      </c>
      <c r="W7" s="215" t="s">
        <v>47</v>
      </c>
      <c r="X7" s="216">
        <v>1</v>
      </c>
      <c r="Y7" s="217">
        <v>1.125</v>
      </c>
      <c r="Z7" s="218">
        <v>3</v>
      </c>
      <c r="AA7" s="219" t="s">
        <v>412</v>
      </c>
      <c r="AB7" s="220" t="s">
        <v>413</v>
      </c>
      <c r="AC7" s="221">
        <v>5.5</v>
      </c>
      <c r="AD7" s="222">
        <v>5.875</v>
      </c>
      <c r="AE7" s="223">
        <v>4.625</v>
      </c>
      <c r="AF7" s="224">
        <v>4.8125</v>
      </c>
      <c r="AG7" s="225" t="s">
        <v>492</v>
      </c>
      <c r="AH7" s="226">
        <v>55</v>
      </c>
    </row>
    <row r="8" spans="2:34" x14ac:dyDescent="0.25">
      <c r="B8" s="227" t="s">
        <v>415</v>
      </c>
      <c r="C8" s="1184"/>
      <c r="D8" s="228">
        <v>10</v>
      </c>
      <c r="E8" s="1123" t="s">
        <v>605</v>
      </c>
      <c r="F8" s="229" t="s">
        <v>577</v>
      </c>
      <c r="G8" s="987">
        <v>0.75</v>
      </c>
      <c r="H8" s="230" t="s">
        <v>511</v>
      </c>
      <c r="I8" s="988">
        <v>65</v>
      </c>
      <c r="J8" s="231">
        <v>2.25</v>
      </c>
      <c r="K8" s="232" t="s">
        <v>520</v>
      </c>
      <c r="L8" s="233" t="s">
        <v>521</v>
      </c>
      <c r="M8" s="989">
        <v>0.75</v>
      </c>
      <c r="N8" s="990" t="s">
        <v>511</v>
      </c>
      <c r="O8" s="234">
        <v>65</v>
      </c>
      <c r="P8" s="235">
        <v>13</v>
      </c>
      <c r="Q8" s="236">
        <v>17</v>
      </c>
      <c r="R8" s="237">
        <v>7</v>
      </c>
      <c r="S8" s="238">
        <v>1.5</v>
      </c>
      <c r="T8" s="239">
        <v>8</v>
      </c>
      <c r="U8" s="240">
        <v>4</v>
      </c>
      <c r="V8" s="241">
        <v>3</v>
      </c>
      <c r="W8" s="242" t="s">
        <v>47</v>
      </c>
      <c r="X8" s="243">
        <v>1</v>
      </c>
      <c r="Y8" s="244">
        <v>1.125</v>
      </c>
      <c r="Z8" s="245">
        <v>3.25</v>
      </c>
      <c r="AA8" s="246" t="s">
        <v>412</v>
      </c>
      <c r="AB8" s="247" t="s">
        <v>413</v>
      </c>
      <c r="AC8" s="248">
        <v>5.75</v>
      </c>
      <c r="AD8" s="249">
        <v>6.125</v>
      </c>
      <c r="AE8" s="250">
        <v>5</v>
      </c>
      <c r="AF8" s="251">
        <v>5.1875</v>
      </c>
      <c r="AG8" s="252" t="s">
        <v>493</v>
      </c>
      <c r="AH8" s="253">
        <v>84</v>
      </c>
    </row>
    <row r="9" spans="2:34" x14ac:dyDescent="0.25">
      <c r="B9" s="254" t="s">
        <v>416</v>
      </c>
      <c r="C9" s="1185"/>
      <c r="D9" s="255">
        <v>12</v>
      </c>
      <c r="E9" s="1124" t="s">
        <v>605</v>
      </c>
      <c r="F9" s="256" t="s">
        <v>578</v>
      </c>
      <c r="G9" s="991">
        <v>0.75</v>
      </c>
      <c r="H9" s="257" t="s">
        <v>511</v>
      </c>
      <c r="I9" s="992">
        <v>65</v>
      </c>
      <c r="J9" s="258">
        <v>2.25</v>
      </c>
      <c r="K9" s="259" t="s">
        <v>522</v>
      </c>
      <c r="L9" s="260" t="s">
        <v>523</v>
      </c>
      <c r="M9" s="993">
        <v>0.75</v>
      </c>
      <c r="N9" s="994" t="s">
        <v>511</v>
      </c>
      <c r="O9" s="261">
        <v>65</v>
      </c>
      <c r="P9" s="262">
        <v>15</v>
      </c>
      <c r="Q9" s="263">
        <v>21</v>
      </c>
      <c r="R9" s="264">
        <v>9</v>
      </c>
      <c r="S9" s="265">
        <v>1.5</v>
      </c>
      <c r="T9" s="266">
        <v>12</v>
      </c>
      <c r="U9" s="267">
        <v>3</v>
      </c>
      <c r="V9" s="268">
        <v>3</v>
      </c>
      <c r="W9" s="269" t="s">
        <v>47</v>
      </c>
      <c r="X9" s="270">
        <v>1</v>
      </c>
      <c r="Y9" s="271">
        <v>1.125</v>
      </c>
      <c r="Z9" s="272">
        <v>3.25</v>
      </c>
      <c r="AA9" s="273" t="s">
        <v>412</v>
      </c>
      <c r="AB9" s="274" t="s">
        <v>413</v>
      </c>
      <c r="AC9" s="275">
        <v>5.75</v>
      </c>
      <c r="AD9" s="276">
        <v>6.125</v>
      </c>
      <c r="AE9" s="277">
        <v>5</v>
      </c>
      <c r="AF9" s="278">
        <v>5.1875</v>
      </c>
      <c r="AG9" s="279" t="s">
        <v>494</v>
      </c>
      <c r="AH9" s="280">
        <v>112</v>
      </c>
    </row>
    <row r="10" spans="2:34" x14ac:dyDescent="0.25">
      <c r="B10" s="281" t="s">
        <v>417</v>
      </c>
      <c r="C10" s="416"/>
      <c r="D10" s="282">
        <v>14</v>
      </c>
      <c r="E10" s="1125" t="s">
        <v>605</v>
      </c>
      <c r="F10" s="283" t="s">
        <v>579</v>
      </c>
      <c r="G10" s="995">
        <v>0.75</v>
      </c>
      <c r="H10" s="284" t="s">
        <v>511</v>
      </c>
      <c r="I10" s="996">
        <v>65</v>
      </c>
      <c r="J10" s="285">
        <v>2.25</v>
      </c>
      <c r="K10" s="286" t="s">
        <v>524</v>
      </c>
      <c r="L10" s="287" t="s">
        <v>525</v>
      </c>
      <c r="M10" s="997">
        <v>0.75</v>
      </c>
      <c r="N10" s="998" t="s">
        <v>511</v>
      </c>
      <c r="O10" s="288">
        <v>65</v>
      </c>
      <c r="P10" s="289">
        <v>17</v>
      </c>
      <c r="Q10" s="290">
        <v>27.5</v>
      </c>
      <c r="R10" s="291">
        <v>12</v>
      </c>
      <c r="S10" s="292">
        <v>1.75</v>
      </c>
      <c r="T10" s="293">
        <v>12</v>
      </c>
      <c r="U10" s="294">
        <v>4</v>
      </c>
      <c r="V10" s="295">
        <v>4</v>
      </c>
      <c r="W10" s="296" t="s">
        <v>47</v>
      </c>
      <c r="X10" s="297">
        <v>1.25</v>
      </c>
      <c r="Y10" s="298">
        <v>1.375</v>
      </c>
      <c r="Z10" s="299">
        <v>3.5</v>
      </c>
      <c r="AA10" s="300" t="s">
        <v>412</v>
      </c>
      <c r="AB10" s="301" t="s">
        <v>413</v>
      </c>
      <c r="AC10" s="302">
        <v>6.25</v>
      </c>
      <c r="AD10" s="303">
        <v>6.625</v>
      </c>
      <c r="AE10" s="304">
        <v>5.25</v>
      </c>
      <c r="AF10" s="305">
        <v>5.4375</v>
      </c>
      <c r="AG10" s="306" t="s">
        <v>495</v>
      </c>
      <c r="AH10" s="307">
        <v>166</v>
      </c>
    </row>
    <row r="11" spans="2:34" x14ac:dyDescent="0.25">
      <c r="B11" s="308" t="s">
        <v>418</v>
      </c>
      <c r="C11" s="1186"/>
      <c r="D11" s="309">
        <v>16.5</v>
      </c>
      <c r="E11" s="1126" t="s">
        <v>605</v>
      </c>
      <c r="F11" s="310" t="s">
        <v>580</v>
      </c>
      <c r="G11" s="999">
        <v>0.75</v>
      </c>
      <c r="H11" s="311" t="s">
        <v>511</v>
      </c>
      <c r="I11" s="1000">
        <v>65</v>
      </c>
      <c r="J11" s="312">
        <v>2.25</v>
      </c>
      <c r="K11" s="313" t="s">
        <v>526</v>
      </c>
      <c r="L11" s="314" t="s">
        <v>527</v>
      </c>
      <c r="M11" s="1001">
        <v>0.75</v>
      </c>
      <c r="N11" s="1002" t="s">
        <v>511</v>
      </c>
      <c r="O11" s="315">
        <v>65</v>
      </c>
      <c r="P11" s="316">
        <v>19.5</v>
      </c>
      <c r="Q11" s="317">
        <v>26</v>
      </c>
      <c r="R11" s="318">
        <v>11.25</v>
      </c>
      <c r="S11" s="319">
        <v>1.75</v>
      </c>
      <c r="T11" s="320">
        <v>12</v>
      </c>
      <c r="U11" s="321">
        <v>3.75</v>
      </c>
      <c r="V11" s="322">
        <v>3.75</v>
      </c>
      <c r="W11" s="323" t="s">
        <v>47</v>
      </c>
      <c r="X11" s="324">
        <v>1.25</v>
      </c>
      <c r="Y11" s="325">
        <v>1.375</v>
      </c>
      <c r="Z11" s="326">
        <v>3.5</v>
      </c>
      <c r="AA11" s="327" t="s">
        <v>412</v>
      </c>
      <c r="AB11" s="328" t="s">
        <v>413</v>
      </c>
      <c r="AC11" s="329">
        <v>6.25</v>
      </c>
      <c r="AD11" s="330">
        <v>6.625</v>
      </c>
      <c r="AE11" s="331">
        <v>5.25</v>
      </c>
      <c r="AF11" s="332">
        <v>5.4375</v>
      </c>
      <c r="AG11" s="333" t="s">
        <v>496</v>
      </c>
      <c r="AH11" s="334">
        <v>169</v>
      </c>
    </row>
    <row r="12" spans="2:34" x14ac:dyDescent="0.25">
      <c r="B12" s="335" t="s">
        <v>419</v>
      </c>
      <c r="C12" s="361"/>
      <c r="D12" s="336">
        <v>16.5</v>
      </c>
      <c r="E12" s="1127" t="s">
        <v>605</v>
      </c>
      <c r="F12" s="337" t="s">
        <v>581</v>
      </c>
      <c r="G12" s="1003">
        <v>1</v>
      </c>
      <c r="H12" s="338" t="s">
        <v>511</v>
      </c>
      <c r="I12" s="1004">
        <v>65</v>
      </c>
      <c r="J12" s="339">
        <v>3</v>
      </c>
      <c r="K12" s="340" t="s">
        <v>528</v>
      </c>
      <c r="L12" s="341" t="s">
        <v>529</v>
      </c>
      <c r="M12" s="1005">
        <v>0.75</v>
      </c>
      <c r="N12" s="1006" t="s">
        <v>511</v>
      </c>
      <c r="O12" s="342">
        <v>65</v>
      </c>
      <c r="P12" s="343">
        <v>20.5</v>
      </c>
      <c r="Q12" s="344">
        <v>29</v>
      </c>
      <c r="R12" s="345">
        <v>12.5</v>
      </c>
      <c r="S12" s="346">
        <v>2</v>
      </c>
      <c r="T12" s="347">
        <v>12</v>
      </c>
      <c r="U12" s="348">
        <v>4.5</v>
      </c>
      <c r="V12" s="349">
        <v>4</v>
      </c>
      <c r="W12" s="350" t="s">
        <v>47</v>
      </c>
      <c r="X12" s="351">
        <v>1.5</v>
      </c>
      <c r="Y12" s="352">
        <v>1.625</v>
      </c>
      <c r="Z12" s="353">
        <v>4</v>
      </c>
      <c r="AA12" s="354" t="s">
        <v>412</v>
      </c>
      <c r="AB12" s="355" t="s">
        <v>413</v>
      </c>
      <c r="AC12" s="356">
        <v>7.5</v>
      </c>
      <c r="AD12" s="357">
        <v>7.875</v>
      </c>
      <c r="AE12" s="358">
        <v>6.5</v>
      </c>
      <c r="AF12" s="359">
        <v>6.6875</v>
      </c>
      <c r="AG12" s="360" t="s">
        <v>497</v>
      </c>
      <c r="AH12" s="362">
        <v>276</v>
      </c>
    </row>
    <row r="13" spans="2:34" x14ac:dyDescent="0.25">
      <c r="B13" s="363" t="s">
        <v>420</v>
      </c>
      <c r="C13" s="389"/>
      <c r="D13" s="364">
        <v>18</v>
      </c>
      <c r="E13" s="1128" t="s">
        <v>605</v>
      </c>
      <c r="F13" s="365" t="s">
        <v>582</v>
      </c>
      <c r="G13" s="1007">
        <v>1</v>
      </c>
      <c r="H13" s="366" t="s">
        <v>511</v>
      </c>
      <c r="I13" s="1008">
        <v>65</v>
      </c>
      <c r="J13" s="367">
        <v>3</v>
      </c>
      <c r="K13" s="368" t="s">
        <v>530</v>
      </c>
      <c r="L13" s="369" t="s">
        <v>531</v>
      </c>
      <c r="M13" s="1009">
        <v>0.75</v>
      </c>
      <c r="N13" s="1010" t="s">
        <v>511</v>
      </c>
      <c r="O13" s="370">
        <v>65</v>
      </c>
      <c r="P13" s="371">
        <v>22</v>
      </c>
      <c r="Q13" s="372">
        <v>31.5</v>
      </c>
      <c r="R13" s="373">
        <v>14</v>
      </c>
      <c r="S13" s="374">
        <v>1.75</v>
      </c>
      <c r="T13" s="375">
        <v>16</v>
      </c>
      <c r="U13" s="376">
        <v>3.5</v>
      </c>
      <c r="V13" s="377">
        <v>3.5</v>
      </c>
      <c r="W13" s="378" t="s">
        <v>47</v>
      </c>
      <c r="X13" s="379">
        <v>1.25</v>
      </c>
      <c r="Y13" s="380">
        <v>1.375</v>
      </c>
      <c r="Z13" s="381">
        <v>4</v>
      </c>
      <c r="AA13" s="382" t="s">
        <v>412</v>
      </c>
      <c r="AB13" s="383" t="s">
        <v>413</v>
      </c>
      <c r="AC13" s="384">
        <v>7</v>
      </c>
      <c r="AD13" s="385">
        <v>7.375</v>
      </c>
      <c r="AE13" s="386">
        <v>6.25</v>
      </c>
      <c r="AF13" s="387">
        <v>6.4375</v>
      </c>
      <c r="AG13" s="388" t="s">
        <v>498</v>
      </c>
      <c r="AH13" s="390">
        <v>306</v>
      </c>
    </row>
    <row r="14" spans="2:34" x14ac:dyDescent="0.25">
      <c r="B14" s="281" t="s">
        <v>421</v>
      </c>
      <c r="C14" s="416"/>
      <c r="D14" s="391">
        <v>23.5</v>
      </c>
      <c r="E14" s="1129" t="s">
        <v>605</v>
      </c>
      <c r="F14" s="392" t="s">
        <v>583</v>
      </c>
      <c r="G14" s="1011">
        <v>1</v>
      </c>
      <c r="H14" s="393" t="s">
        <v>511</v>
      </c>
      <c r="I14" s="1012">
        <v>65</v>
      </c>
      <c r="J14" s="394">
        <v>3</v>
      </c>
      <c r="K14" s="395" t="s">
        <v>532</v>
      </c>
      <c r="L14" s="396" t="s">
        <v>533</v>
      </c>
      <c r="M14" s="1013">
        <v>0.75</v>
      </c>
      <c r="N14" s="1014" t="s">
        <v>511</v>
      </c>
      <c r="O14" s="397">
        <v>65</v>
      </c>
      <c r="P14" s="398">
        <v>27.5</v>
      </c>
      <c r="Q14" s="399">
        <v>38.5</v>
      </c>
      <c r="R14" s="400">
        <v>17.5</v>
      </c>
      <c r="S14" s="401">
        <v>1.75</v>
      </c>
      <c r="T14" s="402">
        <v>20</v>
      </c>
      <c r="U14" s="403">
        <v>3.5</v>
      </c>
      <c r="V14" s="404">
        <v>3.5</v>
      </c>
      <c r="W14" s="405" t="s">
        <v>47</v>
      </c>
      <c r="X14" s="406">
        <v>1.25</v>
      </c>
      <c r="Y14" s="407">
        <v>1.375</v>
      </c>
      <c r="Z14" s="408">
        <v>4</v>
      </c>
      <c r="AA14" s="409" t="s">
        <v>412</v>
      </c>
      <c r="AB14" s="410" t="s">
        <v>413</v>
      </c>
      <c r="AC14" s="411">
        <v>7</v>
      </c>
      <c r="AD14" s="412">
        <v>7.375</v>
      </c>
      <c r="AE14" s="413">
        <v>6.25</v>
      </c>
      <c r="AF14" s="414">
        <v>6.4375</v>
      </c>
      <c r="AG14" s="415" t="s">
        <v>300</v>
      </c>
      <c r="AH14" s="417">
        <v>433</v>
      </c>
    </row>
    <row r="15" spans="2:34" x14ac:dyDescent="0.25">
      <c r="B15" s="418" t="s">
        <v>422</v>
      </c>
      <c r="C15" s="1187"/>
      <c r="D15" s="419">
        <v>21</v>
      </c>
      <c r="E15" s="1130" t="s">
        <v>605</v>
      </c>
      <c r="F15" s="420" t="s">
        <v>584</v>
      </c>
      <c r="G15" s="1015">
        <v>1</v>
      </c>
      <c r="H15" s="421" t="s">
        <v>511</v>
      </c>
      <c r="I15" s="1016">
        <v>65</v>
      </c>
      <c r="J15" s="422">
        <v>3</v>
      </c>
      <c r="K15" s="423" t="s">
        <v>534</v>
      </c>
      <c r="L15" s="424" t="s">
        <v>535</v>
      </c>
      <c r="M15" s="1017">
        <v>1</v>
      </c>
      <c r="N15" s="1018" t="s">
        <v>511</v>
      </c>
      <c r="O15" s="425">
        <v>65</v>
      </c>
      <c r="P15" s="426">
        <v>25</v>
      </c>
      <c r="Q15" s="427">
        <v>31</v>
      </c>
      <c r="R15" s="428">
        <v>13.5</v>
      </c>
      <c r="S15" s="429">
        <v>2</v>
      </c>
      <c r="T15" s="430">
        <v>12</v>
      </c>
      <c r="U15" s="431">
        <v>4.5</v>
      </c>
      <c r="V15" s="432">
        <v>4.5</v>
      </c>
      <c r="W15" s="433" t="s">
        <v>47</v>
      </c>
      <c r="X15" s="434">
        <v>1.5</v>
      </c>
      <c r="Y15" s="435">
        <v>1.625</v>
      </c>
      <c r="Z15" s="436">
        <v>4.5</v>
      </c>
      <c r="AA15" s="437" t="s">
        <v>412</v>
      </c>
      <c r="AB15" s="438" t="s">
        <v>413</v>
      </c>
      <c r="AC15" s="439">
        <v>7.5</v>
      </c>
      <c r="AD15" s="440">
        <v>7.875</v>
      </c>
      <c r="AE15" s="441">
        <v>6.5</v>
      </c>
      <c r="AF15" s="442">
        <v>6.6875</v>
      </c>
      <c r="AG15" s="443" t="s">
        <v>499</v>
      </c>
      <c r="AH15" s="444">
        <v>336</v>
      </c>
    </row>
    <row r="16" spans="2:34" ht="15" customHeight="1" x14ac:dyDescent="0.25">
      <c r="B16" s="1180" t="s">
        <v>607</v>
      </c>
      <c r="C16" s="1188"/>
      <c r="D16" s="1149">
        <v>5</v>
      </c>
      <c r="E16" s="1150" t="s">
        <v>605</v>
      </c>
      <c r="F16" s="1151" t="s">
        <v>585</v>
      </c>
      <c r="G16" s="1152">
        <v>0.625</v>
      </c>
      <c r="H16" s="1153" t="s">
        <v>511</v>
      </c>
      <c r="I16" s="1154">
        <v>65</v>
      </c>
      <c r="J16" s="1155">
        <v>2</v>
      </c>
      <c r="K16" s="1156" t="s">
        <v>536</v>
      </c>
      <c r="L16" s="1157" t="s">
        <v>537</v>
      </c>
      <c r="M16" s="1158">
        <v>0.625</v>
      </c>
      <c r="N16" s="1159" t="s">
        <v>511</v>
      </c>
      <c r="O16" s="1160">
        <v>65</v>
      </c>
      <c r="P16" s="1161">
        <v>9</v>
      </c>
      <c r="Q16" s="1162">
        <v>16</v>
      </c>
      <c r="R16" s="1163">
        <v>6.5</v>
      </c>
      <c r="S16" s="1164">
        <v>1.5</v>
      </c>
      <c r="T16" s="1165">
        <v>8</v>
      </c>
      <c r="U16" s="1166">
        <v>3.5</v>
      </c>
      <c r="V16" s="1167">
        <v>3</v>
      </c>
      <c r="W16" s="1168" t="s">
        <v>47</v>
      </c>
      <c r="X16" s="1169">
        <v>1</v>
      </c>
      <c r="Y16" s="1170">
        <v>1.125</v>
      </c>
      <c r="Z16" s="1171">
        <v>3</v>
      </c>
      <c r="AA16" s="1172" t="s">
        <v>412</v>
      </c>
      <c r="AB16" s="1173" t="s">
        <v>413</v>
      </c>
      <c r="AC16" s="1174">
        <v>5.5</v>
      </c>
      <c r="AD16" s="1175">
        <v>5.875</v>
      </c>
      <c r="AE16" s="1176">
        <v>4.625</v>
      </c>
      <c r="AF16" s="1177">
        <v>4.8125</v>
      </c>
      <c r="AG16" s="1178" t="s">
        <v>500</v>
      </c>
      <c r="AH16" s="1179">
        <v>53</v>
      </c>
    </row>
    <row r="17" spans="2:34" x14ac:dyDescent="0.25">
      <c r="B17" s="1106" t="s">
        <v>608</v>
      </c>
      <c r="C17" s="552">
        <v>6</v>
      </c>
      <c r="D17" s="1146">
        <v>6.25</v>
      </c>
      <c r="E17" s="552" t="s">
        <v>606</v>
      </c>
      <c r="F17" s="1147" t="s">
        <v>586</v>
      </c>
      <c r="G17" s="1148">
        <v>0.625</v>
      </c>
      <c r="H17" s="1145" t="s">
        <v>511</v>
      </c>
      <c r="I17" s="1107">
        <v>65</v>
      </c>
      <c r="J17" s="1108">
        <v>2</v>
      </c>
      <c r="K17" s="1109" t="s">
        <v>536</v>
      </c>
      <c r="L17" s="1093" t="s">
        <v>537</v>
      </c>
      <c r="M17" s="1094">
        <v>0.625</v>
      </c>
      <c r="N17" s="1095" t="s">
        <v>511</v>
      </c>
      <c r="O17" s="1096">
        <v>65</v>
      </c>
      <c r="P17" s="1110">
        <v>9</v>
      </c>
      <c r="Q17" s="1097">
        <v>16</v>
      </c>
      <c r="R17" s="1098">
        <v>6.5</v>
      </c>
      <c r="S17" s="1099">
        <v>1.5</v>
      </c>
      <c r="T17" s="1100">
        <v>8</v>
      </c>
      <c r="U17" s="1111">
        <v>3.5</v>
      </c>
      <c r="V17" s="1114">
        <v>3</v>
      </c>
      <c r="W17" s="1115" t="s">
        <v>47</v>
      </c>
      <c r="X17" s="1116">
        <v>1</v>
      </c>
      <c r="Y17" s="1117">
        <v>1.125</v>
      </c>
      <c r="Z17" s="1118">
        <v>3</v>
      </c>
      <c r="AA17" s="1119" t="s">
        <v>412</v>
      </c>
      <c r="AB17" s="1102" t="s">
        <v>413</v>
      </c>
      <c r="AC17" s="1103">
        <v>5.5</v>
      </c>
      <c r="AD17" s="1104">
        <v>5.875</v>
      </c>
      <c r="AE17" s="1105">
        <v>4.625</v>
      </c>
      <c r="AF17" s="1112">
        <v>4.8125</v>
      </c>
      <c r="AG17" s="1113" t="s">
        <v>500</v>
      </c>
      <c r="AH17" s="1101">
        <v>53</v>
      </c>
    </row>
    <row r="18" spans="2:34" x14ac:dyDescent="0.25">
      <c r="B18" s="445" t="s">
        <v>423</v>
      </c>
      <c r="C18" s="1198"/>
      <c r="D18" s="446">
        <v>12</v>
      </c>
      <c r="E18" s="1181" t="s">
        <v>605</v>
      </c>
      <c r="F18" s="447" t="s">
        <v>587</v>
      </c>
      <c r="G18" s="1019">
        <v>0.75</v>
      </c>
      <c r="H18" s="448" t="s">
        <v>511</v>
      </c>
      <c r="I18" s="1020">
        <v>65</v>
      </c>
      <c r="J18" s="449">
        <v>2.25</v>
      </c>
      <c r="K18" s="450" t="s">
        <v>538</v>
      </c>
      <c r="L18" s="451" t="s">
        <v>539</v>
      </c>
      <c r="M18" s="1021">
        <v>0.75</v>
      </c>
      <c r="N18" s="1022" t="s">
        <v>511</v>
      </c>
      <c r="O18" s="452">
        <v>65</v>
      </c>
      <c r="P18" s="453">
        <v>15</v>
      </c>
      <c r="Q18" s="454">
        <v>24</v>
      </c>
      <c r="R18" s="455">
        <v>10</v>
      </c>
      <c r="S18" s="456">
        <v>2</v>
      </c>
      <c r="T18" s="457">
        <v>12</v>
      </c>
      <c r="U18" s="458">
        <v>3</v>
      </c>
      <c r="V18" s="459">
        <v>3.5</v>
      </c>
      <c r="W18" s="460" t="s">
        <v>47</v>
      </c>
      <c r="X18" s="461">
        <v>1.25</v>
      </c>
      <c r="Y18" s="462">
        <v>1.375</v>
      </c>
      <c r="Z18" s="463">
        <v>3.5</v>
      </c>
      <c r="AA18" s="464" t="s">
        <v>412</v>
      </c>
      <c r="AB18" s="465" t="s">
        <v>413</v>
      </c>
      <c r="AC18" s="466">
        <v>6.75</v>
      </c>
      <c r="AD18" s="467">
        <v>7.125</v>
      </c>
      <c r="AE18" s="468">
        <v>5.5</v>
      </c>
      <c r="AF18" s="469">
        <v>5.6875</v>
      </c>
      <c r="AG18" s="470" t="s">
        <v>501</v>
      </c>
      <c r="AH18" s="471">
        <v>138</v>
      </c>
    </row>
    <row r="19" spans="2:34" x14ac:dyDescent="0.25">
      <c r="B19" s="472" t="s">
        <v>424</v>
      </c>
      <c r="C19" s="1189"/>
      <c r="D19" s="473">
        <v>10</v>
      </c>
      <c r="E19" s="1131" t="s">
        <v>605</v>
      </c>
      <c r="F19" s="474" t="s">
        <v>588</v>
      </c>
      <c r="G19" s="1023">
        <v>0.75</v>
      </c>
      <c r="H19" s="475" t="s">
        <v>511</v>
      </c>
      <c r="I19" s="1024">
        <v>65</v>
      </c>
      <c r="J19" s="476">
        <v>2.25</v>
      </c>
      <c r="K19" s="477" t="s">
        <v>540</v>
      </c>
      <c r="L19" s="478" t="s">
        <v>541</v>
      </c>
      <c r="M19" s="1025">
        <v>0.75</v>
      </c>
      <c r="N19" s="1026" t="s">
        <v>511</v>
      </c>
      <c r="O19" s="479">
        <v>65</v>
      </c>
      <c r="P19" s="480">
        <v>13</v>
      </c>
      <c r="Q19" s="481">
        <v>17.5</v>
      </c>
      <c r="R19" s="482">
        <v>7</v>
      </c>
      <c r="S19" s="483">
        <v>1.75</v>
      </c>
      <c r="T19" s="484">
        <v>8</v>
      </c>
      <c r="U19" s="485">
        <v>3.5</v>
      </c>
      <c r="V19" s="486">
        <v>3.5</v>
      </c>
      <c r="W19" s="487" t="s">
        <v>47</v>
      </c>
      <c r="X19" s="488">
        <v>1.25</v>
      </c>
      <c r="Y19" s="489">
        <v>1.375</v>
      </c>
      <c r="Z19" s="490">
        <v>3.5</v>
      </c>
      <c r="AA19" s="491" t="s">
        <v>412</v>
      </c>
      <c r="AB19" s="492" t="s">
        <v>413</v>
      </c>
      <c r="AC19" s="493">
        <v>6.25</v>
      </c>
      <c r="AD19" s="494">
        <v>6.625</v>
      </c>
      <c r="AE19" s="495">
        <v>5.25</v>
      </c>
      <c r="AF19" s="496">
        <v>5.4375</v>
      </c>
      <c r="AG19" s="497" t="s">
        <v>301</v>
      </c>
      <c r="AH19" s="498">
        <v>91</v>
      </c>
    </row>
    <row r="20" spans="2:34" x14ac:dyDescent="0.25">
      <c r="B20" s="499" t="s">
        <v>425</v>
      </c>
      <c r="C20" s="1132"/>
      <c r="D20" s="500">
        <v>12</v>
      </c>
      <c r="E20" s="1132" t="s">
        <v>606</v>
      </c>
      <c r="F20" s="501" t="s">
        <v>589</v>
      </c>
      <c r="G20" s="1027">
        <v>0.75</v>
      </c>
      <c r="H20" s="502" t="s">
        <v>511</v>
      </c>
      <c r="I20" s="1028">
        <v>65</v>
      </c>
      <c r="J20" s="503">
        <v>2.25</v>
      </c>
      <c r="K20" s="504" t="s">
        <v>542</v>
      </c>
      <c r="L20" s="505" t="s">
        <v>543</v>
      </c>
      <c r="M20" s="1029">
        <v>0.75</v>
      </c>
      <c r="N20" s="1030" t="s">
        <v>511</v>
      </c>
      <c r="O20" s="506">
        <v>65</v>
      </c>
      <c r="P20" s="507">
        <v>15</v>
      </c>
      <c r="Q20" s="508">
        <v>22.5</v>
      </c>
      <c r="R20" s="509">
        <v>9.75</v>
      </c>
      <c r="S20" s="510">
        <v>1.5</v>
      </c>
      <c r="T20" s="511">
        <v>12</v>
      </c>
      <c r="U20" s="512">
        <v>3.25</v>
      </c>
      <c r="V20" s="513">
        <v>3.25</v>
      </c>
      <c r="W20" s="514" t="s">
        <v>47</v>
      </c>
      <c r="X20" s="515">
        <v>1</v>
      </c>
      <c r="Y20" s="516">
        <v>1.125</v>
      </c>
      <c r="Z20" s="517">
        <v>3.25</v>
      </c>
      <c r="AA20" s="518" t="s">
        <v>412</v>
      </c>
      <c r="AB20" s="519" t="s">
        <v>413</v>
      </c>
      <c r="AC20" s="520">
        <v>5.75</v>
      </c>
      <c r="AD20" s="521">
        <v>6.125</v>
      </c>
      <c r="AE20" s="522">
        <v>5</v>
      </c>
      <c r="AF20" s="523">
        <v>5.1875</v>
      </c>
      <c r="AG20" s="524" t="s">
        <v>502</v>
      </c>
      <c r="AH20" s="525">
        <v>120</v>
      </c>
    </row>
    <row r="21" spans="2:34" x14ac:dyDescent="0.25">
      <c r="B21" s="526" t="s">
        <v>426</v>
      </c>
      <c r="C21" s="1190"/>
      <c r="D21" s="527">
        <v>6</v>
      </c>
      <c r="E21" s="1133" t="s">
        <v>605</v>
      </c>
      <c r="F21" s="528" t="s">
        <v>590</v>
      </c>
      <c r="G21" s="1031">
        <v>0.75</v>
      </c>
      <c r="H21" s="529" t="s">
        <v>511</v>
      </c>
      <c r="I21" s="1032">
        <v>65</v>
      </c>
      <c r="J21" s="530" t="s">
        <v>544</v>
      </c>
      <c r="K21" s="531" t="s">
        <v>545</v>
      </c>
      <c r="L21" s="532" t="s">
        <v>546</v>
      </c>
      <c r="M21" s="1033">
        <v>0.75</v>
      </c>
      <c r="N21" s="1034" t="s">
        <v>511</v>
      </c>
      <c r="O21" s="533">
        <v>65</v>
      </c>
      <c r="P21" s="534">
        <v>9</v>
      </c>
      <c r="Q21" s="535">
        <v>11</v>
      </c>
      <c r="R21" s="536">
        <v>4</v>
      </c>
      <c r="S21" s="537">
        <v>1.5</v>
      </c>
      <c r="T21" s="538">
        <v>4</v>
      </c>
      <c r="U21" s="539">
        <v>4</v>
      </c>
      <c r="V21" s="540">
        <v>0</v>
      </c>
      <c r="W21" s="541" t="s">
        <v>47</v>
      </c>
      <c r="X21" s="542">
        <v>1</v>
      </c>
      <c r="Y21" s="543">
        <v>1.125</v>
      </c>
      <c r="Z21" s="544">
        <v>3.25</v>
      </c>
      <c r="AA21" s="545" t="s">
        <v>412</v>
      </c>
      <c r="AB21" s="546" t="s">
        <v>413</v>
      </c>
      <c r="AC21" s="547">
        <v>5.75</v>
      </c>
      <c r="AD21" s="548">
        <v>6.125</v>
      </c>
      <c r="AE21" s="549">
        <v>5</v>
      </c>
      <c r="AF21" s="550">
        <v>5.1875</v>
      </c>
      <c r="AG21" s="551"/>
      <c r="AH21" s="553"/>
    </row>
    <row r="22" spans="2:34" x14ac:dyDescent="0.25">
      <c r="B22" s="554" t="s">
        <v>427</v>
      </c>
      <c r="C22" s="1191"/>
      <c r="D22" s="555">
        <v>8</v>
      </c>
      <c r="E22" s="1134" t="s">
        <v>605</v>
      </c>
      <c r="F22" s="556" t="s">
        <v>591</v>
      </c>
      <c r="G22" s="1035">
        <v>0.75</v>
      </c>
      <c r="H22" s="557" t="s">
        <v>511</v>
      </c>
      <c r="I22" s="1036">
        <v>65</v>
      </c>
      <c r="J22" s="558">
        <v>2.25</v>
      </c>
      <c r="K22" s="559" t="s">
        <v>547</v>
      </c>
      <c r="L22" s="560" t="s">
        <v>548</v>
      </c>
      <c r="M22" s="1037">
        <v>0.75</v>
      </c>
      <c r="N22" s="1038" t="s">
        <v>511</v>
      </c>
      <c r="O22" s="561">
        <v>65</v>
      </c>
      <c r="P22" s="562">
        <v>11</v>
      </c>
      <c r="Q22" s="563">
        <v>13</v>
      </c>
      <c r="R22" s="564">
        <v>5</v>
      </c>
      <c r="S22" s="565">
        <v>1.5</v>
      </c>
      <c r="T22" s="566">
        <v>4</v>
      </c>
      <c r="U22" s="567">
        <v>5</v>
      </c>
      <c r="V22" s="568">
        <v>0</v>
      </c>
      <c r="W22" s="569" t="s">
        <v>47</v>
      </c>
      <c r="X22" s="570">
        <v>1</v>
      </c>
      <c r="Y22" s="571">
        <v>1.125</v>
      </c>
      <c r="Z22" s="572">
        <v>3.25</v>
      </c>
      <c r="AA22" s="573" t="s">
        <v>412</v>
      </c>
      <c r="AB22" s="574" t="s">
        <v>413</v>
      </c>
      <c r="AC22" s="575">
        <v>5.75</v>
      </c>
      <c r="AD22" s="576">
        <v>6.125</v>
      </c>
      <c r="AE22" s="577">
        <v>5</v>
      </c>
      <c r="AF22" s="578">
        <v>5.1875</v>
      </c>
      <c r="AG22" s="579"/>
      <c r="AH22" s="580"/>
    </row>
    <row r="23" spans="2:34" x14ac:dyDescent="0.25">
      <c r="B23" s="581" t="s">
        <v>428</v>
      </c>
      <c r="C23" s="1192"/>
      <c r="D23" s="582">
        <v>10</v>
      </c>
      <c r="E23" s="1135" t="s">
        <v>605</v>
      </c>
      <c r="F23" s="583" t="s">
        <v>592</v>
      </c>
      <c r="G23" s="1039">
        <v>0.75</v>
      </c>
      <c r="H23" s="584" t="s">
        <v>511</v>
      </c>
      <c r="I23" s="1040">
        <v>65</v>
      </c>
      <c r="J23" s="585">
        <v>2.25</v>
      </c>
      <c r="K23" s="586" t="s">
        <v>549</v>
      </c>
      <c r="L23" s="587" t="s">
        <v>550</v>
      </c>
      <c r="M23" s="1041">
        <v>0.75</v>
      </c>
      <c r="N23" s="1042" t="s">
        <v>511</v>
      </c>
      <c r="O23" s="588">
        <v>65</v>
      </c>
      <c r="P23" s="589">
        <v>13</v>
      </c>
      <c r="Q23" s="590">
        <v>13.5</v>
      </c>
      <c r="R23" s="591">
        <v>5</v>
      </c>
      <c r="S23" s="592">
        <v>1.75</v>
      </c>
      <c r="T23" s="593">
        <v>4</v>
      </c>
      <c r="U23" s="594">
        <v>5</v>
      </c>
      <c r="V23" s="595">
        <v>0</v>
      </c>
      <c r="W23" s="596" t="s">
        <v>47</v>
      </c>
      <c r="X23" s="297">
        <v>1.25</v>
      </c>
      <c r="Y23" s="597">
        <v>1.375</v>
      </c>
      <c r="Z23" s="598">
        <v>3.5</v>
      </c>
      <c r="AA23" s="599" t="s">
        <v>412</v>
      </c>
      <c r="AB23" s="600" t="s">
        <v>413</v>
      </c>
      <c r="AC23" s="601">
        <v>6.25</v>
      </c>
      <c r="AD23" s="602">
        <v>6.625</v>
      </c>
      <c r="AE23" s="304">
        <v>5.25</v>
      </c>
      <c r="AF23" s="305">
        <v>5.4375</v>
      </c>
      <c r="AG23" s="306"/>
      <c r="AH23" s="603"/>
    </row>
    <row r="24" spans="2:34" x14ac:dyDescent="0.25">
      <c r="B24" s="604" t="s">
        <v>429</v>
      </c>
      <c r="C24" s="1193"/>
      <c r="D24" s="605">
        <v>14</v>
      </c>
      <c r="E24" s="1136" t="s">
        <v>605</v>
      </c>
      <c r="F24" s="606" t="s">
        <v>593</v>
      </c>
      <c r="G24" s="1043">
        <v>0.75</v>
      </c>
      <c r="H24" s="607" t="s">
        <v>511</v>
      </c>
      <c r="I24" s="1044">
        <v>65</v>
      </c>
      <c r="J24" s="608">
        <v>2.25</v>
      </c>
      <c r="K24" s="609" t="s">
        <v>551</v>
      </c>
      <c r="L24" s="610" t="s">
        <v>552</v>
      </c>
      <c r="M24" s="1045">
        <v>0.75</v>
      </c>
      <c r="N24" s="1046" t="s">
        <v>511</v>
      </c>
      <c r="O24" s="611">
        <v>65</v>
      </c>
      <c r="P24" s="612">
        <v>17.5</v>
      </c>
      <c r="Q24" s="613">
        <v>19.5</v>
      </c>
      <c r="R24" s="614">
        <v>7.25</v>
      </c>
      <c r="S24" s="615">
        <v>2.5</v>
      </c>
      <c r="T24" s="616">
        <v>4</v>
      </c>
      <c r="U24" s="617">
        <v>7.25</v>
      </c>
      <c r="V24" s="618">
        <v>0</v>
      </c>
      <c r="W24" s="619" t="s">
        <v>47</v>
      </c>
      <c r="X24" s="620">
        <v>1.5</v>
      </c>
      <c r="Y24" s="621">
        <v>1.625</v>
      </c>
      <c r="Z24" s="622">
        <v>3.75</v>
      </c>
      <c r="AA24" s="623" t="s">
        <v>412</v>
      </c>
      <c r="AB24" s="624" t="s">
        <v>413</v>
      </c>
      <c r="AC24" s="625">
        <v>7.75</v>
      </c>
      <c r="AD24" s="626">
        <v>8.125</v>
      </c>
      <c r="AE24" s="627">
        <v>6</v>
      </c>
      <c r="AF24" s="628">
        <v>6.1875</v>
      </c>
      <c r="AG24" s="629"/>
      <c r="AH24" s="630"/>
    </row>
    <row r="25" spans="2:34" x14ac:dyDescent="0.25">
      <c r="B25" s="581" t="s">
        <v>430</v>
      </c>
      <c r="C25" s="1192"/>
      <c r="D25" s="582">
        <v>14</v>
      </c>
      <c r="E25" s="1135" t="s">
        <v>605</v>
      </c>
      <c r="F25" s="583" t="s">
        <v>594</v>
      </c>
      <c r="G25" s="1039">
        <v>0.75</v>
      </c>
      <c r="H25" s="584" t="s">
        <v>511</v>
      </c>
      <c r="I25" s="1047">
        <v>65</v>
      </c>
      <c r="J25" s="631">
        <v>2.25</v>
      </c>
      <c r="K25" s="632" t="s">
        <v>553</v>
      </c>
      <c r="L25" s="633" t="s">
        <v>554</v>
      </c>
      <c r="M25" s="1048">
        <v>0.75</v>
      </c>
      <c r="N25" s="1049" t="s">
        <v>511</v>
      </c>
      <c r="O25" s="634">
        <v>65</v>
      </c>
      <c r="P25" s="635">
        <v>17</v>
      </c>
      <c r="Q25" s="636">
        <v>27.5</v>
      </c>
      <c r="R25" s="637">
        <v>12</v>
      </c>
      <c r="S25" s="638">
        <v>1.75</v>
      </c>
      <c r="T25" s="639">
        <v>4</v>
      </c>
      <c r="U25" s="640">
        <v>12</v>
      </c>
      <c r="V25" s="641">
        <v>0</v>
      </c>
      <c r="W25" s="642" t="s">
        <v>47</v>
      </c>
      <c r="X25" s="643">
        <v>1.25</v>
      </c>
      <c r="Y25" s="644">
        <v>1.375</v>
      </c>
      <c r="Z25" s="645">
        <v>3.5</v>
      </c>
      <c r="AA25" s="646" t="s">
        <v>412</v>
      </c>
      <c r="AB25" s="647" t="s">
        <v>413</v>
      </c>
      <c r="AC25" s="648">
        <v>6.25</v>
      </c>
      <c r="AD25" s="649"/>
      <c r="AE25" s="650">
        <v>5.25</v>
      </c>
      <c r="AF25" s="651"/>
      <c r="AG25" s="652" t="s">
        <v>503</v>
      </c>
      <c r="AH25" s="653">
        <v>166.2</v>
      </c>
    </row>
    <row r="26" spans="2:34" x14ac:dyDescent="0.25">
      <c r="B26" s="654" t="s">
        <v>431</v>
      </c>
      <c r="C26" s="1193"/>
      <c r="D26" s="655">
        <v>8</v>
      </c>
      <c r="E26" s="1136" t="s">
        <v>605</v>
      </c>
      <c r="F26" s="606" t="s">
        <v>595</v>
      </c>
      <c r="G26" s="1050">
        <v>0.625</v>
      </c>
      <c r="H26" s="607" t="s">
        <v>511</v>
      </c>
      <c r="I26" s="1051">
        <v>65</v>
      </c>
      <c r="J26" s="656">
        <v>2</v>
      </c>
      <c r="K26" s="657" t="s">
        <v>555</v>
      </c>
      <c r="L26" s="658" t="s">
        <v>556</v>
      </c>
      <c r="M26" s="1052">
        <v>0.625</v>
      </c>
      <c r="N26" s="1053" t="s">
        <v>511</v>
      </c>
      <c r="O26" s="659">
        <v>65</v>
      </c>
      <c r="P26" s="660">
        <v>11</v>
      </c>
      <c r="Q26" s="661">
        <v>15</v>
      </c>
      <c r="R26" s="662">
        <v>0</v>
      </c>
      <c r="S26" s="663">
        <v>1.75</v>
      </c>
      <c r="T26" s="664">
        <v>2</v>
      </c>
      <c r="U26" s="665">
        <v>0</v>
      </c>
      <c r="V26" s="666">
        <v>0</v>
      </c>
      <c r="W26" s="667" t="s">
        <v>47</v>
      </c>
      <c r="X26" s="668">
        <v>1.25</v>
      </c>
      <c r="Y26" s="669">
        <v>1.375</v>
      </c>
      <c r="Z26" s="670">
        <v>3.25</v>
      </c>
      <c r="AA26" s="671" t="s">
        <v>412</v>
      </c>
      <c r="AB26" s="672" t="s">
        <v>413</v>
      </c>
      <c r="AC26" s="673">
        <v>6</v>
      </c>
      <c r="AD26" s="674" t="s">
        <v>432</v>
      </c>
      <c r="AE26" s="675">
        <v>4.875</v>
      </c>
      <c r="AF26" s="676" t="s">
        <v>432</v>
      </c>
      <c r="AG26" s="677" t="s">
        <v>504</v>
      </c>
      <c r="AH26" s="678">
        <v>58</v>
      </c>
    </row>
    <row r="27" spans="2:34" x14ac:dyDescent="0.25">
      <c r="B27" s="679" t="s">
        <v>433</v>
      </c>
      <c r="C27" s="1194"/>
      <c r="D27" s="680">
        <v>10</v>
      </c>
      <c r="E27" s="1137" t="s">
        <v>605</v>
      </c>
      <c r="F27" s="681" t="s">
        <v>596</v>
      </c>
      <c r="G27" s="1054">
        <v>0.75</v>
      </c>
      <c r="H27" s="682" t="s">
        <v>511</v>
      </c>
      <c r="I27" s="1055">
        <v>65</v>
      </c>
      <c r="J27" s="683">
        <v>2.25</v>
      </c>
      <c r="K27" s="684" t="s">
        <v>557</v>
      </c>
      <c r="L27" s="685" t="s">
        <v>558</v>
      </c>
      <c r="M27" s="1056">
        <v>0.75</v>
      </c>
      <c r="N27" s="1057" t="s">
        <v>511</v>
      </c>
      <c r="O27" s="686">
        <v>65</v>
      </c>
      <c r="P27" s="687">
        <v>13</v>
      </c>
      <c r="Q27" s="688">
        <v>17</v>
      </c>
      <c r="R27" s="689">
        <v>0</v>
      </c>
      <c r="S27" s="690">
        <v>1.75</v>
      </c>
      <c r="T27" s="691">
        <v>2</v>
      </c>
      <c r="U27" s="692">
        <v>0</v>
      </c>
      <c r="V27" s="693">
        <v>0</v>
      </c>
      <c r="W27" s="694" t="s">
        <v>47</v>
      </c>
      <c r="X27" s="695">
        <v>1.25</v>
      </c>
      <c r="Y27" s="696">
        <v>1.375</v>
      </c>
      <c r="Z27" s="697">
        <v>3.5</v>
      </c>
      <c r="AA27" s="698" t="s">
        <v>412</v>
      </c>
      <c r="AB27" s="699" t="s">
        <v>413</v>
      </c>
      <c r="AC27" s="700">
        <v>6.25</v>
      </c>
      <c r="AD27" s="701" t="s">
        <v>432</v>
      </c>
      <c r="AE27" s="702">
        <v>5.25</v>
      </c>
      <c r="AF27" s="703" t="s">
        <v>432</v>
      </c>
      <c r="AG27" s="704" t="s">
        <v>302</v>
      </c>
      <c r="AH27" s="705">
        <v>88</v>
      </c>
    </row>
    <row r="28" spans="2:34" x14ac:dyDescent="0.25">
      <c r="B28" s="554" t="s">
        <v>434</v>
      </c>
      <c r="C28" s="1199"/>
      <c r="D28" s="706">
        <v>12</v>
      </c>
      <c r="E28" s="1138" t="s">
        <v>605</v>
      </c>
      <c r="F28" s="707" t="s">
        <v>597</v>
      </c>
      <c r="G28" s="1058">
        <v>0.75</v>
      </c>
      <c r="H28" s="708" t="s">
        <v>511</v>
      </c>
      <c r="I28" s="1059">
        <v>65</v>
      </c>
      <c r="J28" s="709">
        <v>2.25</v>
      </c>
      <c r="K28" s="710" t="s">
        <v>559</v>
      </c>
      <c r="L28" s="711" t="s">
        <v>560</v>
      </c>
      <c r="M28" s="1060">
        <v>0.75</v>
      </c>
      <c r="N28" s="1061" t="s">
        <v>511</v>
      </c>
      <c r="O28" s="712">
        <v>65</v>
      </c>
      <c r="P28" s="713">
        <v>15</v>
      </c>
      <c r="Q28" s="714">
        <v>21</v>
      </c>
      <c r="R28" s="715">
        <v>0</v>
      </c>
      <c r="S28" s="716">
        <v>2.25</v>
      </c>
      <c r="T28" s="717">
        <v>2</v>
      </c>
      <c r="U28" s="718">
        <v>0</v>
      </c>
      <c r="V28" s="719">
        <v>0</v>
      </c>
      <c r="W28" s="720" t="s">
        <v>47</v>
      </c>
      <c r="X28" s="721">
        <v>1.5</v>
      </c>
      <c r="Y28" s="722">
        <v>1.625</v>
      </c>
      <c r="Z28" s="723">
        <v>3.75</v>
      </c>
      <c r="AA28" s="724" t="s">
        <v>412</v>
      </c>
      <c r="AB28" s="725" t="s">
        <v>413</v>
      </c>
      <c r="AC28" s="726">
        <v>7.25</v>
      </c>
      <c r="AD28" s="727" t="s">
        <v>432</v>
      </c>
      <c r="AE28" s="728">
        <v>5.75</v>
      </c>
      <c r="AF28" s="729" t="s">
        <v>435</v>
      </c>
      <c r="AG28" s="730" t="s">
        <v>505</v>
      </c>
      <c r="AH28" s="731">
        <v>127</v>
      </c>
    </row>
    <row r="29" spans="2:34" x14ac:dyDescent="0.25">
      <c r="B29" s="732" t="s">
        <v>436</v>
      </c>
      <c r="C29" s="1195"/>
      <c r="D29" s="733">
        <v>14</v>
      </c>
      <c r="E29" s="1139" t="s">
        <v>605</v>
      </c>
      <c r="F29" s="734" t="s">
        <v>598</v>
      </c>
      <c r="G29" s="1062">
        <v>0.75</v>
      </c>
      <c r="H29" s="735" t="s">
        <v>511</v>
      </c>
      <c r="I29" s="1063">
        <v>65</v>
      </c>
      <c r="J29" s="736">
        <v>2.25</v>
      </c>
      <c r="K29" s="737" t="s">
        <v>561</v>
      </c>
      <c r="L29" s="738" t="s">
        <v>562</v>
      </c>
      <c r="M29" s="1064">
        <v>0.75</v>
      </c>
      <c r="N29" s="1065" t="s">
        <v>511</v>
      </c>
      <c r="O29" s="739">
        <v>65</v>
      </c>
      <c r="P29" s="740">
        <v>17</v>
      </c>
      <c r="Q29" s="741">
        <v>27.5</v>
      </c>
      <c r="R29" s="742">
        <v>0</v>
      </c>
      <c r="S29" s="743">
        <v>2.5</v>
      </c>
      <c r="T29" s="744">
        <v>2</v>
      </c>
      <c r="U29" s="745">
        <v>0</v>
      </c>
      <c r="V29" s="746">
        <v>0</v>
      </c>
      <c r="W29" s="747" t="s">
        <v>47</v>
      </c>
      <c r="X29" s="748">
        <v>1.5</v>
      </c>
      <c r="Y29" s="749">
        <v>1.625</v>
      </c>
      <c r="Z29" s="750">
        <v>3.75</v>
      </c>
      <c r="AA29" s="751" t="s">
        <v>412</v>
      </c>
      <c r="AB29" s="752" t="s">
        <v>413</v>
      </c>
      <c r="AC29" s="753">
        <v>7.75</v>
      </c>
      <c r="AD29" s="754" t="s">
        <v>432</v>
      </c>
      <c r="AE29" s="755">
        <v>6</v>
      </c>
      <c r="AF29" s="756" t="s">
        <v>432</v>
      </c>
      <c r="AG29" s="757" t="s">
        <v>506</v>
      </c>
      <c r="AH29" s="758">
        <v>184</v>
      </c>
    </row>
    <row r="30" spans="2:34" x14ac:dyDescent="0.25">
      <c r="B30" s="759" t="s">
        <v>437</v>
      </c>
      <c r="C30" s="784"/>
      <c r="D30" s="760">
        <v>16.5</v>
      </c>
      <c r="E30" s="1140" t="s">
        <v>605</v>
      </c>
      <c r="F30" s="761" t="s">
        <v>599</v>
      </c>
      <c r="G30" s="1066">
        <v>0.75</v>
      </c>
      <c r="H30" s="762" t="s">
        <v>511</v>
      </c>
      <c r="I30" s="1067">
        <v>65</v>
      </c>
      <c r="J30" s="763">
        <v>2.25</v>
      </c>
      <c r="K30" s="764" t="s">
        <v>563</v>
      </c>
      <c r="L30" s="765" t="s">
        <v>564</v>
      </c>
      <c r="M30" s="1068">
        <v>0.75</v>
      </c>
      <c r="N30" s="1069" t="s">
        <v>511</v>
      </c>
      <c r="O30" s="766">
        <v>65</v>
      </c>
      <c r="P30" s="767">
        <v>19.5</v>
      </c>
      <c r="Q30" s="768">
        <v>26</v>
      </c>
      <c r="R30" s="769">
        <v>0</v>
      </c>
      <c r="S30" s="770">
        <v>1.75</v>
      </c>
      <c r="T30" s="771">
        <v>2</v>
      </c>
      <c r="U30" s="772">
        <v>0</v>
      </c>
      <c r="V30" s="773">
        <v>0</v>
      </c>
      <c r="W30" s="774" t="s">
        <v>47</v>
      </c>
      <c r="X30" s="775">
        <v>1.25</v>
      </c>
      <c r="Y30" s="776">
        <v>1.375</v>
      </c>
      <c r="Z30" s="777">
        <v>3.5</v>
      </c>
      <c r="AA30" s="778" t="s">
        <v>412</v>
      </c>
      <c r="AB30" s="779" t="s">
        <v>413</v>
      </c>
      <c r="AC30" s="780">
        <v>6.25</v>
      </c>
      <c r="AD30" s="781" t="s">
        <v>438</v>
      </c>
      <c r="AE30" s="782">
        <v>5.25</v>
      </c>
      <c r="AF30" s="779" t="s">
        <v>432</v>
      </c>
      <c r="AG30" s="783" t="s">
        <v>496</v>
      </c>
      <c r="AH30" s="785">
        <v>171</v>
      </c>
    </row>
    <row r="31" spans="2:34" x14ac:dyDescent="0.25">
      <c r="B31" s="786" t="s">
        <v>439</v>
      </c>
      <c r="C31" s="812"/>
      <c r="D31" s="787">
        <v>12</v>
      </c>
      <c r="E31" s="812" t="s">
        <v>606</v>
      </c>
      <c r="F31" s="788" t="s">
        <v>600</v>
      </c>
      <c r="G31" s="1070">
        <v>0.75</v>
      </c>
      <c r="H31" s="789" t="s">
        <v>511</v>
      </c>
      <c r="I31" s="1071">
        <v>65</v>
      </c>
      <c r="J31" s="790">
        <v>2.25</v>
      </c>
      <c r="K31" s="791" t="s">
        <v>565</v>
      </c>
      <c r="L31" s="792" t="s">
        <v>566</v>
      </c>
      <c r="M31" s="1072">
        <v>0.75</v>
      </c>
      <c r="N31" s="1073" t="s">
        <v>511</v>
      </c>
      <c r="O31" s="793">
        <v>65</v>
      </c>
      <c r="P31" s="794">
        <v>15</v>
      </c>
      <c r="Q31" s="795">
        <v>24</v>
      </c>
      <c r="R31" s="796">
        <v>10.5</v>
      </c>
      <c r="S31" s="797">
        <v>1.5</v>
      </c>
      <c r="T31" s="798">
        <v>12</v>
      </c>
      <c r="U31" s="799">
        <v>4</v>
      </c>
      <c r="V31" s="800">
        <v>3.25</v>
      </c>
      <c r="W31" s="801" t="s">
        <v>47</v>
      </c>
      <c r="X31" s="802">
        <v>1</v>
      </c>
      <c r="Y31" s="803">
        <v>1.125</v>
      </c>
      <c r="Z31" s="804">
        <v>3.25</v>
      </c>
      <c r="AA31" s="805" t="s">
        <v>412</v>
      </c>
      <c r="AB31" s="806" t="s">
        <v>413</v>
      </c>
      <c r="AC31" s="807">
        <v>5.75</v>
      </c>
      <c r="AD31" s="808">
        <v>6.125</v>
      </c>
      <c r="AE31" s="809">
        <v>5</v>
      </c>
      <c r="AF31" s="810">
        <v>5.1875</v>
      </c>
      <c r="AG31" s="811" t="s">
        <v>507</v>
      </c>
      <c r="AH31" s="813">
        <v>128.19999999999999</v>
      </c>
    </row>
    <row r="32" spans="2:34" x14ac:dyDescent="0.25">
      <c r="B32" s="814" t="s">
        <v>440</v>
      </c>
      <c r="C32" s="1141"/>
      <c r="D32" s="815">
        <v>16.8</v>
      </c>
      <c r="E32" s="1141" t="s">
        <v>606</v>
      </c>
      <c r="F32" s="816" t="s">
        <v>601</v>
      </c>
      <c r="G32" s="1074">
        <v>0.75</v>
      </c>
      <c r="H32" s="817" t="s">
        <v>511</v>
      </c>
      <c r="I32" s="1075">
        <v>65</v>
      </c>
      <c r="J32" s="818">
        <v>2.25</v>
      </c>
      <c r="K32" s="819" t="s">
        <v>567</v>
      </c>
      <c r="L32" s="820" t="s">
        <v>568</v>
      </c>
      <c r="M32" s="1076">
        <v>0.75</v>
      </c>
      <c r="N32" s="1077" t="s">
        <v>511</v>
      </c>
      <c r="O32" s="821">
        <v>65</v>
      </c>
      <c r="P32" s="822">
        <v>15</v>
      </c>
      <c r="Q32" s="823">
        <v>28</v>
      </c>
      <c r="R32" s="824">
        <v>11</v>
      </c>
      <c r="S32" s="825">
        <v>3</v>
      </c>
      <c r="T32" s="826">
        <v>4</v>
      </c>
      <c r="U32" s="827">
        <v>11</v>
      </c>
      <c r="V32" s="828">
        <v>0</v>
      </c>
      <c r="W32" s="829" t="s">
        <v>441</v>
      </c>
      <c r="X32" s="830">
        <v>1.75</v>
      </c>
      <c r="Y32" s="831">
        <v>1.875</v>
      </c>
      <c r="Z32" s="832">
        <v>4</v>
      </c>
      <c r="AA32" s="833" t="s">
        <v>412</v>
      </c>
      <c r="AB32" s="834" t="s">
        <v>413</v>
      </c>
      <c r="AC32" s="835">
        <v>8.75</v>
      </c>
      <c r="AD32" s="836">
        <v>9.125</v>
      </c>
      <c r="AE32" s="837">
        <v>6.5</v>
      </c>
      <c r="AF32" s="838">
        <v>6.6875</v>
      </c>
      <c r="AG32" s="839" t="s">
        <v>508</v>
      </c>
      <c r="AH32" s="840">
        <v>186</v>
      </c>
    </row>
    <row r="33" spans="2:34" x14ac:dyDescent="0.25">
      <c r="B33" s="841" t="s">
        <v>442</v>
      </c>
      <c r="C33" s="1196"/>
      <c r="D33" s="842">
        <v>14</v>
      </c>
      <c r="E33" s="1142" t="s">
        <v>605</v>
      </c>
      <c r="F33" s="843" t="s">
        <v>602</v>
      </c>
      <c r="G33" s="1078">
        <v>0.75</v>
      </c>
      <c r="H33" s="844" t="s">
        <v>511</v>
      </c>
      <c r="I33" s="1079">
        <v>65</v>
      </c>
      <c r="J33" s="845">
        <v>2.25</v>
      </c>
      <c r="K33" s="846" t="s">
        <v>569</v>
      </c>
      <c r="L33" s="847" t="s">
        <v>570</v>
      </c>
      <c r="M33" s="1080">
        <v>0.75</v>
      </c>
      <c r="N33" s="1081" t="s">
        <v>511</v>
      </c>
      <c r="O33" s="848">
        <v>65</v>
      </c>
      <c r="P33" s="849">
        <v>17</v>
      </c>
      <c r="Q33" s="850">
        <v>27.5</v>
      </c>
      <c r="R33" s="851">
        <v>11.25</v>
      </c>
      <c r="S33" s="852">
        <v>2.5</v>
      </c>
      <c r="T33" s="853">
        <v>4</v>
      </c>
      <c r="U33" s="854">
        <v>11.25</v>
      </c>
      <c r="V33" s="855">
        <v>0</v>
      </c>
      <c r="W33" s="856" t="s">
        <v>441</v>
      </c>
      <c r="X33" s="857">
        <v>1.5</v>
      </c>
      <c r="Y33" s="858">
        <v>1.625</v>
      </c>
      <c r="Z33" s="859">
        <v>3.75</v>
      </c>
      <c r="AA33" s="860" t="s">
        <v>412</v>
      </c>
      <c r="AB33" s="861" t="s">
        <v>413</v>
      </c>
      <c r="AC33" s="862">
        <v>7.75</v>
      </c>
      <c r="AD33" s="863">
        <v>8.125</v>
      </c>
      <c r="AE33" s="864">
        <v>6</v>
      </c>
      <c r="AF33" s="865">
        <v>6.1875</v>
      </c>
      <c r="AG33" s="866" t="s">
        <v>506</v>
      </c>
      <c r="AH33" s="867">
        <v>183</v>
      </c>
    </row>
    <row r="34" spans="2:34" x14ac:dyDescent="0.25">
      <c r="B34" s="868" t="s">
        <v>443</v>
      </c>
      <c r="C34" s="1197"/>
      <c r="D34" s="869">
        <v>12</v>
      </c>
      <c r="E34" s="1143" t="s">
        <v>605</v>
      </c>
      <c r="F34" s="870" t="s">
        <v>603</v>
      </c>
      <c r="G34" s="1082">
        <v>0.75</v>
      </c>
      <c r="H34" s="871" t="s">
        <v>511</v>
      </c>
      <c r="I34" s="1083">
        <v>65</v>
      </c>
      <c r="J34" s="872">
        <v>2.25</v>
      </c>
      <c r="K34" s="873" t="s">
        <v>571</v>
      </c>
      <c r="L34" s="874" t="s">
        <v>572</v>
      </c>
      <c r="M34" s="1084">
        <v>0.75</v>
      </c>
      <c r="N34" s="1085" t="s">
        <v>511</v>
      </c>
      <c r="O34" s="876">
        <v>65</v>
      </c>
      <c r="P34" s="877">
        <v>15</v>
      </c>
      <c r="Q34" s="878">
        <v>21</v>
      </c>
      <c r="R34" s="879">
        <v>8.5</v>
      </c>
      <c r="S34" s="880">
        <v>2</v>
      </c>
      <c r="T34" s="881">
        <v>4</v>
      </c>
      <c r="U34" s="882">
        <v>8.5</v>
      </c>
      <c r="V34" s="883">
        <v>0</v>
      </c>
      <c r="W34" s="884" t="s">
        <v>47</v>
      </c>
      <c r="X34" s="885">
        <v>1.5</v>
      </c>
      <c r="Y34" s="886">
        <v>1.625</v>
      </c>
      <c r="Z34" s="887">
        <v>3.75</v>
      </c>
      <c r="AA34" s="888" t="s">
        <v>412</v>
      </c>
      <c r="AB34" s="889" t="s">
        <v>413</v>
      </c>
      <c r="AC34" s="890">
        <v>6.75</v>
      </c>
      <c r="AD34" s="891">
        <v>7.125</v>
      </c>
      <c r="AE34" s="892">
        <v>5.5</v>
      </c>
      <c r="AF34" s="893">
        <v>5.875</v>
      </c>
      <c r="AG34" s="894" t="s">
        <v>509</v>
      </c>
      <c r="AH34" s="895">
        <v>121</v>
      </c>
    </row>
    <row r="35" spans="2:34" x14ac:dyDescent="0.25">
      <c r="B35" s="896" t="s">
        <v>444</v>
      </c>
      <c r="C35" s="923"/>
      <c r="D35" s="897">
        <v>8</v>
      </c>
      <c r="E35" s="1144" t="s">
        <v>605</v>
      </c>
      <c r="F35" s="898" t="s">
        <v>604</v>
      </c>
      <c r="G35" s="1086">
        <v>0.75</v>
      </c>
      <c r="H35" s="899" t="s">
        <v>511</v>
      </c>
      <c r="I35" s="1087">
        <v>65</v>
      </c>
      <c r="J35" s="900">
        <v>2.25</v>
      </c>
      <c r="K35" s="901" t="s">
        <v>573</v>
      </c>
      <c r="L35" s="902" t="s">
        <v>574</v>
      </c>
      <c r="M35" s="1088">
        <v>0.75</v>
      </c>
      <c r="N35" s="1089" t="s">
        <v>511</v>
      </c>
      <c r="O35" s="904">
        <v>65</v>
      </c>
      <c r="P35" s="905">
        <v>11</v>
      </c>
      <c r="Q35" s="906">
        <v>13</v>
      </c>
      <c r="R35" s="907">
        <v>4.75</v>
      </c>
      <c r="S35" s="908">
        <v>1.75</v>
      </c>
      <c r="T35" s="909">
        <v>4</v>
      </c>
      <c r="U35" s="910">
        <v>4.75</v>
      </c>
      <c r="V35" s="911">
        <v>0</v>
      </c>
      <c r="W35" s="912" t="s">
        <v>47</v>
      </c>
      <c r="X35" s="913">
        <v>1.25</v>
      </c>
      <c r="Y35" s="914">
        <v>1.375</v>
      </c>
      <c r="Z35" s="915">
        <v>3.5</v>
      </c>
      <c r="AA35" s="916" t="s">
        <v>412</v>
      </c>
      <c r="AB35" s="917" t="s">
        <v>413</v>
      </c>
      <c r="AC35" s="918">
        <v>6.25</v>
      </c>
      <c r="AD35" s="919">
        <v>6.625</v>
      </c>
      <c r="AE35" s="920">
        <v>5.25</v>
      </c>
      <c r="AF35" s="921">
        <v>5.625</v>
      </c>
      <c r="AG35" s="922" t="s">
        <v>510</v>
      </c>
      <c r="AH35" s="924">
        <v>60.6</v>
      </c>
    </row>
  </sheetData>
  <sheetProtection algorithmName="SHA-512" hashValue="8HhoCMfI5AaMZjf037SmFM7S5EmQ/32y7CXyvbz3et2TCQsiJ5Jl5sKBk10CNMhx/jIATJYPxjKUUdbY+dpz8Q==" saltValue="ZLZE/9T9L2iDBcMD0EC6hQ==" spinCount="100000" sheet="1" objects="1" scenarios="1"/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62" customWidth="1"/>
  </cols>
  <sheetData>
    <row r="2" spans="2:46" x14ac:dyDescent="0.25">
      <c r="B2" s="165" t="s">
        <v>272</v>
      </c>
      <c r="E2" s="1707">
        <v>42942</v>
      </c>
    </row>
    <row r="3" spans="2:46" ht="15.75" thickBot="1" x14ac:dyDescent="0.3"/>
    <row r="4" spans="2:46" ht="15" customHeight="1" x14ac:dyDescent="0.25">
      <c r="B4" s="2221" t="s">
        <v>273</v>
      </c>
      <c r="C4" s="2222"/>
      <c r="D4" s="2222"/>
      <c r="E4" s="2221" t="s">
        <v>386</v>
      </c>
      <c r="F4" s="2222"/>
      <c r="G4" s="2222"/>
      <c r="H4" s="2222"/>
      <c r="I4" s="2223"/>
      <c r="J4" s="2224" t="s">
        <v>387</v>
      </c>
      <c r="K4" s="2222"/>
      <c r="L4" s="2222"/>
      <c r="M4" s="2222"/>
      <c r="N4" s="2222"/>
      <c r="O4" s="2225" t="s">
        <v>390</v>
      </c>
      <c r="P4" s="2226"/>
      <c r="Q4" s="2226"/>
      <c r="R4" s="2227"/>
      <c r="S4" s="2226" t="s">
        <v>260</v>
      </c>
      <c r="T4" s="2226"/>
      <c r="U4" s="2226"/>
      <c r="V4" s="2226"/>
      <c r="W4" s="2226"/>
      <c r="X4" s="2225" t="s">
        <v>400</v>
      </c>
      <c r="Y4" s="2222"/>
      <c r="Z4" s="2222"/>
      <c r="AA4" s="2222"/>
      <c r="AB4" s="2222"/>
      <c r="AC4" s="2222"/>
      <c r="AD4" s="2222"/>
      <c r="AE4" s="2222"/>
      <c r="AF4" s="2222"/>
      <c r="AG4" s="2223"/>
      <c r="AH4" s="2226" t="s">
        <v>399</v>
      </c>
      <c r="AI4" s="2222"/>
      <c r="AJ4" s="2222"/>
      <c r="AK4" s="2222"/>
      <c r="AL4" s="2222"/>
      <c r="AM4" s="2222"/>
      <c r="AN4" s="2223"/>
    </row>
    <row r="5" spans="2:46" ht="15" customHeight="1" x14ac:dyDescent="0.25">
      <c r="B5" s="2214" t="s">
        <v>628</v>
      </c>
      <c r="C5" s="2172" t="s">
        <v>627</v>
      </c>
      <c r="D5" s="2186" t="s">
        <v>626</v>
      </c>
      <c r="E5" s="2214" t="s">
        <v>641</v>
      </c>
      <c r="F5" s="2172" t="s">
        <v>406</v>
      </c>
      <c r="G5" s="2172" t="s">
        <v>304</v>
      </c>
      <c r="H5" s="2215" t="s">
        <v>388</v>
      </c>
      <c r="I5" s="2216" t="s">
        <v>403</v>
      </c>
      <c r="J5" s="2184" t="s">
        <v>404</v>
      </c>
      <c r="K5" s="2172" t="s">
        <v>405</v>
      </c>
      <c r="L5" s="2215" t="s">
        <v>406</v>
      </c>
      <c r="M5" s="2215" t="s">
        <v>304</v>
      </c>
      <c r="N5" s="2186" t="s">
        <v>632</v>
      </c>
      <c r="O5" s="2214" t="s">
        <v>389</v>
      </c>
      <c r="P5" s="2215" t="s">
        <v>408</v>
      </c>
      <c r="Q5" s="2215" t="s">
        <v>625</v>
      </c>
      <c r="R5" s="2188" t="s">
        <v>407</v>
      </c>
      <c r="S5" s="2184" t="s">
        <v>629</v>
      </c>
      <c r="T5" s="2215" t="s">
        <v>406</v>
      </c>
      <c r="U5" s="2172" t="s">
        <v>630</v>
      </c>
      <c r="V5" s="2215" t="s">
        <v>304</v>
      </c>
      <c r="W5" s="2228" t="s">
        <v>631</v>
      </c>
      <c r="X5" s="2214" t="s">
        <v>643</v>
      </c>
      <c r="Y5" s="2172" t="s">
        <v>392</v>
      </c>
      <c r="Z5" s="2172" t="s">
        <v>393</v>
      </c>
      <c r="AA5" s="2172" t="s">
        <v>391</v>
      </c>
      <c r="AB5" s="2172" t="s">
        <v>409</v>
      </c>
      <c r="AC5" s="2215" t="s">
        <v>410</v>
      </c>
      <c r="AD5" s="2218" t="s">
        <v>398</v>
      </c>
      <c r="AE5" s="2219"/>
      <c r="AF5" s="2219"/>
      <c r="AG5" s="2220"/>
      <c r="AH5" s="2217" t="s">
        <v>295</v>
      </c>
      <c r="AI5" s="2215" t="s">
        <v>296</v>
      </c>
      <c r="AJ5" s="2215" t="s">
        <v>445</v>
      </c>
      <c r="AK5" s="2215" t="s">
        <v>446</v>
      </c>
      <c r="AL5" s="2215" t="s">
        <v>402</v>
      </c>
      <c r="AM5" s="2215" t="s">
        <v>640</v>
      </c>
      <c r="AN5" s="2216" t="s">
        <v>401</v>
      </c>
      <c r="AP5">
        <v>0.45</v>
      </c>
    </row>
    <row r="6" spans="2:46" ht="51" customHeight="1" x14ac:dyDescent="0.25">
      <c r="B6" s="2214"/>
      <c r="C6" s="2172"/>
      <c r="D6" s="2186"/>
      <c r="E6" s="2214"/>
      <c r="F6" s="2172"/>
      <c r="G6" s="2172"/>
      <c r="H6" s="2215"/>
      <c r="I6" s="2216"/>
      <c r="J6" s="2184"/>
      <c r="K6" s="2172"/>
      <c r="L6" s="2215"/>
      <c r="M6" s="2215"/>
      <c r="N6" s="2186"/>
      <c r="O6" s="2214"/>
      <c r="P6" s="2215"/>
      <c r="Q6" s="2215"/>
      <c r="R6" s="2188"/>
      <c r="S6" s="2184"/>
      <c r="T6" s="2215"/>
      <c r="U6" s="2172"/>
      <c r="V6" s="2215"/>
      <c r="W6" s="2228"/>
      <c r="X6" s="2214"/>
      <c r="Y6" s="2172"/>
      <c r="Z6" s="2172"/>
      <c r="AA6" s="2172"/>
      <c r="AB6" s="2172"/>
      <c r="AC6" s="2215"/>
      <c r="AD6" s="192" t="s">
        <v>397</v>
      </c>
      <c r="AE6" s="195" t="s">
        <v>394</v>
      </c>
      <c r="AF6" s="196" t="s">
        <v>395</v>
      </c>
      <c r="AG6" s="1294" t="s">
        <v>396</v>
      </c>
      <c r="AH6" s="2217"/>
      <c r="AI6" s="2215"/>
      <c r="AJ6" s="2215"/>
      <c r="AK6" s="2215"/>
      <c r="AL6" s="2215"/>
      <c r="AM6" s="2215"/>
      <c r="AN6" s="2216"/>
      <c r="AP6" t="s">
        <v>447</v>
      </c>
      <c r="AQ6" t="s">
        <v>642</v>
      </c>
      <c r="AR6" t="s">
        <v>638</v>
      </c>
      <c r="AS6" t="s">
        <v>639</v>
      </c>
      <c r="AT6" t="s">
        <v>637</v>
      </c>
    </row>
    <row r="7" spans="2:46" ht="14.25" customHeight="1" x14ac:dyDescent="0.25">
      <c r="B7" s="1543">
        <v>4</v>
      </c>
      <c r="C7" s="1544">
        <v>5.125</v>
      </c>
      <c r="D7" s="1545">
        <v>0.1875</v>
      </c>
      <c r="E7" s="1543" t="s">
        <v>305</v>
      </c>
      <c r="F7" s="1546">
        <v>0.625</v>
      </c>
      <c r="G7" s="1544">
        <v>65</v>
      </c>
      <c r="H7" s="1709">
        <v>1.875</v>
      </c>
      <c r="I7" s="1548">
        <f>N7+0.125</f>
        <v>7.125</v>
      </c>
      <c r="J7" s="1549" t="s">
        <v>332</v>
      </c>
      <c r="K7" s="1544" t="s">
        <v>333</v>
      </c>
      <c r="L7" s="1550">
        <f t="shared" ref="L7:L34" si="0">F7</f>
        <v>0.625</v>
      </c>
      <c r="M7" s="1551">
        <f>G7</f>
        <v>65</v>
      </c>
      <c r="N7" s="1552">
        <v>7</v>
      </c>
      <c r="O7" s="1543">
        <v>9</v>
      </c>
      <c r="P7" s="1547">
        <f t="shared" ref="P7:P12" si="1">(INT(X7/4)-1)*Z7+Y7</f>
        <v>3</v>
      </c>
      <c r="Q7" s="1547">
        <f>O7/2-P7</f>
        <v>1.5</v>
      </c>
      <c r="R7" s="1553">
        <f t="shared" ref="R7:R33" si="2">CEILING(1.3*AB7,0.25)</f>
        <v>1.5</v>
      </c>
      <c r="S7" s="1554"/>
      <c r="T7" s="1550"/>
      <c r="U7" s="1555"/>
      <c r="V7" s="1547"/>
      <c r="W7" s="1556"/>
      <c r="X7" s="1623">
        <v>4</v>
      </c>
      <c r="Y7" s="1624">
        <v>3</v>
      </c>
      <c r="Z7" s="1625">
        <v>6</v>
      </c>
      <c r="AA7" s="1626" t="s">
        <v>47</v>
      </c>
      <c r="AB7" s="1627">
        <v>1</v>
      </c>
      <c r="AC7" s="1628">
        <f>AB7+0.125</f>
        <v>1.125</v>
      </c>
      <c r="AD7" s="1629">
        <f>CEILING(F7+L7+AB7+0.5,0.25)</f>
        <v>2.75</v>
      </c>
      <c r="AE7" s="1630" t="s">
        <v>412</v>
      </c>
      <c r="AF7" s="1631" t="s">
        <v>413</v>
      </c>
      <c r="AG7" s="1632" t="s">
        <v>413</v>
      </c>
      <c r="AH7" s="1633">
        <f>MAX(H7+2*R7+0.5,U7+2*R7+0.5)</f>
        <v>5.375</v>
      </c>
      <c r="AI7" s="1634"/>
      <c r="AJ7" s="1635">
        <f>MAX(H7+R7+0.5,U7+R7+0.5)+F7</f>
        <v>4.5</v>
      </c>
      <c r="AK7" s="1636"/>
      <c r="AL7" s="1637" t="str">
        <f xml:space="preserve"> "PL "&amp;TRIM(TEXT(F7,"# ?/?"))&amp;" x " &amp;TRIM(TEXT(O7,"# ?/?"))&amp; " x " &amp;TRIM(TEXT(AP7,"# ?/?"))</f>
        <v>PL 5/8 x 9 x 17 1/4</v>
      </c>
      <c r="AM7" s="1638">
        <f>AQ7</f>
        <v>27.518062500000003</v>
      </c>
      <c r="AN7" s="1639">
        <f>AM7*1.06</f>
        <v>29.169146250000004</v>
      </c>
      <c r="AP7" s="925">
        <f>CEILING(2*AH7+I7 - 4*H7+(H7+$AP$5*F7)*PI(),0.125)</f>
        <v>17.25</v>
      </c>
      <c r="AQ7">
        <f t="shared" ref="AQ7:AQ33" si="3">F7*O7*AP7*0.2836</f>
        <v>27.518062500000003</v>
      </c>
      <c r="AR7">
        <f>(C7-2*D7-(I7-2*H7))/2</f>
        <v>0.6875</v>
      </c>
      <c r="AS7">
        <f>H7+F7</f>
        <v>2.5</v>
      </c>
      <c r="AT7">
        <f>AS7-SQRT(AS7^2-AR7^2)</f>
        <v>9.6389434621323655E-2</v>
      </c>
    </row>
    <row r="8" spans="2:46" ht="14.25" customHeight="1" x14ac:dyDescent="0.25">
      <c r="B8" s="1528">
        <v>4</v>
      </c>
      <c r="C8" s="1529">
        <v>6</v>
      </c>
      <c r="D8" s="1530">
        <v>0.3125</v>
      </c>
      <c r="E8" s="1528" t="s">
        <v>306</v>
      </c>
      <c r="F8" s="1531">
        <v>0.625</v>
      </c>
      <c r="G8" s="1529">
        <v>65</v>
      </c>
      <c r="H8" s="1708">
        <v>1.875</v>
      </c>
      <c r="I8" s="1533">
        <f t="shared" ref="I8:I34" si="4">N8+0.125</f>
        <v>8.125</v>
      </c>
      <c r="J8" s="1534" t="s">
        <v>334</v>
      </c>
      <c r="K8" s="1529" t="s">
        <v>360</v>
      </c>
      <c r="L8" s="1535">
        <f t="shared" si="0"/>
        <v>0.625</v>
      </c>
      <c r="M8" s="1536">
        <f t="shared" ref="M8:M34" si="5">G8</f>
        <v>65</v>
      </c>
      <c r="N8" s="1537">
        <v>8</v>
      </c>
      <c r="O8" s="1528">
        <v>12</v>
      </c>
      <c r="P8" s="1532">
        <f t="shared" si="1"/>
        <v>4.5</v>
      </c>
      <c r="Q8" s="1532">
        <f t="shared" ref="Q8:Q34" si="6">O8/2-P8</f>
        <v>1.5</v>
      </c>
      <c r="R8" s="1538">
        <f t="shared" si="2"/>
        <v>1.5</v>
      </c>
      <c r="S8" s="1539"/>
      <c r="T8" s="1535"/>
      <c r="U8" s="1540"/>
      <c r="V8" s="1532"/>
      <c r="W8" s="1541"/>
      <c r="X8" s="1689">
        <v>6</v>
      </c>
      <c r="Y8" s="1690">
        <v>4.5</v>
      </c>
      <c r="Z8" s="1691">
        <v>4.5</v>
      </c>
      <c r="AA8" s="1692" t="s">
        <v>47</v>
      </c>
      <c r="AB8" s="1693">
        <v>1</v>
      </c>
      <c r="AC8" s="1694">
        <f t="shared" ref="AC8:AC34" si="7">AB8+0.125</f>
        <v>1.125</v>
      </c>
      <c r="AD8" s="1695">
        <f t="shared" ref="AD8:AD34" si="8">CEILING(F8+L8+AB8+0.5,0.25)</f>
        <v>2.75</v>
      </c>
      <c r="AE8" s="1696" t="s">
        <v>412</v>
      </c>
      <c r="AF8" s="1697" t="s">
        <v>413</v>
      </c>
      <c r="AG8" s="1698" t="s">
        <v>413</v>
      </c>
      <c r="AH8" s="1699">
        <f t="shared" ref="AH8:AH34" si="9">MAX(H8+2*R8+0.5,U8+2*R8+0.5)</f>
        <v>5.375</v>
      </c>
      <c r="AI8" s="1700"/>
      <c r="AJ8" s="1701">
        <f t="shared" ref="AJ8:AJ34" si="10">MAX(H8+R8+0.5,U8+R8+0.5)+F8</f>
        <v>4.5</v>
      </c>
      <c r="AK8" s="1702"/>
      <c r="AL8" s="1703" t="str">
        <f t="shared" ref="AL8:AL34" si="11" xml:space="preserve"> "PL "&amp;TRIM(TEXT(F8,"# ?/?"))&amp;" x " &amp;TRIM(TEXT(O8,"# ?/?"))&amp; " x " &amp;TRIM(TEXT(AP8,"# ?/?"))</f>
        <v>PL 5/8 x 12 x 18 1/4</v>
      </c>
      <c r="AM8" s="1704">
        <f t="shared" ref="AM8:AM34" si="12">AQ8</f>
        <v>38.817750000000004</v>
      </c>
      <c r="AN8" s="1705">
        <f t="shared" ref="AN8:AN34" si="13">AM8*1.06</f>
        <v>41.146815000000004</v>
      </c>
      <c r="AP8" s="925">
        <f t="shared" ref="AP8:AP34" si="14">CEILING(2*AH8+I8 - 4*H8+(H8+$AP$5*F8)*PI(),0.125)</f>
        <v>18.25</v>
      </c>
      <c r="AQ8">
        <f t="shared" si="3"/>
        <v>38.817750000000004</v>
      </c>
      <c r="AR8">
        <f t="shared" ref="AR8:AR34" si="15">(C8-2*D8-(I8-2*H8))/2</f>
        <v>0.5</v>
      </c>
      <c r="AS8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543">
        <v>6.25</v>
      </c>
      <c r="C9" s="1544">
        <v>7.625</v>
      </c>
      <c r="D9" s="1545">
        <v>0.1875</v>
      </c>
      <c r="E9" s="1543" t="s">
        <v>307</v>
      </c>
      <c r="F9" s="1546">
        <v>0.75</v>
      </c>
      <c r="G9" s="1544">
        <v>65</v>
      </c>
      <c r="H9" s="1547">
        <f t="shared" ref="H9:H34" si="18">3*F9</f>
        <v>2.25</v>
      </c>
      <c r="I9" s="1548">
        <f t="shared" si="4"/>
        <v>10.125</v>
      </c>
      <c r="J9" s="1549" t="s">
        <v>335</v>
      </c>
      <c r="K9" s="1544" t="s">
        <v>361</v>
      </c>
      <c r="L9" s="1550">
        <f t="shared" si="0"/>
        <v>0.75</v>
      </c>
      <c r="M9" s="1551">
        <f t="shared" si="5"/>
        <v>65</v>
      </c>
      <c r="N9" s="1552">
        <v>10</v>
      </c>
      <c r="O9" s="1543">
        <v>12</v>
      </c>
      <c r="P9" s="1547">
        <f t="shared" si="1"/>
        <v>4.5</v>
      </c>
      <c r="Q9" s="1547">
        <f t="shared" si="6"/>
        <v>1.5</v>
      </c>
      <c r="R9" s="1553">
        <f t="shared" si="2"/>
        <v>1.5</v>
      </c>
      <c r="S9" s="1554"/>
      <c r="T9" s="1550"/>
      <c r="U9" s="1555"/>
      <c r="V9" s="1547"/>
      <c r="W9" s="1556"/>
      <c r="X9" s="1606">
        <v>4</v>
      </c>
      <c r="Y9" s="1607">
        <v>4.5</v>
      </c>
      <c r="Z9" s="1608">
        <v>9</v>
      </c>
      <c r="AA9" s="1609" t="s">
        <v>47</v>
      </c>
      <c r="AB9" s="1610">
        <v>1</v>
      </c>
      <c r="AC9" s="1611">
        <f t="shared" si="7"/>
        <v>1.125</v>
      </c>
      <c r="AD9" s="1612">
        <f t="shared" si="8"/>
        <v>3</v>
      </c>
      <c r="AE9" s="1613" t="s">
        <v>412</v>
      </c>
      <c r="AF9" s="1614" t="s">
        <v>413</v>
      </c>
      <c r="AG9" s="1615" t="s">
        <v>413</v>
      </c>
      <c r="AH9" s="1616">
        <f t="shared" si="9"/>
        <v>5.75</v>
      </c>
      <c r="AI9" s="1617"/>
      <c r="AJ9" s="1618">
        <f t="shared" si="10"/>
        <v>5</v>
      </c>
      <c r="AK9" s="1619"/>
      <c r="AL9" s="1620" t="str">
        <f t="shared" si="11"/>
        <v>PL 3/4 x 12 x 20 7/8</v>
      </c>
      <c r="AM9" s="1621">
        <f t="shared" si="12"/>
        <v>53.281350000000003</v>
      </c>
      <c r="AN9" s="1622">
        <f t="shared" si="13"/>
        <v>56.478231000000008</v>
      </c>
      <c r="AP9" s="925">
        <f t="shared" si="14"/>
        <v>20.875</v>
      </c>
      <c r="AQ9">
        <f t="shared" si="3"/>
        <v>53.281350000000003</v>
      </c>
      <c r="AR9">
        <f t="shared" si="15"/>
        <v>0.8125</v>
      </c>
      <c r="AS9">
        <f t="shared" si="16"/>
        <v>3</v>
      </c>
      <c r="AT9">
        <f t="shared" si="17"/>
        <v>0.11212123696301957</v>
      </c>
    </row>
    <row r="10" spans="2:46" ht="14.25" customHeight="1" x14ac:dyDescent="0.25">
      <c r="B10" s="1528">
        <v>6.25</v>
      </c>
      <c r="C10" s="1529">
        <v>7.75</v>
      </c>
      <c r="D10" s="1530">
        <v>0.3125</v>
      </c>
      <c r="E10" s="1528" t="s">
        <v>308</v>
      </c>
      <c r="F10" s="1531">
        <v>0.75</v>
      </c>
      <c r="G10" s="1529">
        <v>65</v>
      </c>
      <c r="H10" s="1532">
        <f t="shared" si="18"/>
        <v>2.25</v>
      </c>
      <c r="I10" s="1533">
        <f t="shared" si="4"/>
        <v>10.125</v>
      </c>
      <c r="J10" s="1534" t="s">
        <v>336</v>
      </c>
      <c r="K10" s="1529" t="s">
        <v>362</v>
      </c>
      <c r="L10" s="1535">
        <f t="shared" si="0"/>
        <v>0.75</v>
      </c>
      <c r="M10" s="1536">
        <f t="shared" si="5"/>
        <v>65</v>
      </c>
      <c r="N10" s="1537">
        <v>10</v>
      </c>
      <c r="O10" s="1528">
        <v>15</v>
      </c>
      <c r="P10" s="1532">
        <f t="shared" si="1"/>
        <v>6</v>
      </c>
      <c r="Q10" s="1532">
        <f t="shared" si="6"/>
        <v>1.5</v>
      </c>
      <c r="R10" s="1538">
        <f t="shared" si="2"/>
        <v>1.5</v>
      </c>
      <c r="S10" s="1539"/>
      <c r="T10" s="1535"/>
      <c r="U10" s="1540"/>
      <c r="V10" s="1532"/>
      <c r="W10" s="1541"/>
      <c r="X10" s="1672">
        <v>8</v>
      </c>
      <c r="Y10" s="1673">
        <v>3</v>
      </c>
      <c r="Z10" s="1674">
        <v>3</v>
      </c>
      <c r="AA10" s="1675" t="s">
        <v>47</v>
      </c>
      <c r="AB10" s="1676">
        <v>1</v>
      </c>
      <c r="AC10" s="1677">
        <f t="shared" si="7"/>
        <v>1.125</v>
      </c>
      <c r="AD10" s="1678">
        <f t="shared" si="8"/>
        <v>3</v>
      </c>
      <c r="AE10" s="1679" t="s">
        <v>412</v>
      </c>
      <c r="AF10" s="1680" t="s">
        <v>413</v>
      </c>
      <c r="AG10" s="1681" t="s">
        <v>413</v>
      </c>
      <c r="AH10" s="1682">
        <f t="shared" si="9"/>
        <v>5.75</v>
      </c>
      <c r="AI10" s="1683"/>
      <c r="AJ10" s="1684">
        <f t="shared" si="10"/>
        <v>5</v>
      </c>
      <c r="AK10" s="1685"/>
      <c r="AL10" s="1686" t="str">
        <f t="shared" si="11"/>
        <v>PL 3/4 x 15 x 20 7/8</v>
      </c>
      <c r="AM10" s="1687">
        <f t="shared" si="12"/>
        <v>66.601687500000011</v>
      </c>
      <c r="AN10" s="1688">
        <f t="shared" si="13"/>
        <v>70.597788750000021</v>
      </c>
      <c r="AP10" s="925">
        <f t="shared" si="14"/>
        <v>20.875</v>
      </c>
      <c r="AQ10">
        <f t="shared" si="3"/>
        <v>66.601687500000011</v>
      </c>
      <c r="AR10">
        <f t="shared" si="15"/>
        <v>0.75</v>
      </c>
      <c r="AS10">
        <f t="shared" si="16"/>
        <v>3</v>
      </c>
      <c r="AT10">
        <f t="shared" si="17"/>
        <v>9.5262490344437456E-2</v>
      </c>
    </row>
    <row r="11" spans="2:46" ht="14.25" customHeight="1" x14ac:dyDescent="0.25">
      <c r="B11" s="1543">
        <v>7.75</v>
      </c>
      <c r="C11" s="1544">
        <v>9.5</v>
      </c>
      <c r="D11" s="1545">
        <v>0.1875</v>
      </c>
      <c r="E11" s="1543" t="s">
        <v>309</v>
      </c>
      <c r="F11" s="1546">
        <v>0.75</v>
      </c>
      <c r="G11" s="1544">
        <v>65</v>
      </c>
      <c r="H11" s="1547">
        <f t="shared" si="18"/>
        <v>2.25</v>
      </c>
      <c r="I11" s="1548">
        <f t="shared" si="4"/>
        <v>12.125</v>
      </c>
      <c r="J11" s="1549" t="s">
        <v>337</v>
      </c>
      <c r="K11" s="1544" t="s">
        <v>363</v>
      </c>
      <c r="L11" s="1550">
        <f t="shared" si="0"/>
        <v>0.75</v>
      </c>
      <c r="M11" s="1551">
        <f t="shared" si="5"/>
        <v>65</v>
      </c>
      <c r="N11" s="1552">
        <v>12</v>
      </c>
      <c r="O11" s="1543">
        <v>15</v>
      </c>
      <c r="P11" s="1547">
        <f t="shared" si="1"/>
        <v>6</v>
      </c>
      <c r="Q11" s="1547">
        <f t="shared" si="6"/>
        <v>1.5</v>
      </c>
      <c r="R11" s="1553">
        <f t="shared" si="2"/>
        <v>1.5</v>
      </c>
      <c r="S11" s="1554"/>
      <c r="T11" s="1550"/>
      <c r="U11" s="1555"/>
      <c r="V11" s="1547"/>
      <c r="W11" s="1556"/>
      <c r="X11" s="1590">
        <v>8</v>
      </c>
      <c r="Y11" s="1591">
        <v>3</v>
      </c>
      <c r="Z11" s="1592">
        <v>3</v>
      </c>
      <c r="AA11" s="1593" t="s">
        <v>47</v>
      </c>
      <c r="AB11" s="1594">
        <v>1</v>
      </c>
      <c r="AC11" s="1595">
        <f t="shared" si="7"/>
        <v>1.125</v>
      </c>
      <c r="AD11" s="1596">
        <f t="shared" si="8"/>
        <v>3</v>
      </c>
      <c r="AE11" s="1597" t="s">
        <v>412</v>
      </c>
      <c r="AF11" s="1598" t="s">
        <v>413</v>
      </c>
      <c r="AG11" s="1599" t="s">
        <v>413</v>
      </c>
      <c r="AH11" s="1600">
        <f t="shared" si="9"/>
        <v>5.75</v>
      </c>
      <c r="AI11" s="1601"/>
      <c r="AJ11" s="1602">
        <f t="shared" si="10"/>
        <v>5</v>
      </c>
      <c r="AK11" s="1603"/>
      <c r="AL11" s="1604" t="str">
        <f t="shared" si="11"/>
        <v>PL 3/4 x 15 x 22 7/8</v>
      </c>
      <c r="AM11" s="1557">
        <f t="shared" si="12"/>
        <v>72.982687500000011</v>
      </c>
      <c r="AN11" s="1605">
        <f t="shared" si="13"/>
        <v>77.361648750000015</v>
      </c>
      <c r="AP11" s="925">
        <f t="shared" si="14"/>
        <v>22.875</v>
      </c>
      <c r="AQ11">
        <f t="shared" si="3"/>
        <v>72.982687500000011</v>
      </c>
      <c r="AR11">
        <f t="shared" si="15"/>
        <v>0.75</v>
      </c>
      <c r="AS11">
        <f t="shared" si="16"/>
        <v>3</v>
      </c>
      <c r="AT11">
        <f t="shared" si="17"/>
        <v>9.5262490344437456E-2</v>
      </c>
    </row>
    <row r="12" spans="2:46" ht="14.25" customHeight="1" x14ac:dyDescent="0.25">
      <c r="B12" s="1528">
        <v>8</v>
      </c>
      <c r="C12" s="1529">
        <v>9.75</v>
      </c>
      <c r="D12" s="1530">
        <v>0.3125</v>
      </c>
      <c r="E12" s="1528" t="s">
        <v>310</v>
      </c>
      <c r="F12" s="1531">
        <v>0.75</v>
      </c>
      <c r="G12" s="1529">
        <v>65</v>
      </c>
      <c r="H12" s="1532">
        <f t="shared" si="18"/>
        <v>2.25</v>
      </c>
      <c r="I12" s="1533">
        <f t="shared" si="4"/>
        <v>12.125</v>
      </c>
      <c r="J12" s="1534" t="s">
        <v>338</v>
      </c>
      <c r="K12" s="1529" t="s">
        <v>364</v>
      </c>
      <c r="L12" s="1535">
        <f t="shared" si="0"/>
        <v>0.75</v>
      </c>
      <c r="M12" s="1536">
        <f t="shared" si="5"/>
        <v>65</v>
      </c>
      <c r="N12" s="1537">
        <v>12</v>
      </c>
      <c r="O12" s="1528">
        <v>18</v>
      </c>
      <c r="P12" s="1532">
        <f t="shared" si="1"/>
        <v>7.5</v>
      </c>
      <c r="Q12" s="1532">
        <f t="shared" si="6"/>
        <v>1.5</v>
      </c>
      <c r="R12" s="1538">
        <f t="shared" si="2"/>
        <v>1.5</v>
      </c>
      <c r="S12" s="1539"/>
      <c r="T12" s="1535"/>
      <c r="U12" s="1540"/>
      <c r="V12" s="1532"/>
      <c r="W12" s="1541"/>
      <c r="X12" s="1656">
        <v>8</v>
      </c>
      <c r="Y12" s="1657">
        <v>4.5</v>
      </c>
      <c r="Z12" s="1658">
        <v>3</v>
      </c>
      <c r="AA12" s="1659" t="s">
        <v>47</v>
      </c>
      <c r="AB12" s="1660">
        <v>1</v>
      </c>
      <c r="AC12" s="1661">
        <f t="shared" si="7"/>
        <v>1.125</v>
      </c>
      <c r="AD12" s="1662">
        <f t="shared" si="8"/>
        <v>3</v>
      </c>
      <c r="AE12" s="1663" t="s">
        <v>412</v>
      </c>
      <c r="AF12" s="1664" t="s">
        <v>413</v>
      </c>
      <c r="AG12" s="1665" t="s">
        <v>413</v>
      </c>
      <c r="AH12" s="1666">
        <f t="shared" si="9"/>
        <v>5.75</v>
      </c>
      <c r="AI12" s="1667"/>
      <c r="AJ12" s="1668">
        <f t="shared" si="10"/>
        <v>5</v>
      </c>
      <c r="AK12" s="1669"/>
      <c r="AL12" s="1670" t="str">
        <f t="shared" si="11"/>
        <v>PL 3/4 x 18 x 22 7/8</v>
      </c>
      <c r="AM12" s="1542">
        <f t="shared" si="12"/>
        <v>87.579225000000008</v>
      </c>
      <c r="AN12" s="1671">
        <f t="shared" si="13"/>
        <v>92.833978500000015</v>
      </c>
      <c r="AP12" s="925">
        <f t="shared" si="14"/>
        <v>22.875</v>
      </c>
      <c r="AQ12">
        <f t="shared" si="3"/>
        <v>87.579225000000008</v>
      </c>
      <c r="AR12">
        <f t="shared" si="15"/>
        <v>0.75</v>
      </c>
      <c r="AS12">
        <f t="shared" si="16"/>
        <v>3</v>
      </c>
      <c r="AT12">
        <f t="shared" si="17"/>
        <v>9.5262490344437456E-2</v>
      </c>
    </row>
    <row r="13" spans="2:46" ht="14.25" customHeight="1" x14ac:dyDescent="0.25">
      <c r="B13" s="1543">
        <v>9.75</v>
      </c>
      <c r="C13" s="1544">
        <v>11.5</v>
      </c>
      <c r="D13" s="1545">
        <v>0.25</v>
      </c>
      <c r="E13" s="1543" t="s">
        <v>311</v>
      </c>
      <c r="F13" s="1546">
        <v>0.75</v>
      </c>
      <c r="G13" s="1544">
        <v>65</v>
      </c>
      <c r="H13" s="1547">
        <f t="shared" si="18"/>
        <v>2.25</v>
      </c>
      <c r="I13" s="1548">
        <f t="shared" si="4"/>
        <v>14.125</v>
      </c>
      <c r="J13" s="1549" t="s">
        <v>339</v>
      </c>
      <c r="K13" s="1544" t="s">
        <v>365</v>
      </c>
      <c r="L13" s="1550">
        <f t="shared" si="0"/>
        <v>0.75</v>
      </c>
      <c r="M13" s="1551">
        <f t="shared" si="5"/>
        <v>65</v>
      </c>
      <c r="N13" s="1552">
        <v>14</v>
      </c>
      <c r="O13" s="1543">
        <v>21</v>
      </c>
      <c r="P13" s="1547">
        <f t="shared" ref="P13:P34" si="19">(INT(X13/4)-1)*Z13+Y13</f>
        <v>9</v>
      </c>
      <c r="Q13" s="1547">
        <f t="shared" si="6"/>
        <v>1.5</v>
      </c>
      <c r="R13" s="1553">
        <f t="shared" si="2"/>
        <v>1.5</v>
      </c>
      <c r="S13" s="1554"/>
      <c r="T13" s="1550"/>
      <c r="U13" s="1555"/>
      <c r="V13" s="1547"/>
      <c r="W13" s="1556"/>
      <c r="X13" s="1558">
        <v>12</v>
      </c>
      <c r="Y13" s="1559">
        <v>3</v>
      </c>
      <c r="Z13" s="1560">
        <v>3</v>
      </c>
      <c r="AA13" s="1561" t="s">
        <v>47</v>
      </c>
      <c r="AB13" s="1562">
        <v>1</v>
      </c>
      <c r="AC13" s="1563">
        <f t="shared" si="7"/>
        <v>1.125</v>
      </c>
      <c r="AD13" s="1564">
        <f t="shared" si="8"/>
        <v>3</v>
      </c>
      <c r="AE13" s="1565" t="s">
        <v>412</v>
      </c>
      <c r="AF13" s="1566" t="s">
        <v>413</v>
      </c>
      <c r="AG13" s="1567" t="s">
        <v>413</v>
      </c>
      <c r="AH13" s="1568">
        <f t="shared" si="9"/>
        <v>5.75</v>
      </c>
      <c r="AI13" s="1569"/>
      <c r="AJ13" s="1570">
        <f t="shared" si="10"/>
        <v>5</v>
      </c>
      <c r="AK13" s="1571"/>
      <c r="AL13" s="1572" t="str">
        <f t="shared" si="11"/>
        <v>PL 3/4 x 21 x 24 7/8</v>
      </c>
      <c r="AM13" s="1557">
        <f t="shared" si="12"/>
        <v>111.10916250000001</v>
      </c>
      <c r="AN13" s="1573">
        <f t="shared" si="13"/>
        <v>117.77571225000001</v>
      </c>
      <c r="AP13" s="925">
        <f t="shared" si="14"/>
        <v>24.875</v>
      </c>
      <c r="AQ13">
        <f t="shared" si="3"/>
        <v>111.10916250000001</v>
      </c>
      <c r="AR13">
        <f t="shared" si="15"/>
        <v>0.6875</v>
      </c>
      <c r="AS13">
        <f t="shared" si="16"/>
        <v>3</v>
      </c>
      <c r="AT13">
        <f t="shared" si="17"/>
        <v>7.983840344408355E-2</v>
      </c>
    </row>
    <row r="14" spans="2:46" ht="14.25" customHeight="1" x14ac:dyDescent="0.25">
      <c r="B14" s="1528">
        <v>10</v>
      </c>
      <c r="C14" s="1529">
        <v>11.75</v>
      </c>
      <c r="D14" s="1530">
        <v>0.3125</v>
      </c>
      <c r="E14" s="1528" t="s">
        <v>312</v>
      </c>
      <c r="F14" s="1531">
        <v>0.75</v>
      </c>
      <c r="G14" s="1529">
        <v>65</v>
      </c>
      <c r="H14" s="1532">
        <f t="shared" si="18"/>
        <v>2.25</v>
      </c>
      <c r="I14" s="1533">
        <f t="shared" si="4"/>
        <v>14.125</v>
      </c>
      <c r="J14" s="1534" t="s">
        <v>340</v>
      </c>
      <c r="K14" s="1529" t="s">
        <v>366</v>
      </c>
      <c r="L14" s="1535">
        <f t="shared" ref="L14" si="20">F14</f>
        <v>0.75</v>
      </c>
      <c r="M14" s="1536">
        <f t="shared" si="5"/>
        <v>65</v>
      </c>
      <c r="N14" s="1537">
        <v>14</v>
      </c>
      <c r="O14" s="1528">
        <v>24</v>
      </c>
      <c r="P14" s="1532">
        <f t="shared" si="19"/>
        <v>10.5</v>
      </c>
      <c r="Q14" s="1532">
        <f t="shared" si="6"/>
        <v>1.5</v>
      </c>
      <c r="R14" s="1538">
        <f t="shared" si="2"/>
        <v>1.5</v>
      </c>
      <c r="S14" s="1539"/>
      <c r="T14" s="1535"/>
      <c r="U14" s="1540"/>
      <c r="V14" s="1532"/>
      <c r="W14" s="1541"/>
      <c r="X14" s="1640">
        <v>12</v>
      </c>
      <c r="Y14" s="1641">
        <v>4.5</v>
      </c>
      <c r="Z14" s="1642">
        <v>3</v>
      </c>
      <c r="AA14" s="1643" t="s">
        <v>47</v>
      </c>
      <c r="AB14" s="1644">
        <v>1</v>
      </c>
      <c r="AC14" s="1645">
        <f t="shared" si="7"/>
        <v>1.125</v>
      </c>
      <c r="AD14" s="1646">
        <f t="shared" si="8"/>
        <v>3</v>
      </c>
      <c r="AE14" s="1647" t="s">
        <v>412</v>
      </c>
      <c r="AF14" s="1648" t="s">
        <v>413</v>
      </c>
      <c r="AG14" s="1649" t="s">
        <v>413</v>
      </c>
      <c r="AH14" s="1650">
        <f t="shared" si="9"/>
        <v>5.75</v>
      </c>
      <c r="AI14" s="1651"/>
      <c r="AJ14" s="1652">
        <f t="shared" si="10"/>
        <v>5</v>
      </c>
      <c r="AK14" s="1653"/>
      <c r="AL14" s="1654" t="str">
        <f t="shared" si="11"/>
        <v>PL 3/4 x 24 x 24 7/8</v>
      </c>
      <c r="AM14" s="1542">
        <f t="shared" si="12"/>
        <v>126.98190000000001</v>
      </c>
      <c r="AN14" s="1655">
        <f t="shared" si="13"/>
        <v>134.60081400000001</v>
      </c>
      <c r="AP14" s="925">
        <f t="shared" si="14"/>
        <v>24.875</v>
      </c>
      <c r="AQ14">
        <f t="shared" si="3"/>
        <v>126.98190000000001</v>
      </c>
      <c r="AR14">
        <f t="shared" si="15"/>
        <v>0.75</v>
      </c>
      <c r="AS14">
        <f t="shared" si="16"/>
        <v>3</v>
      </c>
      <c r="AT14">
        <f t="shared" si="17"/>
        <v>9.5262490344437456E-2</v>
      </c>
    </row>
    <row r="15" spans="2:46" ht="14.25" customHeight="1" x14ac:dyDescent="0.25">
      <c r="B15" s="1543">
        <v>11.75</v>
      </c>
      <c r="C15" s="1544">
        <v>13.25</v>
      </c>
      <c r="D15" s="1545">
        <v>0.25</v>
      </c>
      <c r="E15" s="1543" t="s">
        <v>633</v>
      </c>
      <c r="F15" s="1546">
        <v>0.75</v>
      </c>
      <c r="G15" s="1544">
        <v>65</v>
      </c>
      <c r="H15" s="1547">
        <f t="shared" si="18"/>
        <v>2.25</v>
      </c>
      <c r="I15" s="1548">
        <f t="shared" si="4"/>
        <v>16.125</v>
      </c>
      <c r="J15" s="1549" t="s">
        <v>634</v>
      </c>
      <c r="K15" s="1544" t="s">
        <v>635</v>
      </c>
      <c r="L15" s="1550">
        <f t="shared" si="0"/>
        <v>0.75</v>
      </c>
      <c r="M15" s="1551">
        <f t="shared" si="5"/>
        <v>65</v>
      </c>
      <c r="N15" s="1552">
        <v>16</v>
      </c>
      <c r="O15" s="1543">
        <v>24</v>
      </c>
      <c r="P15" s="1547">
        <f t="shared" si="19"/>
        <v>10.5</v>
      </c>
      <c r="Q15" s="1547">
        <f t="shared" si="6"/>
        <v>1.5</v>
      </c>
      <c r="R15" s="1553">
        <f t="shared" si="2"/>
        <v>1.5</v>
      </c>
      <c r="S15" s="1554">
        <v>2</v>
      </c>
      <c r="T15" s="1550">
        <f>F15</f>
        <v>0.75</v>
      </c>
      <c r="U15" s="1555">
        <v>2.5</v>
      </c>
      <c r="V15" s="1547">
        <v>65</v>
      </c>
      <c r="W15" s="1556">
        <f>FLOOR(C15+T15,0.25)</f>
        <v>14</v>
      </c>
      <c r="X15" s="1574">
        <v>12</v>
      </c>
      <c r="Y15" s="1575">
        <v>4.5</v>
      </c>
      <c r="Z15" s="1576">
        <v>3</v>
      </c>
      <c r="AA15" s="1577" t="s">
        <v>47</v>
      </c>
      <c r="AB15" s="1578">
        <v>1</v>
      </c>
      <c r="AC15" s="1579">
        <f t="shared" si="7"/>
        <v>1.125</v>
      </c>
      <c r="AD15" s="1580">
        <f t="shared" si="8"/>
        <v>3</v>
      </c>
      <c r="AE15" s="1581" t="s">
        <v>412</v>
      </c>
      <c r="AF15" s="1582" t="s">
        <v>413</v>
      </c>
      <c r="AG15" s="1583" t="s">
        <v>413</v>
      </c>
      <c r="AH15" s="1584">
        <f t="shared" si="9"/>
        <v>6</v>
      </c>
      <c r="AI15" s="1585"/>
      <c r="AJ15" s="1586">
        <f t="shared" si="10"/>
        <v>5.25</v>
      </c>
      <c r="AK15" s="1587"/>
      <c r="AL15" s="1588" t="str">
        <f t="shared" si="11"/>
        <v>PL 3/4 x 24 x 27 3/8</v>
      </c>
      <c r="AM15" s="1557">
        <f t="shared" si="12"/>
        <v>139.7439</v>
      </c>
      <c r="AN15" s="1589">
        <f t="shared" si="13"/>
        <v>148.128534</v>
      </c>
      <c r="AP15" s="925">
        <f t="shared" si="14"/>
        <v>27.375</v>
      </c>
      <c r="AQ15">
        <f t="shared" si="3"/>
        <v>139.7439</v>
      </c>
      <c r="AR15">
        <f t="shared" si="15"/>
        <v>0.5625</v>
      </c>
      <c r="AS15">
        <f t="shared" si="16"/>
        <v>3</v>
      </c>
      <c r="AT15">
        <f t="shared" si="17"/>
        <v>5.3206191468428976E-2</v>
      </c>
    </row>
    <row r="16" spans="2:46" ht="14.25" customHeight="1" x14ac:dyDescent="0.25">
      <c r="B16" s="1252">
        <v>12</v>
      </c>
      <c r="C16" s="1239">
        <v>13.5</v>
      </c>
      <c r="D16" s="1419">
        <v>0.375</v>
      </c>
      <c r="E16" s="1252" t="s">
        <v>313</v>
      </c>
      <c r="F16" s="1241">
        <v>0.75</v>
      </c>
      <c r="G16" s="1239">
        <v>65</v>
      </c>
      <c r="H16" s="1242">
        <f t="shared" si="18"/>
        <v>2.25</v>
      </c>
      <c r="I16" s="1273">
        <f t="shared" si="4"/>
        <v>16.125</v>
      </c>
      <c r="J16" s="1271" t="s">
        <v>341</v>
      </c>
      <c r="K16" s="1239" t="s">
        <v>367</v>
      </c>
      <c r="L16" s="1243">
        <f t="shared" si="0"/>
        <v>0.75</v>
      </c>
      <c r="M16" s="1244">
        <f t="shared" si="5"/>
        <v>65</v>
      </c>
      <c r="N16" s="1283">
        <v>16</v>
      </c>
      <c r="O16" s="1252">
        <v>24.5</v>
      </c>
      <c r="P16" s="1242">
        <f t="shared" si="19"/>
        <v>10.5</v>
      </c>
      <c r="Q16" s="1242">
        <f t="shared" si="6"/>
        <v>1.75</v>
      </c>
      <c r="R16" s="1287">
        <f t="shared" si="2"/>
        <v>1.75</v>
      </c>
      <c r="S16" s="1285">
        <v>2</v>
      </c>
      <c r="T16" s="1243">
        <f t="shared" ref="T16:T34" si="21">F16</f>
        <v>0.75</v>
      </c>
      <c r="U16" s="1240">
        <v>2.5</v>
      </c>
      <c r="V16" s="1242">
        <f t="shared" ref="V16:V34" si="22">G16</f>
        <v>65</v>
      </c>
      <c r="W16" s="1289">
        <f t="shared" ref="W16:W33" si="23">C16+T16</f>
        <v>14.25</v>
      </c>
      <c r="X16" s="1296">
        <v>12</v>
      </c>
      <c r="Y16" s="1381">
        <v>3.5</v>
      </c>
      <c r="Z16" s="1382">
        <v>3.5</v>
      </c>
      <c r="AA16" s="1211" t="s">
        <v>47</v>
      </c>
      <c r="AB16" s="1212">
        <v>1.25</v>
      </c>
      <c r="AC16" s="462">
        <f t="shared" si="7"/>
        <v>1.375</v>
      </c>
      <c r="AD16" s="1494">
        <f t="shared" si="8"/>
        <v>3.25</v>
      </c>
      <c r="AE16" s="464" t="s">
        <v>412</v>
      </c>
      <c r="AF16" s="465" t="s">
        <v>413</v>
      </c>
      <c r="AG16" s="1297" t="s">
        <v>413</v>
      </c>
      <c r="AH16" s="1475">
        <f t="shared" si="9"/>
        <v>6.5</v>
      </c>
      <c r="AI16" s="467"/>
      <c r="AJ16" s="1456">
        <f t="shared" si="10"/>
        <v>5.5</v>
      </c>
      <c r="AK16" s="469"/>
      <c r="AL16" s="1428" t="str">
        <f t="shared" si="11"/>
        <v>PL 3/4 x 24 1/2 x 28 3/8</v>
      </c>
      <c r="AM16" s="1513">
        <f t="shared" si="12"/>
        <v>147.86638125000002</v>
      </c>
      <c r="AN16" s="1445">
        <f t="shared" si="13"/>
        <v>156.73836412500003</v>
      </c>
      <c r="AP16" s="925">
        <f t="shared" si="14"/>
        <v>28.375</v>
      </c>
      <c r="AQ16">
        <f t="shared" si="3"/>
        <v>147.86638125000002</v>
      </c>
      <c r="AR16">
        <f t="shared" si="15"/>
        <v>0.5625</v>
      </c>
      <c r="AS16">
        <f t="shared" si="16"/>
        <v>3</v>
      </c>
      <c r="AT16">
        <f t="shared" si="17"/>
        <v>5.3206191468428976E-2</v>
      </c>
    </row>
    <row r="17" spans="1:46" ht="14.25" customHeight="1" x14ac:dyDescent="0.25">
      <c r="B17" s="1251">
        <v>13.5</v>
      </c>
      <c r="C17" s="1233">
        <v>15.5</v>
      </c>
      <c r="D17" s="1418">
        <v>0.25</v>
      </c>
      <c r="E17" s="1251" t="s">
        <v>314</v>
      </c>
      <c r="F17" s="1235">
        <v>0.75</v>
      </c>
      <c r="G17" s="1233">
        <v>65</v>
      </c>
      <c r="H17" s="1236">
        <f t="shared" si="18"/>
        <v>2.25</v>
      </c>
      <c r="I17" s="1272">
        <f t="shared" si="4"/>
        <v>18.125</v>
      </c>
      <c r="J17" s="1270" t="s">
        <v>342</v>
      </c>
      <c r="K17" s="1233" t="s">
        <v>368</v>
      </c>
      <c r="L17" s="1237">
        <f t="shared" si="0"/>
        <v>0.75</v>
      </c>
      <c r="M17" s="1238">
        <f t="shared" si="5"/>
        <v>65</v>
      </c>
      <c r="N17" s="1282">
        <v>18</v>
      </c>
      <c r="O17" s="1251">
        <v>24</v>
      </c>
      <c r="P17" s="1236">
        <f t="shared" si="19"/>
        <v>10</v>
      </c>
      <c r="Q17" s="1236">
        <f t="shared" si="6"/>
        <v>2</v>
      </c>
      <c r="R17" s="1286">
        <f t="shared" si="2"/>
        <v>2</v>
      </c>
      <c r="S17" s="1284">
        <v>2</v>
      </c>
      <c r="T17" s="1237">
        <f t="shared" si="21"/>
        <v>0.75</v>
      </c>
      <c r="U17" s="1234">
        <v>2.5</v>
      </c>
      <c r="V17" s="1236">
        <f t="shared" si="22"/>
        <v>65</v>
      </c>
      <c r="W17" s="1288">
        <f t="shared" si="23"/>
        <v>16.25</v>
      </c>
      <c r="X17" s="1298">
        <v>8</v>
      </c>
      <c r="Y17" s="1383">
        <v>6</v>
      </c>
      <c r="Z17" s="1384">
        <v>4</v>
      </c>
      <c r="AA17" s="1213" t="s">
        <v>47</v>
      </c>
      <c r="AB17" s="1214">
        <v>1.5</v>
      </c>
      <c r="AC17" s="489">
        <f t="shared" si="7"/>
        <v>1.625</v>
      </c>
      <c r="AD17" s="1495">
        <f t="shared" si="8"/>
        <v>3.5</v>
      </c>
      <c r="AE17" s="491" t="s">
        <v>412</v>
      </c>
      <c r="AF17" s="492" t="s">
        <v>413</v>
      </c>
      <c r="AG17" s="1299" t="s">
        <v>413</v>
      </c>
      <c r="AH17" s="1476">
        <f t="shared" si="9"/>
        <v>7</v>
      </c>
      <c r="AI17" s="494"/>
      <c r="AJ17" s="1457">
        <f t="shared" si="10"/>
        <v>5.75</v>
      </c>
      <c r="AK17" s="496"/>
      <c r="AL17" s="1429" t="str">
        <f t="shared" si="11"/>
        <v>PL 3/4 x 24 x 31 3/8</v>
      </c>
      <c r="AM17" s="1514">
        <f t="shared" si="12"/>
        <v>160.16310000000001</v>
      </c>
      <c r="AN17" s="1446">
        <f t="shared" si="13"/>
        <v>169.77288600000003</v>
      </c>
      <c r="AP17" s="925">
        <f t="shared" si="14"/>
        <v>31.375</v>
      </c>
      <c r="AQ17">
        <f t="shared" si="3"/>
        <v>160.16310000000001</v>
      </c>
      <c r="AR17">
        <f t="shared" si="15"/>
        <v>0.6875</v>
      </c>
      <c r="AS17">
        <f t="shared" si="16"/>
        <v>3</v>
      </c>
      <c r="AT17">
        <f t="shared" si="17"/>
        <v>7.983840344408355E-2</v>
      </c>
    </row>
    <row r="18" spans="1:46" ht="14.25" customHeight="1" x14ac:dyDescent="0.25">
      <c r="B18" s="1252">
        <v>13.75</v>
      </c>
      <c r="C18" s="1239">
        <v>14.5</v>
      </c>
      <c r="D18" s="1419">
        <v>0.375</v>
      </c>
      <c r="E18" s="1252" t="s">
        <v>315</v>
      </c>
      <c r="F18" s="1241">
        <v>1</v>
      </c>
      <c r="G18" s="1239">
        <v>65</v>
      </c>
      <c r="H18" s="1242">
        <f t="shared" si="18"/>
        <v>3</v>
      </c>
      <c r="I18" s="1273">
        <f t="shared" si="4"/>
        <v>18.125</v>
      </c>
      <c r="J18" s="1271" t="s">
        <v>343</v>
      </c>
      <c r="K18" s="1239" t="s">
        <v>369</v>
      </c>
      <c r="L18" s="1243">
        <f t="shared" si="0"/>
        <v>1</v>
      </c>
      <c r="M18" s="1244">
        <f t="shared" si="5"/>
        <v>65</v>
      </c>
      <c r="N18" s="1283">
        <v>18</v>
      </c>
      <c r="O18" s="1252">
        <v>24</v>
      </c>
      <c r="P18" s="1242">
        <f t="shared" si="19"/>
        <v>10</v>
      </c>
      <c r="Q18" s="1242">
        <f t="shared" si="6"/>
        <v>2</v>
      </c>
      <c r="R18" s="1287">
        <f t="shared" si="2"/>
        <v>2</v>
      </c>
      <c r="S18" s="1285">
        <v>2</v>
      </c>
      <c r="T18" s="1243">
        <f t="shared" si="21"/>
        <v>1</v>
      </c>
      <c r="U18" s="1240">
        <v>3</v>
      </c>
      <c r="V18" s="1242">
        <f t="shared" si="22"/>
        <v>65</v>
      </c>
      <c r="W18" s="1289">
        <f t="shared" si="23"/>
        <v>15.5</v>
      </c>
      <c r="X18" s="1300">
        <v>8</v>
      </c>
      <c r="Y18" s="1385">
        <v>6</v>
      </c>
      <c r="Z18" s="1386">
        <v>4</v>
      </c>
      <c r="AA18" s="1215" t="s">
        <v>47</v>
      </c>
      <c r="AB18" s="1216">
        <v>1.5</v>
      </c>
      <c r="AC18" s="516">
        <f t="shared" si="7"/>
        <v>1.625</v>
      </c>
      <c r="AD18" s="1496">
        <f t="shared" si="8"/>
        <v>4</v>
      </c>
      <c r="AE18" s="518" t="s">
        <v>412</v>
      </c>
      <c r="AF18" s="519" t="s">
        <v>413</v>
      </c>
      <c r="AG18" s="1301" t="s">
        <v>413</v>
      </c>
      <c r="AH18" s="1477">
        <f t="shared" si="9"/>
        <v>7.5</v>
      </c>
      <c r="AI18" s="521"/>
      <c r="AJ18" s="1458">
        <f t="shared" si="10"/>
        <v>6.5</v>
      </c>
      <c r="AK18" s="523"/>
      <c r="AL18" s="1430" t="str">
        <f t="shared" si="11"/>
        <v>PL 1 x 24 x 32</v>
      </c>
      <c r="AM18" s="1513">
        <f t="shared" si="12"/>
        <v>217.8048</v>
      </c>
      <c r="AN18" s="1447">
        <f t="shared" si="13"/>
        <v>230.87308800000002</v>
      </c>
      <c r="AP18" s="925">
        <f t="shared" si="14"/>
        <v>32</v>
      </c>
      <c r="AQ18">
        <f t="shared" si="3"/>
        <v>217.8048</v>
      </c>
      <c r="AR18">
        <f t="shared" si="15"/>
        <v>0.8125</v>
      </c>
      <c r="AS18">
        <f t="shared" si="16"/>
        <v>4</v>
      </c>
      <c r="AT18">
        <f t="shared" si="17"/>
        <v>8.3388741526675414E-2</v>
      </c>
    </row>
    <row r="19" spans="1:46" ht="14.25" customHeight="1" x14ac:dyDescent="0.25">
      <c r="B19" s="1251">
        <v>15.75</v>
      </c>
      <c r="C19" s="1233">
        <v>16.25</v>
      </c>
      <c r="D19" s="1418">
        <v>0.25</v>
      </c>
      <c r="E19" s="1251" t="s">
        <v>316</v>
      </c>
      <c r="F19" s="1235">
        <v>1</v>
      </c>
      <c r="G19" s="1233">
        <v>65</v>
      </c>
      <c r="H19" s="1236">
        <f t="shared" si="18"/>
        <v>3</v>
      </c>
      <c r="I19" s="1272">
        <f t="shared" si="4"/>
        <v>20.125</v>
      </c>
      <c r="J19" s="1270" t="s">
        <v>344</v>
      </c>
      <c r="K19" s="1233" t="s">
        <v>370</v>
      </c>
      <c r="L19" s="1237">
        <f t="shared" si="0"/>
        <v>1</v>
      </c>
      <c r="M19" s="1238">
        <f t="shared" si="5"/>
        <v>65</v>
      </c>
      <c r="N19" s="1282">
        <v>20</v>
      </c>
      <c r="O19" s="1251">
        <v>24</v>
      </c>
      <c r="P19" s="1236">
        <f t="shared" si="19"/>
        <v>10</v>
      </c>
      <c r="Q19" s="1236">
        <f t="shared" si="6"/>
        <v>2</v>
      </c>
      <c r="R19" s="1286">
        <f t="shared" si="2"/>
        <v>2</v>
      </c>
      <c r="S19" s="1284">
        <v>2</v>
      </c>
      <c r="T19" s="1237">
        <f t="shared" si="21"/>
        <v>1</v>
      </c>
      <c r="U19" s="1234">
        <v>3</v>
      </c>
      <c r="V19" s="1236">
        <f t="shared" si="22"/>
        <v>65</v>
      </c>
      <c r="W19" s="1288">
        <f t="shared" si="23"/>
        <v>17.25</v>
      </c>
      <c r="X19" s="1302">
        <v>8</v>
      </c>
      <c r="Y19" s="1387">
        <v>6</v>
      </c>
      <c r="Z19" s="1388">
        <v>4</v>
      </c>
      <c r="AA19" s="541" t="s">
        <v>47</v>
      </c>
      <c r="AB19" s="1207">
        <v>1.5</v>
      </c>
      <c r="AC19" s="543">
        <f t="shared" si="7"/>
        <v>1.625</v>
      </c>
      <c r="AD19" s="1497">
        <f t="shared" si="8"/>
        <v>4</v>
      </c>
      <c r="AE19" s="545" t="s">
        <v>412</v>
      </c>
      <c r="AF19" s="546" t="s">
        <v>413</v>
      </c>
      <c r="AG19" s="1303" t="s">
        <v>413</v>
      </c>
      <c r="AH19" s="1478">
        <f t="shared" si="9"/>
        <v>7.5</v>
      </c>
      <c r="AI19" s="548"/>
      <c r="AJ19" s="1459">
        <f t="shared" si="10"/>
        <v>6.5</v>
      </c>
      <c r="AK19" s="550"/>
      <c r="AL19" s="1431" t="str">
        <f t="shared" si="11"/>
        <v>PL 1 x 24 x 34</v>
      </c>
      <c r="AM19" s="1514">
        <f t="shared" si="12"/>
        <v>231.41760000000002</v>
      </c>
      <c r="AN19" s="1517">
        <f t="shared" si="13"/>
        <v>245.30265600000004</v>
      </c>
      <c r="AP19" s="925">
        <f t="shared" si="14"/>
        <v>34</v>
      </c>
      <c r="AQ19">
        <f t="shared" si="3"/>
        <v>231.41760000000002</v>
      </c>
      <c r="AR19">
        <f t="shared" si="15"/>
        <v>0.8125</v>
      </c>
      <c r="AS19">
        <f t="shared" si="16"/>
        <v>4</v>
      </c>
      <c r="AT19">
        <f t="shared" si="17"/>
        <v>8.3388741526675414E-2</v>
      </c>
    </row>
    <row r="20" spans="1:46" ht="14.25" customHeight="1" x14ac:dyDescent="0.25">
      <c r="B20" s="1252">
        <v>14.75</v>
      </c>
      <c r="C20" s="1239">
        <v>16.5</v>
      </c>
      <c r="D20" s="1419">
        <v>0.375</v>
      </c>
      <c r="E20" s="1252" t="s">
        <v>317</v>
      </c>
      <c r="F20" s="1241">
        <v>1</v>
      </c>
      <c r="G20" s="1239">
        <v>65</v>
      </c>
      <c r="H20" s="1242">
        <f t="shared" si="18"/>
        <v>3</v>
      </c>
      <c r="I20" s="1273">
        <f t="shared" si="4"/>
        <v>20.125</v>
      </c>
      <c r="J20" s="1271" t="s">
        <v>345</v>
      </c>
      <c r="K20" s="1239" t="s">
        <v>371</v>
      </c>
      <c r="L20" s="1243">
        <f t="shared" si="0"/>
        <v>1</v>
      </c>
      <c r="M20" s="1244">
        <f t="shared" si="5"/>
        <v>65</v>
      </c>
      <c r="N20" s="1283">
        <v>20</v>
      </c>
      <c r="O20" s="1252">
        <v>28</v>
      </c>
      <c r="P20" s="1242">
        <f t="shared" si="19"/>
        <v>12</v>
      </c>
      <c r="Q20" s="1242">
        <f t="shared" si="6"/>
        <v>2</v>
      </c>
      <c r="R20" s="1287">
        <f t="shared" si="2"/>
        <v>2</v>
      </c>
      <c r="S20" s="1285">
        <v>2</v>
      </c>
      <c r="T20" s="1243">
        <f t="shared" si="21"/>
        <v>1</v>
      </c>
      <c r="U20" s="1240">
        <v>3</v>
      </c>
      <c r="V20" s="1242">
        <f t="shared" si="22"/>
        <v>65</v>
      </c>
      <c r="W20" s="1289">
        <f t="shared" si="23"/>
        <v>17.5</v>
      </c>
      <c r="X20" s="1304">
        <v>12</v>
      </c>
      <c r="Y20" s="1389">
        <v>4</v>
      </c>
      <c r="Z20" s="1390">
        <v>4</v>
      </c>
      <c r="AA20" s="1217" t="s">
        <v>47</v>
      </c>
      <c r="AB20" s="1218">
        <v>1.5</v>
      </c>
      <c r="AC20" s="571">
        <f t="shared" si="7"/>
        <v>1.625</v>
      </c>
      <c r="AD20" s="1498">
        <f t="shared" si="8"/>
        <v>4</v>
      </c>
      <c r="AE20" s="573" t="s">
        <v>412</v>
      </c>
      <c r="AF20" s="574" t="s">
        <v>413</v>
      </c>
      <c r="AG20" s="1305" t="s">
        <v>413</v>
      </c>
      <c r="AH20" s="1479">
        <f t="shared" si="9"/>
        <v>7.5</v>
      </c>
      <c r="AI20" s="576"/>
      <c r="AJ20" s="1460">
        <f t="shared" si="10"/>
        <v>6.5</v>
      </c>
      <c r="AK20" s="578"/>
      <c r="AL20" s="1432" t="str">
        <f t="shared" si="11"/>
        <v>PL 1 x 28 x 34</v>
      </c>
      <c r="AM20" s="1513">
        <f t="shared" si="12"/>
        <v>269.98720000000003</v>
      </c>
      <c r="AN20" s="1518">
        <f t="shared" si="13"/>
        <v>286.18643200000002</v>
      </c>
      <c r="AP20" s="925">
        <f t="shared" si="14"/>
        <v>34</v>
      </c>
      <c r="AQ20">
        <f t="shared" si="3"/>
        <v>269.98720000000003</v>
      </c>
      <c r="AR20">
        <f t="shared" si="15"/>
        <v>0.8125</v>
      </c>
      <c r="AS20">
        <f t="shared" si="16"/>
        <v>4</v>
      </c>
      <c r="AT20">
        <f t="shared" si="17"/>
        <v>8.3388741526675414E-2</v>
      </c>
    </row>
    <row r="21" spans="1:46" ht="14.25" customHeight="1" x14ac:dyDescent="0.25">
      <c r="B21" s="1251">
        <v>16.5</v>
      </c>
      <c r="C21" s="1233">
        <v>18.25</v>
      </c>
      <c r="D21" s="1418">
        <v>0.25</v>
      </c>
      <c r="E21" s="1251" t="s">
        <v>318</v>
      </c>
      <c r="F21" s="1235">
        <v>1</v>
      </c>
      <c r="G21" s="1233">
        <v>65</v>
      </c>
      <c r="H21" s="1236">
        <f t="shared" si="18"/>
        <v>3</v>
      </c>
      <c r="I21" s="1272">
        <f t="shared" si="4"/>
        <v>22.125</v>
      </c>
      <c r="J21" s="1270" t="s">
        <v>346</v>
      </c>
      <c r="K21" s="1233" t="s">
        <v>372</v>
      </c>
      <c r="L21" s="1237">
        <f t="shared" si="0"/>
        <v>1</v>
      </c>
      <c r="M21" s="1238">
        <f t="shared" si="5"/>
        <v>65</v>
      </c>
      <c r="N21" s="1282">
        <v>22</v>
      </c>
      <c r="O21" s="1251">
        <v>24</v>
      </c>
      <c r="P21" s="1236">
        <f t="shared" si="19"/>
        <v>10</v>
      </c>
      <c r="Q21" s="1236">
        <f t="shared" si="6"/>
        <v>2</v>
      </c>
      <c r="R21" s="1286">
        <f t="shared" si="2"/>
        <v>2</v>
      </c>
      <c r="S21" s="1284">
        <v>2</v>
      </c>
      <c r="T21" s="1237">
        <f t="shared" si="21"/>
        <v>1</v>
      </c>
      <c r="U21" s="1234">
        <v>3</v>
      </c>
      <c r="V21" s="1236">
        <f t="shared" si="22"/>
        <v>65</v>
      </c>
      <c r="W21" s="1288">
        <f t="shared" si="23"/>
        <v>19.25</v>
      </c>
      <c r="X21" s="1295">
        <v>12</v>
      </c>
      <c r="Y21" s="1391">
        <v>2</v>
      </c>
      <c r="Z21" s="1392">
        <v>4</v>
      </c>
      <c r="AA21" s="1219" t="s">
        <v>47</v>
      </c>
      <c r="AB21" s="1210">
        <v>1.5</v>
      </c>
      <c r="AC21" s="597">
        <f t="shared" si="7"/>
        <v>1.625</v>
      </c>
      <c r="AD21" s="1499">
        <f t="shared" si="8"/>
        <v>4</v>
      </c>
      <c r="AE21" s="599" t="s">
        <v>412</v>
      </c>
      <c r="AF21" s="600" t="s">
        <v>413</v>
      </c>
      <c r="AG21" s="1306" t="s">
        <v>413</v>
      </c>
      <c r="AH21" s="1480">
        <f t="shared" si="9"/>
        <v>7.5</v>
      </c>
      <c r="AI21" s="602"/>
      <c r="AJ21" s="1461">
        <f t="shared" si="10"/>
        <v>6.5</v>
      </c>
      <c r="AK21" s="305"/>
      <c r="AL21" s="1433" t="str">
        <f t="shared" si="11"/>
        <v>PL 1 x 24 x 36</v>
      </c>
      <c r="AM21" s="1514">
        <f t="shared" si="12"/>
        <v>245.03040000000001</v>
      </c>
      <c r="AN21" s="1519">
        <f t="shared" si="13"/>
        <v>259.73222400000003</v>
      </c>
      <c r="AP21" s="925">
        <f t="shared" si="14"/>
        <v>36</v>
      </c>
      <c r="AQ21">
        <f t="shared" si="3"/>
        <v>245.03040000000001</v>
      </c>
      <c r="AR21">
        <f t="shared" si="15"/>
        <v>0.8125</v>
      </c>
      <c r="AS21">
        <f t="shared" si="16"/>
        <v>4</v>
      </c>
      <c r="AT21">
        <f t="shared" si="17"/>
        <v>8.3388741526675414E-2</v>
      </c>
    </row>
    <row r="22" spans="1:46" ht="14.25" customHeight="1" x14ac:dyDescent="0.25">
      <c r="B22" s="1252">
        <v>16.75</v>
      </c>
      <c r="C22" s="1239">
        <v>18.5</v>
      </c>
      <c r="D22" s="1419">
        <v>0.375</v>
      </c>
      <c r="E22" s="1252" t="s">
        <v>319</v>
      </c>
      <c r="F22" s="1241">
        <v>1</v>
      </c>
      <c r="G22" s="1239">
        <v>65</v>
      </c>
      <c r="H22" s="1242">
        <f t="shared" si="18"/>
        <v>3</v>
      </c>
      <c r="I22" s="1273">
        <f t="shared" si="4"/>
        <v>22.125</v>
      </c>
      <c r="J22" s="1271" t="s">
        <v>347</v>
      </c>
      <c r="K22" s="1239" t="s">
        <v>373</v>
      </c>
      <c r="L22" s="1243">
        <f t="shared" si="0"/>
        <v>1</v>
      </c>
      <c r="M22" s="1244">
        <f t="shared" si="5"/>
        <v>65</v>
      </c>
      <c r="N22" s="1283">
        <v>22</v>
      </c>
      <c r="O22" s="1252">
        <v>32</v>
      </c>
      <c r="P22" s="1242">
        <f t="shared" si="19"/>
        <v>14</v>
      </c>
      <c r="Q22" s="1242">
        <f t="shared" si="6"/>
        <v>2</v>
      </c>
      <c r="R22" s="1287">
        <f t="shared" si="2"/>
        <v>2</v>
      </c>
      <c r="S22" s="1285">
        <v>2</v>
      </c>
      <c r="T22" s="1243">
        <f t="shared" si="21"/>
        <v>1</v>
      </c>
      <c r="U22" s="1240">
        <v>3</v>
      </c>
      <c r="V22" s="1242">
        <f t="shared" si="22"/>
        <v>65</v>
      </c>
      <c r="W22" s="1289">
        <f t="shared" si="23"/>
        <v>19.5</v>
      </c>
      <c r="X22" s="1307">
        <v>12</v>
      </c>
      <c r="Y22" s="1393">
        <v>6</v>
      </c>
      <c r="Z22" s="1394">
        <v>4</v>
      </c>
      <c r="AA22" s="1220" t="s">
        <v>47</v>
      </c>
      <c r="AB22" s="1221">
        <v>1.5</v>
      </c>
      <c r="AC22" s="621">
        <f t="shared" si="7"/>
        <v>1.625</v>
      </c>
      <c r="AD22" s="1500">
        <f t="shared" si="8"/>
        <v>4</v>
      </c>
      <c r="AE22" s="623" t="s">
        <v>412</v>
      </c>
      <c r="AF22" s="624" t="s">
        <v>413</v>
      </c>
      <c r="AG22" s="1308" t="s">
        <v>413</v>
      </c>
      <c r="AH22" s="1481">
        <f t="shared" si="9"/>
        <v>7.5</v>
      </c>
      <c r="AI22" s="626"/>
      <c r="AJ22" s="1462">
        <f t="shared" si="10"/>
        <v>6.5</v>
      </c>
      <c r="AK22" s="628"/>
      <c r="AL22" s="1434" t="str">
        <f t="shared" si="11"/>
        <v>PL 1 x 32 x 36</v>
      </c>
      <c r="AM22" s="1513">
        <f t="shared" si="12"/>
        <v>326.7072</v>
      </c>
      <c r="AN22" s="1520">
        <f t="shared" si="13"/>
        <v>346.30963200000002</v>
      </c>
      <c r="AP22" s="925">
        <f t="shared" si="14"/>
        <v>36</v>
      </c>
      <c r="AQ22">
        <f t="shared" si="3"/>
        <v>326.7072</v>
      </c>
      <c r="AR22">
        <f t="shared" si="15"/>
        <v>0.8125</v>
      </c>
      <c r="AS22">
        <f t="shared" si="16"/>
        <v>4</v>
      </c>
      <c r="AT22">
        <f t="shared" si="17"/>
        <v>8.3388741526675414E-2</v>
      </c>
    </row>
    <row r="23" spans="1:46" ht="14.25" customHeight="1" x14ac:dyDescent="0.25">
      <c r="B23" s="1251">
        <v>18.5</v>
      </c>
      <c r="C23" s="1233">
        <v>20.25</v>
      </c>
      <c r="D23" s="1418">
        <v>0.25</v>
      </c>
      <c r="E23" s="1251" t="s">
        <v>320</v>
      </c>
      <c r="F23" s="1235">
        <v>1</v>
      </c>
      <c r="G23" s="1233">
        <v>65</v>
      </c>
      <c r="H23" s="1236">
        <f t="shared" si="18"/>
        <v>3</v>
      </c>
      <c r="I23" s="1272">
        <f t="shared" si="4"/>
        <v>24.125</v>
      </c>
      <c r="J23" s="1270" t="s">
        <v>348</v>
      </c>
      <c r="K23" s="1233" t="s">
        <v>374</v>
      </c>
      <c r="L23" s="1237">
        <f t="shared" si="0"/>
        <v>1</v>
      </c>
      <c r="M23" s="1238">
        <f t="shared" si="5"/>
        <v>65</v>
      </c>
      <c r="N23" s="1282">
        <v>24</v>
      </c>
      <c r="O23" s="1251">
        <v>28</v>
      </c>
      <c r="P23" s="1236">
        <f t="shared" si="19"/>
        <v>12</v>
      </c>
      <c r="Q23" s="1236">
        <f t="shared" si="6"/>
        <v>2</v>
      </c>
      <c r="R23" s="1286">
        <f t="shared" si="2"/>
        <v>2</v>
      </c>
      <c r="S23" s="1284">
        <v>2</v>
      </c>
      <c r="T23" s="1237">
        <f t="shared" si="21"/>
        <v>1</v>
      </c>
      <c r="U23" s="1234">
        <v>3</v>
      </c>
      <c r="V23" s="1236">
        <f t="shared" si="22"/>
        <v>65</v>
      </c>
      <c r="W23" s="1288">
        <f t="shared" si="23"/>
        <v>21.25</v>
      </c>
      <c r="X23" s="1309">
        <v>12</v>
      </c>
      <c r="Y23" s="1395">
        <v>4</v>
      </c>
      <c r="Z23" s="1396">
        <v>4</v>
      </c>
      <c r="AA23" s="1222" t="s">
        <v>47</v>
      </c>
      <c r="AB23" s="1223">
        <v>1.5</v>
      </c>
      <c r="AC23" s="644">
        <f t="shared" si="7"/>
        <v>1.625</v>
      </c>
      <c r="AD23" s="1501">
        <f t="shared" si="8"/>
        <v>4</v>
      </c>
      <c r="AE23" s="646" t="s">
        <v>412</v>
      </c>
      <c r="AF23" s="647" t="s">
        <v>413</v>
      </c>
      <c r="AG23" s="1310" t="s">
        <v>413</v>
      </c>
      <c r="AH23" s="1482">
        <f t="shared" si="9"/>
        <v>7.5</v>
      </c>
      <c r="AI23" s="649"/>
      <c r="AJ23" s="1463">
        <f t="shared" si="10"/>
        <v>6.5</v>
      </c>
      <c r="AK23" s="651"/>
      <c r="AL23" s="1435" t="str">
        <f t="shared" si="11"/>
        <v>PL 1 x 28 x 38</v>
      </c>
      <c r="AM23" s="1514">
        <f t="shared" si="12"/>
        <v>301.75040000000001</v>
      </c>
      <c r="AN23" s="1521">
        <f t="shared" si="13"/>
        <v>319.85542400000003</v>
      </c>
      <c r="AP23" s="925">
        <f t="shared" si="14"/>
        <v>38</v>
      </c>
      <c r="AQ23">
        <f t="shared" si="3"/>
        <v>301.75040000000001</v>
      </c>
      <c r="AR23">
        <f t="shared" si="15"/>
        <v>0.8125</v>
      </c>
      <c r="AS23">
        <f t="shared" si="16"/>
        <v>4</v>
      </c>
      <c r="AT23">
        <f t="shared" si="17"/>
        <v>8.3388741526675414E-2</v>
      </c>
    </row>
    <row r="24" spans="1:46" ht="14.25" customHeight="1" x14ac:dyDescent="0.25">
      <c r="B24" s="1252">
        <v>18.75</v>
      </c>
      <c r="C24" s="1239">
        <v>20.5</v>
      </c>
      <c r="D24" s="1419">
        <v>0.375</v>
      </c>
      <c r="E24" s="1252" t="s">
        <v>321</v>
      </c>
      <c r="F24" s="1241">
        <v>1</v>
      </c>
      <c r="G24" s="1239">
        <v>65</v>
      </c>
      <c r="H24" s="1242">
        <f t="shared" si="18"/>
        <v>3</v>
      </c>
      <c r="I24" s="1273">
        <f t="shared" si="4"/>
        <v>24.125</v>
      </c>
      <c r="J24" s="1271" t="s">
        <v>349</v>
      </c>
      <c r="K24" s="1239" t="s">
        <v>375</v>
      </c>
      <c r="L24" s="1243">
        <f t="shared" si="0"/>
        <v>1</v>
      </c>
      <c r="M24" s="1244">
        <f t="shared" si="5"/>
        <v>65</v>
      </c>
      <c r="N24" s="1283">
        <v>24</v>
      </c>
      <c r="O24" s="1252">
        <v>36</v>
      </c>
      <c r="P24" s="1242">
        <f t="shared" si="19"/>
        <v>16</v>
      </c>
      <c r="Q24" s="1242">
        <f t="shared" si="6"/>
        <v>2</v>
      </c>
      <c r="R24" s="1287">
        <f t="shared" si="2"/>
        <v>2</v>
      </c>
      <c r="S24" s="1285">
        <v>2</v>
      </c>
      <c r="T24" s="1243">
        <f t="shared" si="21"/>
        <v>1</v>
      </c>
      <c r="U24" s="1240">
        <v>3.25</v>
      </c>
      <c r="V24" s="1242">
        <f t="shared" si="22"/>
        <v>65</v>
      </c>
      <c r="W24" s="1289">
        <f t="shared" si="23"/>
        <v>21.5</v>
      </c>
      <c r="X24" s="1311">
        <v>16</v>
      </c>
      <c r="Y24" s="1397">
        <v>4</v>
      </c>
      <c r="Z24" s="1398">
        <v>4</v>
      </c>
      <c r="AA24" s="1224" t="s">
        <v>47</v>
      </c>
      <c r="AB24" s="1225">
        <v>1.5</v>
      </c>
      <c r="AC24" s="669">
        <f t="shared" si="7"/>
        <v>1.625</v>
      </c>
      <c r="AD24" s="1502">
        <f t="shared" si="8"/>
        <v>4</v>
      </c>
      <c r="AE24" s="671" t="s">
        <v>412</v>
      </c>
      <c r="AF24" s="672" t="s">
        <v>413</v>
      </c>
      <c r="AG24" s="1312" t="s">
        <v>413</v>
      </c>
      <c r="AH24" s="1483">
        <f t="shared" si="9"/>
        <v>7.75</v>
      </c>
      <c r="AI24" s="674"/>
      <c r="AJ24" s="1464">
        <f t="shared" si="10"/>
        <v>6.75</v>
      </c>
      <c r="AK24" s="676"/>
      <c r="AL24" s="1436" t="str">
        <f t="shared" si="11"/>
        <v>PL 1 x 36 x 38 1/2</v>
      </c>
      <c r="AM24" s="1513">
        <f t="shared" si="12"/>
        <v>393.06960000000004</v>
      </c>
      <c r="AN24" s="1448">
        <f t="shared" si="13"/>
        <v>416.65377600000005</v>
      </c>
      <c r="AP24" s="925">
        <f t="shared" si="14"/>
        <v>38.5</v>
      </c>
      <c r="AQ24">
        <f t="shared" si="3"/>
        <v>393.06960000000004</v>
      </c>
      <c r="AR24">
        <f t="shared" si="15"/>
        <v>0.8125</v>
      </c>
      <c r="AS24">
        <f t="shared" si="16"/>
        <v>4</v>
      </c>
      <c r="AT24">
        <f t="shared" si="17"/>
        <v>8.3388741526675414E-2</v>
      </c>
    </row>
    <row r="25" spans="1:46" ht="14.25" customHeight="1" x14ac:dyDescent="0.25">
      <c r="A25" s="928"/>
      <c r="B25" s="1251">
        <v>20.5</v>
      </c>
      <c r="C25" s="1233">
        <v>22.25</v>
      </c>
      <c r="D25" s="1418">
        <v>0.25</v>
      </c>
      <c r="E25" s="1251" t="s">
        <v>322</v>
      </c>
      <c r="F25" s="1235">
        <v>1</v>
      </c>
      <c r="G25" s="1233">
        <v>65</v>
      </c>
      <c r="H25" s="1236">
        <f t="shared" si="18"/>
        <v>3</v>
      </c>
      <c r="I25" s="1272">
        <f t="shared" si="4"/>
        <v>26.125</v>
      </c>
      <c r="J25" s="1270" t="s">
        <v>350</v>
      </c>
      <c r="K25" s="1233" t="s">
        <v>376</v>
      </c>
      <c r="L25" s="1237">
        <f t="shared" si="0"/>
        <v>1</v>
      </c>
      <c r="M25" s="1238">
        <f t="shared" si="5"/>
        <v>65</v>
      </c>
      <c r="N25" s="1282">
        <v>26</v>
      </c>
      <c r="O25" s="1251">
        <v>32</v>
      </c>
      <c r="P25" s="1236">
        <f t="shared" si="19"/>
        <v>14</v>
      </c>
      <c r="Q25" s="1236">
        <f t="shared" si="6"/>
        <v>2</v>
      </c>
      <c r="R25" s="1286">
        <f t="shared" si="2"/>
        <v>2</v>
      </c>
      <c r="S25" s="1284">
        <v>2</v>
      </c>
      <c r="T25" s="1237">
        <f t="shared" si="21"/>
        <v>1</v>
      </c>
      <c r="U25" s="1234">
        <v>3.25</v>
      </c>
      <c r="V25" s="1236">
        <f t="shared" si="22"/>
        <v>65</v>
      </c>
      <c r="W25" s="1288">
        <f t="shared" si="23"/>
        <v>23.25</v>
      </c>
      <c r="X25" s="1313">
        <v>12</v>
      </c>
      <c r="Y25" s="1399">
        <v>6</v>
      </c>
      <c r="Z25" s="1400">
        <v>4</v>
      </c>
      <c r="AA25" s="1226" t="s">
        <v>47</v>
      </c>
      <c r="AB25" s="1227">
        <v>1.5</v>
      </c>
      <c r="AC25" s="696">
        <f t="shared" si="7"/>
        <v>1.625</v>
      </c>
      <c r="AD25" s="1503">
        <f t="shared" si="8"/>
        <v>4</v>
      </c>
      <c r="AE25" s="698" t="s">
        <v>412</v>
      </c>
      <c r="AF25" s="699" t="s">
        <v>413</v>
      </c>
      <c r="AG25" s="1314" t="s">
        <v>413</v>
      </c>
      <c r="AH25" s="1484">
        <f t="shared" si="9"/>
        <v>7.75</v>
      </c>
      <c r="AI25" s="701"/>
      <c r="AJ25" s="1465">
        <f t="shared" si="10"/>
        <v>6.75</v>
      </c>
      <c r="AK25" s="703"/>
      <c r="AL25" s="1437" t="str">
        <f t="shared" si="11"/>
        <v>PL 1 x 32 x 40 1/2</v>
      </c>
      <c r="AM25" s="1514">
        <f t="shared" si="12"/>
        <v>367.54560000000004</v>
      </c>
      <c r="AN25" s="1449">
        <f t="shared" si="13"/>
        <v>389.59833600000007</v>
      </c>
      <c r="AP25" s="925">
        <f t="shared" si="14"/>
        <v>40.5</v>
      </c>
      <c r="AQ25">
        <f t="shared" si="3"/>
        <v>367.54560000000004</v>
      </c>
      <c r="AR25">
        <f t="shared" si="15"/>
        <v>0.8125</v>
      </c>
      <c r="AS25">
        <f t="shared" si="16"/>
        <v>4</v>
      </c>
      <c r="AT25">
        <f t="shared" si="17"/>
        <v>8.3388741526675414E-2</v>
      </c>
    </row>
    <row r="26" spans="1:46" ht="14.25" customHeight="1" x14ac:dyDescent="0.25">
      <c r="B26" s="1252">
        <v>20.75</v>
      </c>
      <c r="C26" s="1239">
        <v>21.25</v>
      </c>
      <c r="D26" s="1419">
        <v>0.375</v>
      </c>
      <c r="E26" s="1252" t="s">
        <v>323</v>
      </c>
      <c r="F26" s="1241">
        <v>1.25</v>
      </c>
      <c r="G26" s="1239">
        <v>65</v>
      </c>
      <c r="H26" s="1242">
        <f t="shared" si="18"/>
        <v>3.75</v>
      </c>
      <c r="I26" s="1273">
        <f t="shared" si="4"/>
        <v>26.125</v>
      </c>
      <c r="J26" s="1271" t="s">
        <v>351</v>
      </c>
      <c r="K26" s="1239" t="s">
        <v>377</v>
      </c>
      <c r="L26" s="1243">
        <f t="shared" si="0"/>
        <v>1.25</v>
      </c>
      <c r="M26" s="1244">
        <f t="shared" si="5"/>
        <v>65</v>
      </c>
      <c r="N26" s="1283">
        <v>26</v>
      </c>
      <c r="O26" s="1252">
        <v>32</v>
      </c>
      <c r="P26" s="1242">
        <f t="shared" si="19"/>
        <v>14</v>
      </c>
      <c r="Q26" s="1242">
        <f t="shared" si="6"/>
        <v>2</v>
      </c>
      <c r="R26" s="1287">
        <f t="shared" si="2"/>
        <v>2</v>
      </c>
      <c r="S26" s="1285">
        <v>2</v>
      </c>
      <c r="T26" s="1243">
        <f t="shared" si="21"/>
        <v>1.25</v>
      </c>
      <c r="U26" s="1240">
        <v>3.25</v>
      </c>
      <c r="V26" s="1242">
        <f t="shared" si="22"/>
        <v>65</v>
      </c>
      <c r="W26" s="1289">
        <f t="shared" si="23"/>
        <v>22.5</v>
      </c>
      <c r="X26" s="1348">
        <v>12</v>
      </c>
      <c r="Y26" s="1401">
        <v>6</v>
      </c>
      <c r="Z26" s="1402">
        <v>4</v>
      </c>
      <c r="AA26" s="1349" t="s">
        <v>49</v>
      </c>
      <c r="AB26" s="1350">
        <v>1.5</v>
      </c>
      <c r="AC26" s="722">
        <f t="shared" si="7"/>
        <v>1.625</v>
      </c>
      <c r="AD26" s="1504">
        <f t="shared" si="8"/>
        <v>4.5</v>
      </c>
      <c r="AE26" s="724" t="s">
        <v>412</v>
      </c>
      <c r="AF26" s="725" t="s">
        <v>413</v>
      </c>
      <c r="AG26" s="1315" t="s">
        <v>413</v>
      </c>
      <c r="AH26" s="1485">
        <f t="shared" si="9"/>
        <v>8.25</v>
      </c>
      <c r="AI26" s="727"/>
      <c r="AJ26" s="1466">
        <f t="shared" si="10"/>
        <v>7.5</v>
      </c>
      <c r="AK26" s="729"/>
      <c r="AL26" s="1438" t="str">
        <f t="shared" si="11"/>
        <v>PL 1 1/4 x 32 x 41 1/4</v>
      </c>
      <c r="AM26" s="1513">
        <f t="shared" si="12"/>
        <v>467.94000000000005</v>
      </c>
      <c r="AN26" s="1450">
        <f t="shared" si="13"/>
        <v>496.01640000000009</v>
      </c>
      <c r="AP26" s="925">
        <f t="shared" si="14"/>
        <v>41.25</v>
      </c>
      <c r="AQ26">
        <f t="shared" si="3"/>
        <v>467.94000000000005</v>
      </c>
      <c r="AR26">
        <f t="shared" si="15"/>
        <v>0.9375</v>
      </c>
      <c r="AS26">
        <f t="shared" si="16"/>
        <v>5</v>
      </c>
      <c r="AT26">
        <f t="shared" si="17"/>
        <v>8.8676985780715256E-2</v>
      </c>
    </row>
    <row r="27" spans="1:46" ht="14.25" customHeight="1" x14ac:dyDescent="0.25">
      <c r="B27" s="1251">
        <v>22.5</v>
      </c>
      <c r="C27" s="1233">
        <v>24.25</v>
      </c>
      <c r="D27" s="1418">
        <v>0.25</v>
      </c>
      <c r="E27" s="1251" t="s">
        <v>324</v>
      </c>
      <c r="F27" s="1235">
        <v>1</v>
      </c>
      <c r="G27" s="1233">
        <v>65</v>
      </c>
      <c r="H27" s="1236">
        <f t="shared" si="18"/>
        <v>3</v>
      </c>
      <c r="I27" s="1272">
        <f t="shared" si="4"/>
        <v>28.125</v>
      </c>
      <c r="J27" s="1270" t="s">
        <v>352</v>
      </c>
      <c r="K27" s="1233" t="s">
        <v>378</v>
      </c>
      <c r="L27" s="1237">
        <f t="shared" si="0"/>
        <v>1</v>
      </c>
      <c r="M27" s="1238">
        <f t="shared" si="5"/>
        <v>65</v>
      </c>
      <c r="N27" s="1282">
        <v>28</v>
      </c>
      <c r="O27" s="1251">
        <v>32</v>
      </c>
      <c r="P27" s="1236">
        <f t="shared" si="19"/>
        <v>14</v>
      </c>
      <c r="Q27" s="1236">
        <f t="shared" si="6"/>
        <v>2</v>
      </c>
      <c r="R27" s="1286">
        <f t="shared" si="2"/>
        <v>2</v>
      </c>
      <c r="S27" s="1284">
        <v>2</v>
      </c>
      <c r="T27" s="1237">
        <f t="shared" si="21"/>
        <v>1</v>
      </c>
      <c r="U27" s="1234">
        <v>3.25</v>
      </c>
      <c r="V27" s="1236">
        <f t="shared" si="22"/>
        <v>65</v>
      </c>
      <c r="W27" s="1288">
        <f t="shared" si="23"/>
        <v>25.25</v>
      </c>
      <c r="X27" s="1351">
        <v>12</v>
      </c>
      <c r="Y27" s="1403">
        <v>6</v>
      </c>
      <c r="Z27" s="1404">
        <v>4</v>
      </c>
      <c r="AA27" s="1352" t="s">
        <v>47</v>
      </c>
      <c r="AB27" s="1353">
        <v>1.5</v>
      </c>
      <c r="AC27" s="749">
        <f t="shared" si="7"/>
        <v>1.625</v>
      </c>
      <c r="AD27" s="1505">
        <f t="shared" si="8"/>
        <v>4</v>
      </c>
      <c r="AE27" s="751" t="s">
        <v>412</v>
      </c>
      <c r="AF27" s="752" t="s">
        <v>413</v>
      </c>
      <c r="AG27" s="1316" t="s">
        <v>413</v>
      </c>
      <c r="AH27" s="1486">
        <f t="shared" si="9"/>
        <v>7.75</v>
      </c>
      <c r="AI27" s="754"/>
      <c r="AJ27" s="1467">
        <f t="shared" si="10"/>
        <v>6.75</v>
      </c>
      <c r="AK27" s="756"/>
      <c r="AL27" s="1439" t="str">
        <f t="shared" si="11"/>
        <v>PL 1 x 32 x 42 1/2</v>
      </c>
      <c r="AM27" s="1514">
        <f t="shared" si="12"/>
        <v>385.69600000000003</v>
      </c>
      <c r="AN27" s="1451">
        <f t="shared" si="13"/>
        <v>408.83776000000006</v>
      </c>
      <c r="AP27" s="925">
        <f t="shared" si="14"/>
        <v>42.5</v>
      </c>
      <c r="AQ27">
        <f t="shared" si="3"/>
        <v>385.69600000000003</v>
      </c>
      <c r="AR27">
        <f t="shared" si="15"/>
        <v>0.8125</v>
      </c>
      <c r="AS27">
        <f t="shared" si="16"/>
        <v>4</v>
      </c>
      <c r="AT27">
        <f t="shared" si="17"/>
        <v>8.3388741526675414E-2</v>
      </c>
    </row>
    <row r="28" spans="1:46" ht="14.25" customHeight="1" x14ac:dyDescent="0.25">
      <c r="B28" s="1252">
        <v>21.5</v>
      </c>
      <c r="C28" s="1239">
        <v>23.25</v>
      </c>
      <c r="D28" s="1419">
        <v>0.375</v>
      </c>
      <c r="E28" s="1252" t="s">
        <v>325</v>
      </c>
      <c r="F28" s="1241">
        <v>1.25</v>
      </c>
      <c r="G28" s="1239">
        <v>65</v>
      </c>
      <c r="H28" s="1242">
        <f t="shared" si="18"/>
        <v>3.75</v>
      </c>
      <c r="I28" s="1273">
        <f t="shared" si="4"/>
        <v>28.125</v>
      </c>
      <c r="J28" s="1271" t="s">
        <v>353</v>
      </c>
      <c r="K28" s="1239" t="s">
        <v>379</v>
      </c>
      <c r="L28" s="1243">
        <f t="shared" si="0"/>
        <v>1.25</v>
      </c>
      <c r="M28" s="1244">
        <f t="shared" si="5"/>
        <v>65</v>
      </c>
      <c r="N28" s="1283">
        <v>28</v>
      </c>
      <c r="O28" s="1252">
        <v>33.5</v>
      </c>
      <c r="P28" s="1242">
        <f t="shared" si="19"/>
        <v>14.25</v>
      </c>
      <c r="Q28" s="1242">
        <f t="shared" si="6"/>
        <v>2.5</v>
      </c>
      <c r="R28" s="1287">
        <f t="shared" si="2"/>
        <v>2.5</v>
      </c>
      <c r="S28" s="1285">
        <v>2</v>
      </c>
      <c r="T28" s="1243">
        <f t="shared" si="21"/>
        <v>1.25</v>
      </c>
      <c r="U28" s="1240">
        <v>3.75</v>
      </c>
      <c r="V28" s="1242">
        <f t="shared" si="22"/>
        <v>65</v>
      </c>
      <c r="W28" s="1289">
        <f t="shared" si="23"/>
        <v>24.5</v>
      </c>
      <c r="X28" s="1354">
        <v>12</v>
      </c>
      <c r="Y28" s="1405">
        <v>4.75</v>
      </c>
      <c r="Z28" s="1406">
        <v>4.75</v>
      </c>
      <c r="AA28" s="1355" t="s">
        <v>49</v>
      </c>
      <c r="AB28" s="1356">
        <v>1.75</v>
      </c>
      <c r="AC28" s="776">
        <f t="shared" si="7"/>
        <v>1.875</v>
      </c>
      <c r="AD28" s="1506">
        <f t="shared" si="8"/>
        <v>4.75</v>
      </c>
      <c r="AE28" s="778" t="s">
        <v>412</v>
      </c>
      <c r="AF28" s="779" t="s">
        <v>413</v>
      </c>
      <c r="AG28" s="1317" t="s">
        <v>413</v>
      </c>
      <c r="AH28" s="1487">
        <f t="shared" si="9"/>
        <v>9.25</v>
      </c>
      <c r="AI28" s="781"/>
      <c r="AJ28" s="1468">
        <f t="shared" si="10"/>
        <v>8</v>
      </c>
      <c r="AK28" s="779"/>
      <c r="AL28" s="1440" t="str">
        <f t="shared" si="11"/>
        <v>PL 1 1/4 x 33 1/2 x 45 1/4</v>
      </c>
      <c r="AM28" s="1513">
        <f t="shared" si="12"/>
        <v>537.37768749999998</v>
      </c>
      <c r="AN28" s="1452">
        <f t="shared" si="13"/>
        <v>569.62034875000006</v>
      </c>
      <c r="AP28" s="925">
        <f t="shared" si="14"/>
        <v>45.25</v>
      </c>
      <c r="AQ28">
        <f t="shared" si="3"/>
        <v>537.37768749999998</v>
      </c>
      <c r="AR28">
        <f t="shared" si="15"/>
        <v>0.9375</v>
      </c>
      <c r="AS28">
        <f t="shared" si="16"/>
        <v>5</v>
      </c>
      <c r="AT28">
        <f t="shared" si="17"/>
        <v>8.8676985780715256E-2</v>
      </c>
    </row>
    <row r="29" spans="1:46" ht="14.25" customHeight="1" x14ac:dyDescent="0.25">
      <c r="B29" s="1251">
        <v>23.5</v>
      </c>
      <c r="C29" s="1233">
        <v>25.25</v>
      </c>
      <c r="D29" s="1418">
        <v>0.3125</v>
      </c>
      <c r="E29" s="1251" t="s">
        <v>326</v>
      </c>
      <c r="F29" s="1235">
        <v>1.25</v>
      </c>
      <c r="G29" s="1233">
        <v>65</v>
      </c>
      <c r="H29" s="1236">
        <f t="shared" si="18"/>
        <v>3.75</v>
      </c>
      <c r="I29" s="1272">
        <f t="shared" si="4"/>
        <v>30.125</v>
      </c>
      <c r="J29" s="1270" t="s">
        <v>354</v>
      </c>
      <c r="K29" s="1233" t="s">
        <v>380</v>
      </c>
      <c r="L29" s="1237">
        <f t="shared" si="0"/>
        <v>1.25</v>
      </c>
      <c r="M29" s="1238">
        <f t="shared" si="5"/>
        <v>65</v>
      </c>
      <c r="N29" s="1282">
        <v>30</v>
      </c>
      <c r="O29" s="1251">
        <v>33.5</v>
      </c>
      <c r="P29" s="1236">
        <f t="shared" si="19"/>
        <v>14.25</v>
      </c>
      <c r="Q29" s="1236">
        <f t="shared" si="6"/>
        <v>2.5</v>
      </c>
      <c r="R29" s="1286">
        <f t="shared" si="2"/>
        <v>2.5</v>
      </c>
      <c r="S29" s="1284">
        <v>2</v>
      </c>
      <c r="T29" s="1237">
        <f t="shared" si="21"/>
        <v>1.25</v>
      </c>
      <c r="U29" s="1234">
        <v>3.75</v>
      </c>
      <c r="V29" s="1236">
        <f t="shared" si="22"/>
        <v>65</v>
      </c>
      <c r="W29" s="1288">
        <f t="shared" si="23"/>
        <v>26.5</v>
      </c>
      <c r="X29" s="1357">
        <v>12</v>
      </c>
      <c r="Y29" s="1407">
        <v>4.75</v>
      </c>
      <c r="Z29" s="1408">
        <v>4.75</v>
      </c>
      <c r="AA29" s="1358" t="s">
        <v>49</v>
      </c>
      <c r="AB29" s="1359">
        <v>1.75</v>
      </c>
      <c r="AC29" s="803">
        <f t="shared" si="7"/>
        <v>1.875</v>
      </c>
      <c r="AD29" s="1507">
        <f t="shared" si="8"/>
        <v>4.75</v>
      </c>
      <c r="AE29" s="805" t="s">
        <v>412</v>
      </c>
      <c r="AF29" s="806" t="s">
        <v>413</v>
      </c>
      <c r="AG29" s="1318" t="s">
        <v>413</v>
      </c>
      <c r="AH29" s="1488">
        <f t="shared" si="9"/>
        <v>9.25</v>
      </c>
      <c r="AI29" s="808"/>
      <c r="AJ29" s="1469">
        <f t="shared" si="10"/>
        <v>8</v>
      </c>
      <c r="AK29" s="810"/>
      <c r="AL29" s="1441" t="str">
        <f t="shared" si="11"/>
        <v>PL 1 1/4 x 33 1/2 x 47 1/4</v>
      </c>
      <c r="AM29" s="1514">
        <f t="shared" si="12"/>
        <v>561.12918750000006</v>
      </c>
      <c r="AN29" s="1522">
        <f t="shared" si="13"/>
        <v>594.79693875000009</v>
      </c>
      <c r="AP29" s="925">
        <f t="shared" si="14"/>
        <v>47.25</v>
      </c>
      <c r="AQ29">
        <f t="shared" si="3"/>
        <v>561.12918750000006</v>
      </c>
      <c r="AR29">
        <f t="shared" si="15"/>
        <v>1</v>
      </c>
      <c r="AS29">
        <f t="shared" si="16"/>
        <v>5</v>
      </c>
      <c r="AT29">
        <f t="shared" si="17"/>
        <v>0.10102051443364424</v>
      </c>
    </row>
    <row r="30" spans="1:46" ht="14.25" customHeight="1" x14ac:dyDescent="0.25">
      <c r="B30" s="1252">
        <v>23.5</v>
      </c>
      <c r="C30" s="1239">
        <v>25.5</v>
      </c>
      <c r="D30" s="1419">
        <v>0.4375</v>
      </c>
      <c r="E30" s="1252" t="s">
        <v>327</v>
      </c>
      <c r="F30" s="1241">
        <v>1.25</v>
      </c>
      <c r="G30" s="1239">
        <v>65</v>
      </c>
      <c r="H30" s="1242">
        <f t="shared" si="18"/>
        <v>3.75</v>
      </c>
      <c r="I30" s="1273">
        <f t="shared" si="4"/>
        <v>30.125</v>
      </c>
      <c r="J30" s="1271" t="s">
        <v>355</v>
      </c>
      <c r="K30" s="1239" t="s">
        <v>381</v>
      </c>
      <c r="L30" s="1243">
        <f t="shared" si="0"/>
        <v>1.25</v>
      </c>
      <c r="M30" s="1244">
        <f t="shared" si="5"/>
        <v>65</v>
      </c>
      <c r="N30" s="1283">
        <v>30</v>
      </c>
      <c r="O30" s="1252">
        <v>38.25</v>
      </c>
      <c r="P30" s="1242">
        <f t="shared" si="19"/>
        <v>16.625</v>
      </c>
      <c r="Q30" s="1242">
        <f t="shared" si="6"/>
        <v>2.5</v>
      </c>
      <c r="R30" s="1287">
        <f t="shared" si="2"/>
        <v>2.5</v>
      </c>
      <c r="S30" s="1285">
        <v>2</v>
      </c>
      <c r="T30" s="1243">
        <f t="shared" si="21"/>
        <v>1.25</v>
      </c>
      <c r="U30" s="1240">
        <v>4</v>
      </c>
      <c r="V30" s="1242">
        <f t="shared" si="22"/>
        <v>65</v>
      </c>
      <c r="W30" s="1289">
        <f t="shared" si="23"/>
        <v>26.75</v>
      </c>
      <c r="X30" s="1360">
        <v>16</v>
      </c>
      <c r="Y30" s="1409">
        <v>2.375</v>
      </c>
      <c r="Z30" s="1410">
        <v>4.75</v>
      </c>
      <c r="AA30" s="1361" t="s">
        <v>49</v>
      </c>
      <c r="AB30" s="1362">
        <v>1.75</v>
      </c>
      <c r="AC30" s="831">
        <f t="shared" si="7"/>
        <v>1.875</v>
      </c>
      <c r="AD30" s="1508">
        <f t="shared" si="8"/>
        <v>4.75</v>
      </c>
      <c r="AE30" s="833" t="s">
        <v>412</v>
      </c>
      <c r="AF30" s="834" t="s">
        <v>413</v>
      </c>
      <c r="AG30" s="1319" t="s">
        <v>413</v>
      </c>
      <c r="AH30" s="1489">
        <f t="shared" si="9"/>
        <v>9.5</v>
      </c>
      <c r="AI30" s="836"/>
      <c r="AJ30" s="1470">
        <f t="shared" si="10"/>
        <v>8.25</v>
      </c>
      <c r="AK30" s="838"/>
      <c r="AL30" s="1442" t="str">
        <f t="shared" si="11"/>
        <v>PL 1 1/4 x 38 1/4 x 47 3/4</v>
      </c>
      <c r="AM30" s="1513">
        <f t="shared" si="12"/>
        <v>647.47209375</v>
      </c>
      <c r="AN30" s="1453">
        <f t="shared" si="13"/>
        <v>686.32041937500003</v>
      </c>
      <c r="AP30" s="925">
        <f t="shared" si="14"/>
        <v>47.75</v>
      </c>
      <c r="AQ30">
        <f t="shared" si="3"/>
        <v>647.47209375</v>
      </c>
      <c r="AR30">
        <f t="shared" si="15"/>
        <v>1</v>
      </c>
      <c r="AS30">
        <f t="shared" si="16"/>
        <v>5</v>
      </c>
      <c r="AT30">
        <f t="shared" si="17"/>
        <v>0.10102051443364424</v>
      </c>
    </row>
    <row r="31" spans="1:46" ht="14.25" customHeight="1" x14ac:dyDescent="0.25">
      <c r="B31" s="1253">
        <v>25.5</v>
      </c>
      <c r="C31" s="1420">
        <v>27.25</v>
      </c>
      <c r="D31" s="1421">
        <v>0.3125</v>
      </c>
      <c r="E31" s="1274" t="s">
        <v>328</v>
      </c>
      <c r="F31" s="1245">
        <v>1.25</v>
      </c>
      <c r="G31" s="1246">
        <v>65</v>
      </c>
      <c r="H31" s="1230">
        <f t="shared" si="18"/>
        <v>3.75</v>
      </c>
      <c r="I31" s="1275">
        <f t="shared" si="4"/>
        <v>32.125</v>
      </c>
      <c r="J31" s="1328" t="s">
        <v>356</v>
      </c>
      <c r="K31" s="1329" t="s">
        <v>382</v>
      </c>
      <c r="L31" s="1231">
        <f t="shared" si="0"/>
        <v>1.25</v>
      </c>
      <c r="M31" s="1232">
        <f t="shared" si="5"/>
        <v>65</v>
      </c>
      <c r="N31" s="1336">
        <v>32</v>
      </c>
      <c r="O31" s="1373">
        <v>38.25</v>
      </c>
      <c r="P31" s="1377">
        <f t="shared" si="19"/>
        <v>16.625</v>
      </c>
      <c r="Q31" s="1228">
        <f t="shared" si="6"/>
        <v>2.5</v>
      </c>
      <c r="R31" s="1341">
        <f t="shared" si="2"/>
        <v>2.5</v>
      </c>
      <c r="S31" s="1345">
        <v>2</v>
      </c>
      <c r="T31" s="1231">
        <f t="shared" si="21"/>
        <v>1.25</v>
      </c>
      <c r="U31" s="1324">
        <v>4</v>
      </c>
      <c r="V31" s="1228">
        <f t="shared" si="22"/>
        <v>65</v>
      </c>
      <c r="W31" s="1290">
        <f t="shared" si="23"/>
        <v>28.5</v>
      </c>
      <c r="X31" s="1363">
        <v>12</v>
      </c>
      <c r="Y31" s="1411">
        <v>7.125</v>
      </c>
      <c r="Z31" s="1412">
        <v>4.75</v>
      </c>
      <c r="AA31" s="1364" t="s">
        <v>49</v>
      </c>
      <c r="AB31" s="1365">
        <v>1.75</v>
      </c>
      <c r="AC31" s="858">
        <f t="shared" si="7"/>
        <v>1.875</v>
      </c>
      <c r="AD31" s="1509">
        <f t="shared" si="8"/>
        <v>4.75</v>
      </c>
      <c r="AE31" s="860" t="s">
        <v>412</v>
      </c>
      <c r="AF31" s="861" t="s">
        <v>413</v>
      </c>
      <c r="AG31" s="1320" t="s">
        <v>413</v>
      </c>
      <c r="AH31" s="1490">
        <f t="shared" si="9"/>
        <v>9.5</v>
      </c>
      <c r="AI31" s="863"/>
      <c r="AJ31" s="1471">
        <f t="shared" si="10"/>
        <v>8.25</v>
      </c>
      <c r="AK31" s="865"/>
      <c r="AL31" s="1443" t="str">
        <f t="shared" si="11"/>
        <v>PL 1 1/4 x 38 1/4 x 49 3/4</v>
      </c>
      <c r="AM31" s="1514">
        <f t="shared" si="12"/>
        <v>674.59134375000008</v>
      </c>
      <c r="AN31" s="1454">
        <f t="shared" si="13"/>
        <v>715.06682437500012</v>
      </c>
      <c r="AP31" s="925">
        <f t="shared" si="14"/>
        <v>49.75</v>
      </c>
      <c r="AQ31">
        <f t="shared" si="3"/>
        <v>674.59134375000008</v>
      </c>
      <c r="AR31">
        <f t="shared" si="15"/>
        <v>1</v>
      </c>
      <c r="AS31">
        <f t="shared" si="16"/>
        <v>5</v>
      </c>
      <c r="AT31">
        <f t="shared" si="17"/>
        <v>0.10102051443364424</v>
      </c>
    </row>
    <row r="32" spans="1:46" ht="14.25" customHeight="1" x14ac:dyDescent="0.25">
      <c r="B32" s="1254">
        <v>25.75</v>
      </c>
      <c r="C32" s="1422">
        <v>27.5</v>
      </c>
      <c r="D32" s="1423">
        <v>0.4375</v>
      </c>
      <c r="E32" s="1276" t="s">
        <v>329</v>
      </c>
      <c r="F32" s="1247">
        <v>1.25</v>
      </c>
      <c r="G32" s="1248">
        <v>65</v>
      </c>
      <c r="H32" s="1208">
        <f t="shared" si="18"/>
        <v>3.75</v>
      </c>
      <c r="I32" s="1277">
        <f t="shared" si="4"/>
        <v>32.125</v>
      </c>
      <c r="J32" s="1330" t="s">
        <v>357</v>
      </c>
      <c r="K32" s="1331" t="s">
        <v>383</v>
      </c>
      <c r="L32" s="875">
        <f t="shared" si="0"/>
        <v>1.25</v>
      </c>
      <c r="M32" s="876">
        <f t="shared" si="5"/>
        <v>65</v>
      </c>
      <c r="N32" s="1337">
        <v>32</v>
      </c>
      <c r="O32" s="1374">
        <v>43</v>
      </c>
      <c r="P32" s="1378">
        <f t="shared" si="19"/>
        <v>19</v>
      </c>
      <c r="Q32" s="1197">
        <f t="shared" si="6"/>
        <v>2.5</v>
      </c>
      <c r="R32" s="1342">
        <f t="shared" si="2"/>
        <v>2.5</v>
      </c>
      <c r="S32" s="1229">
        <v>2</v>
      </c>
      <c r="T32" s="875">
        <f t="shared" si="21"/>
        <v>1.25</v>
      </c>
      <c r="U32" s="1325">
        <v>4.25</v>
      </c>
      <c r="V32" s="1197">
        <f t="shared" si="22"/>
        <v>65</v>
      </c>
      <c r="W32" s="1291">
        <f t="shared" si="23"/>
        <v>28.75</v>
      </c>
      <c r="X32" s="1307">
        <v>16</v>
      </c>
      <c r="Y32" s="1393">
        <v>4.75</v>
      </c>
      <c r="Z32" s="1413">
        <v>4.75</v>
      </c>
      <c r="AA32" s="1366" t="s">
        <v>49</v>
      </c>
      <c r="AB32" s="1367">
        <v>1.75</v>
      </c>
      <c r="AC32" s="886">
        <f t="shared" si="7"/>
        <v>1.875</v>
      </c>
      <c r="AD32" s="1510">
        <f t="shared" si="8"/>
        <v>4.75</v>
      </c>
      <c r="AE32" s="888" t="s">
        <v>412</v>
      </c>
      <c r="AF32" s="889" t="s">
        <v>413</v>
      </c>
      <c r="AG32" s="1321" t="s">
        <v>413</v>
      </c>
      <c r="AH32" s="1491">
        <f t="shared" si="9"/>
        <v>9.75</v>
      </c>
      <c r="AI32" s="891"/>
      <c r="AJ32" s="1472">
        <f t="shared" si="10"/>
        <v>8.5</v>
      </c>
      <c r="AK32" s="893"/>
      <c r="AL32" s="1444" t="str">
        <f t="shared" si="11"/>
        <v>PL 1 1/4 x 43 x 50 1/4</v>
      </c>
      <c r="AM32" s="1513">
        <f t="shared" si="12"/>
        <v>765.98587500000008</v>
      </c>
      <c r="AN32" s="1455">
        <f t="shared" si="13"/>
        <v>811.94502750000015</v>
      </c>
      <c r="AP32" s="925">
        <f t="shared" si="14"/>
        <v>50.25</v>
      </c>
      <c r="AQ32">
        <f t="shared" si="3"/>
        <v>765.98587500000008</v>
      </c>
      <c r="AR32">
        <f t="shared" si="15"/>
        <v>1</v>
      </c>
      <c r="AS32">
        <f t="shared" si="16"/>
        <v>5</v>
      </c>
      <c r="AT32">
        <f t="shared" si="17"/>
        <v>0.10102051443364424</v>
      </c>
    </row>
    <row r="33" spans="2:46" ht="14.25" customHeight="1" x14ac:dyDescent="0.25">
      <c r="B33" s="1255">
        <v>27.75</v>
      </c>
      <c r="C33" s="1424">
        <v>29.25</v>
      </c>
      <c r="D33" s="1425">
        <v>0.375</v>
      </c>
      <c r="E33" s="1278" t="s">
        <v>330</v>
      </c>
      <c r="F33" s="1249">
        <v>1.25</v>
      </c>
      <c r="G33" s="1250">
        <v>65</v>
      </c>
      <c r="H33" s="1209">
        <f t="shared" si="18"/>
        <v>3.75</v>
      </c>
      <c r="I33" s="1279">
        <f t="shared" si="4"/>
        <v>34.125</v>
      </c>
      <c r="J33" s="1332" t="s">
        <v>358</v>
      </c>
      <c r="K33" s="1333" t="s">
        <v>384</v>
      </c>
      <c r="L33" s="903">
        <f t="shared" si="0"/>
        <v>1.25</v>
      </c>
      <c r="M33" s="904">
        <f t="shared" si="5"/>
        <v>65</v>
      </c>
      <c r="N33" s="1338">
        <v>34</v>
      </c>
      <c r="O33" s="1375">
        <v>43</v>
      </c>
      <c r="P33" s="1379">
        <f t="shared" si="19"/>
        <v>19</v>
      </c>
      <c r="Q33" s="923">
        <f t="shared" si="6"/>
        <v>2.5</v>
      </c>
      <c r="R33" s="1343">
        <f t="shared" si="2"/>
        <v>2.5</v>
      </c>
      <c r="S33" s="1346">
        <v>2</v>
      </c>
      <c r="T33" s="903">
        <f t="shared" si="21"/>
        <v>1.25</v>
      </c>
      <c r="U33" s="1326">
        <v>4.25</v>
      </c>
      <c r="V33" s="923">
        <f t="shared" si="22"/>
        <v>65</v>
      </c>
      <c r="W33" s="1292">
        <f t="shared" si="23"/>
        <v>30.5</v>
      </c>
      <c r="X33" s="1368">
        <v>16</v>
      </c>
      <c r="Y33" s="1414">
        <v>4.75</v>
      </c>
      <c r="Z33" s="1415">
        <v>4.75</v>
      </c>
      <c r="AA33" s="1369" t="s">
        <v>49</v>
      </c>
      <c r="AB33" s="1370">
        <v>1.75</v>
      </c>
      <c r="AC33" s="914">
        <f t="shared" si="7"/>
        <v>1.875</v>
      </c>
      <c r="AD33" s="1511">
        <f t="shared" si="8"/>
        <v>4.75</v>
      </c>
      <c r="AE33" s="916" t="s">
        <v>412</v>
      </c>
      <c r="AF33" s="917" t="s">
        <v>413</v>
      </c>
      <c r="AG33" s="1322" t="s">
        <v>413</v>
      </c>
      <c r="AH33" s="1492">
        <f t="shared" si="9"/>
        <v>9.75</v>
      </c>
      <c r="AI33" s="919"/>
      <c r="AJ33" s="1473">
        <f t="shared" si="10"/>
        <v>8.5</v>
      </c>
      <c r="AK33" s="921"/>
      <c r="AL33" s="922" t="str">
        <f t="shared" si="11"/>
        <v>PL 1 1/4 x 43 x 52 1/4</v>
      </c>
      <c r="AM33" s="1515">
        <f t="shared" si="12"/>
        <v>796.47287500000004</v>
      </c>
      <c r="AN33" s="1523">
        <f t="shared" si="13"/>
        <v>844.26124750000008</v>
      </c>
      <c r="AP33" s="925">
        <f t="shared" si="14"/>
        <v>52.25</v>
      </c>
      <c r="AQ33">
        <f t="shared" si="3"/>
        <v>796.47287500000004</v>
      </c>
      <c r="AR33">
        <f t="shared" si="15"/>
        <v>0.9375</v>
      </c>
      <c r="AS33">
        <f t="shared" si="16"/>
        <v>5</v>
      </c>
      <c r="AT33">
        <f t="shared" si="17"/>
        <v>8.8676985780715256E-2</v>
      </c>
    </row>
    <row r="34" spans="2:46" ht="14.25" customHeight="1" thickBot="1" x14ac:dyDescent="0.3">
      <c r="B34" s="1256">
        <v>27.75</v>
      </c>
      <c r="C34" s="1426">
        <v>29.5</v>
      </c>
      <c r="D34" s="1427">
        <v>0.5</v>
      </c>
      <c r="E34" s="1280" t="s">
        <v>331</v>
      </c>
      <c r="F34" s="1257">
        <v>1.25</v>
      </c>
      <c r="G34" s="1258">
        <v>65</v>
      </c>
      <c r="H34" s="1259">
        <f t="shared" si="18"/>
        <v>3.75</v>
      </c>
      <c r="I34" s="1281">
        <f t="shared" si="4"/>
        <v>34.125</v>
      </c>
      <c r="J34" s="1334" t="s">
        <v>359</v>
      </c>
      <c r="K34" s="1335" t="s">
        <v>385</v>
      </c>
      <c r="L34" s="1260">
        <f t="shared" si="0"/>
        <v>1.25</v>
      </c>
      <c r="M34" s="1261">
        <f t="shared" si="5"/>
        <v>65</v>
      </c>
      <c r="N34" s="1339">
        <v>34</v>
      </c>
      <c r="O34" s="1376">
        <v>47.75</v>
      </c>
      <c r="P34" s="1380">
        <f t="shared" si="19"/>
        <v>21.375</v>
      </c>
      <c r="Q34" s="1262">
        <f t="shared" si="6"/>
        <v>2.5</v>
      </c>
      <c r="R34" s="1344">
        <f>CEILING(1.3*AB34,0.25)</f>
        <v>2.5</v>
      </c>
      <c r="S34" s="1347">
        <v>2</v>
      </c>
      <c r="T34" s="1260">
        <f t="shared" si="21"/>
        <v>1.25</v>
      </c>
      <c r="U34" s="1327">
        <v>4.5</v>
      </c>
      <c r="V34" s="1262">
        <f t="shared" si="22"/>
        <v>65</v>
      </c>
      <c r="W34" s="1293">
        <f>C34+T34</f>
        <v>30.75</v>
      </c>
      <c r="X34" s="1340">
        <v>20</v>
      </c>
      <c r="Y34" s="1416">
        <v>2.375</v>
      </c>
      <c r="Z34" s="1417">
        <v>4.75</v>
      </c>
      <c r="AA34" s="1371" t="s">
        <v>49</v>
      </c>
      <c r="AB34" s="1372">
        <v>1.75</v>
      </c>
      <c r="AC34" s="1263">
        <f t="shared" si="7"/>
        <v>1.875</v>
      </c>
      <c r="AD34" s="1512">
        <f t="shared" si="8"/>
        <v>4.75</v>
      </c>
      <c r="AE34" s="1264" t="s">
        <v>412</v>
      </c>
      <c r="AF34" s="1265" t="s">
        <v>413</v>
      </c>
      <c r="AG34" s="1323" t="s">
        <v>413</v>
      </c>
      <c r="AH34" s="1493">
        <f t="shared" si="9"/>
        <v>10</v>
      </c>
      <c r="AI34" s="1266"/>
      <c r="AJ34" s="1474">
        <f t="shared" si="10"/>
        <v>8.75</v>
      </c>
      <c r="AK34" s="1267"/>
      <c r="AL34" s="1268" t="str">
        <f t="shared" si="11"/>
        <v>PL 1 1/4 x 47 3/4 x 52 3/4</v>
      </c>
      <c r="AM34" s="1516">
        <f t="shared" si="12"/>
        <v>892.9190312500001</v>
      </c>
      <c r="AN34" s="1269">
        <f t="shared" si="13"/>
        <v>946.4941731250002</v>
      </c>
      <c r="AP34" s="925">
        <f t="shared" si="14"/>
        <v>52.75</v>
      </c>
      <c r="AQ34" s="929">
        <f>F34*O34*AP34*0.2836</f>
        <v>892.9190312500001</v>
      </c>
      <c r="AR34">
        <f t="shared" si="15"/>
        <v>0.9375</v>
      </c>
      <c r="AS34">
        <f t="shared" si="16"/>
        <v>5</v>
      </c>
      <c r="AT34">
        <f t="shared" si="17"/>
        <v>8.8676985780715256E-2</v>
      </c>
    </row>
  </sheetData>
  <mergeCells count="43">
    <mergeCell ref="U5:U6"/>
    <mergeCell ref="V5:V6"/>
    <mergeCell ref="W5:W6"/>
    <mergeCell ref="T5:T6"/>
    <mergeCell ref="AH4:AN4"/>
    <mergeCell ref="B4:D4"/>
    <mergeCell ref="E4:I4"/>
    <mergeCell ref="J4:N4"/>
    <mergeCell ref="O4:R4"/>
    <mergeCell ref="X4:AG4"/>
    <mergeCell ref="S4:W4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</mergeCells>
  <pageMargins left="0.4" right="0.15" top="1" bottom="0.65" header="0.4" footer="0.4"/>
  <pageSetup paperSize="119" scale="6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62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65" t="s">
        <v>272</v>
      </c>
      <c r="C2" s="165"/>
      <c r="G2" s="2157">
        <v>43024</v>
      </c>
      <c r="H2" s="2157"/>
    </row>
    <row r="3" spans="2:72" ht="15.75" thickBot="1" x14ac:dyDescent="0.3">
      <c r="BE3" s="2158" t="s">
        <v>673</v>
      </c>
      <c r="BF3" s="2158"/>
      <c r="BG3" s="2158"/>
      <c r="BH3" s="2158"/>
      <c r="BI3" s="2158"/>
      <c r="BJ3" s="2158"/>
    </row>
    <row r="4" spans="2:72" ht="15" customHeight="1" x14ac:dyDescent="0.25">
      <c r="B4" s="2159" t="s">
        <v>273</v>
      </c>
      <c r="C4" s="2160"/>
      <c r="D4" s="2160"/>
      <c r="E4" s="2160"/>
      <c r="F4" s="2161"/>
      <c r="G4" s="2162" t="s">
        <v>386</v>
      </c>
      <c r="H4" s="2163"/>
      <c r="I4" s="2163"/>
      <c r="J4" s="2163"/>
      <c r="K4" s="2164"/>
      <c r="L4" s="2165" t="s">
        <v>387</v>
      </c>
      <c r="M4" s="2166"/>
      <c r="N4" s="2166"/>
      <c r="O4" s="2166"/>
      <c r="P4" s="2166"/>
      <c r="Q4" s="2167" t="s">
        <v>390</v>
      </c>
      <c r="R4" s="2168"/>
      <c r="S4" s="2168"/>
      <c r="T4" s="2169"/>
      <c r="U4" s="2170" t="s">
        <v>260</v>
      </c>
      <c r="V4" s="2170"/>
      <c r="W4" s="2170"/>
      <c r="X4" s="2170"/>
      <c r="Y4" s="2170"/>
      <c r="Z4" s="2167" t="s">
        <v>400</v>
      </c>
      <c r="AA4" s="2163"/>
      <c r="AB4" s="2163"/>
      <c r="AC4" s="2163"/>
      <c r="AD4" s="2163"/>
      <c r="AE4" s="2163"/>
      <c r="AF4" s="2163"/>
      <c r="AG4" s="2163"/>
      <c r="AH4" s="2163"/>
      <c r="AI4" s="2164"/>
      <c r="AJ4" s="2170" t="s">
        <v>399</v>
      </c>
      <c r="AK4" s="2166"/>
      <c r="AL4" s="2166"/>
      <c r="AM4" s="2166"/>
      <c r="AN4" s="2166"/>
      <c r="AO4" s="2166"/>
      <c r="AP4" s="2166"/>
      <c r="AQ4" s="2171"/>
      <c r="BH4">
        <v>0.3125</v>
      </c>
      <c r="BJ4" t="s">
        <v>667</v>
      </c>
    </row>
    <row r="5" spans="2:72" ht="17.25" customHeight="1" x14ac:dyDescent="0.25">
      <c r="B5" s="2230" t="s">
        <v>654</v>
      </c>
      <c r="C5" s="2229"/>
      <c r="D5" s="2230" t="s">
        <v>655</v>
      </c>
      <c r="E5" s="2231"/>
      <c r="F5" s="2229" t="s">
        <v>626</v>
      </c>
      <c r="G5" s="2178" t="s">
        <v>641</v>
      </c>
      <c r="H5" s="2180" t="s">
        <v>406</v>
      </c>
      <c r="I5" s="2180" t="s">
        <v>304</v>
      </c>
      <c r="J5" s="2180" t="s">
        <v>388</v>
      </c>
      <c r="K5" s="2182" t="s">
        <v>403</v>
      </c>
      <c r="L5" s="2184" t="s">
        <v>404</v>
      </c>
      <c r="M5" s="2172" t="s">
        <v>405</v>
      </c>
      <c r="N5" s="2172" t="s">
        <v>406</v>
      </c>
      <c r="O5" s="2172" t="s">
        <v>304</v>
      </c>
      <c r="P5" s="2186" t="s">
        <v>632</v>
      </c>
      <c r="Q5" s="2178" t="s">
        <v>389</v>
      </c>
      <c r="R5" s="2180" t="s">
        <v>408</v>
      </c>
      <c r="S5" s="2180" t="s">
        <v>682</v>
      </c>
      <c r="T5" s="2182" t="s">
        <v>683</v>
      </c>
      <c r="U5" s="2184" t="s">
        <v>629</v>
      </c>
      <c r="V5" s="2172" t="s">
        <v>406</v>
      </c>
      <c r="W5" s="2172" t="s">
        <v>630</v>
      </c>
      <c r="X5" s="2172" t="s">
        <v>304</v>
      </c>
      <c r="Y5" s="2186" t="s">
        <v>631</v>
      </c>
      <c r="Z5" s="2178" t="s">
        <v>643</v>
      </c>
      <c r="AA5" s="2180" t="s">
        <v>392</v>
      </c>
      <c r="AB5" s="2180" t="s">
        <v>393</v>
      </c>
      <c r="AC5" s="2180" t="s">
        <v>391</v>
      </c>
      <c r="AD5" s="2180" t="s">
        <v>409</v>
      </c>
      <c r="AE5" s="2180" t="s">
        <v>410</v>
      </c>
      <c r="AF5" s="2190" t="s">
        <v>398</v>
      </c>
      <c r="AG5" s="2191"/>
      <c r="AH5" s="2191"/>
      <c r="AI5" s="2192"/>
      <c r="AJ5" s="2184" t="s">
        <v>656</v>
      </c>
      <c r="AK5" s="2172" t="s">
        <v>657</v>
      </c>
      <c r="AL5" s="2172" t="s">
        <v>659</v>
      </c>
      <c r="AM5" s="2186" t="s">
        <v>658</v>
      </c>
      <c r="AN5" s="2184"/>
      <c r="AO5" s="2172" t="s">
        <v>402</v>
      </c>
      <c r="AP5" s="2172" t="s">
        <v>681</v>
      </c>
      <c r="AQ5" s="2188" t="s">
        <v>680</v>
      </c>
      <c r="AS5">
        <v>0.45</v>
      </c>
      <c r="BH5" t="s">
        <v>664</v>
      </c>
      <c r="BI5" t="s">
        <v>665</v>
      </c>
      <c r="BJ5" t="s">
        <v>666</v>
      </c>
      <c r="BO5" t="s">
        <v>664</v>
      </c>
      <c r="BP5" t="s">
        <v>665</v>
      </c>
      <c r="BQ5" t="s">
        <v>666</v>
      </c>
      <c r="BR5" t="s">
        <v>664</v>
      </c>
      <c r="BS5" t="s">
        <v>665</v>
      </c>
      <c r="BT5" t="s">
        <v>666</v>
      </c>
    </row>
    <row r="6" spans="2:72" ht="52.5" customHeight="1" x14ac:dyDescent="0.25">
      <c r="B6" s="1711" t="s">
        <v>669</v>
      </c>
      <c r="C6" s="1773" t="s">
        <v>668</v>
      </c>
      <c r="D6" s="1711" t="s">
        <v>669</v>
      </c>
      <c r="E6" s="1712" t="s">
        <v>668</v>
      </c>
      <c r="F6" s="2175"/>
      <c r="G6" s="2178"/>
      <c r="H6" s="2180"/>
      <c r="I6" s="2180"/>
      <c r="J6" s="2180"/>
      <c r="K6" s="2182"/>
      <c r="L6" s="2184"/>
      <c r="M6" s="2172"/>
      <c r="N6" s="2172"/>
      <c r="O6" s="2172"/>
      <c r="P6" s="2186"/>
      <c r="Q6" s="2178"/>
      <c r="R6" s="2180"/>
      <c r="S6" s="2180"/>
      <c r="T6" s="2182"/>
      <c r="U6" s="2184"/>
      <c r="V6" s="2172"/>
      <c r="W6" s="2172"/>
      <c r="X6" s="2172"/>
      <c r="Y6" s="2186"/>
      <c r="Z6" s="2178"/>
      <c r="AA6" s="2180"/>
      <c r="AB6" s="2180"/>
      <c r="AC6" s="2180"/>
      <c r="AD6" s="2180"/>
      <c r="AE6" s="2180"/>
      <c r="AF6" s="1769" t="s">
        <v>397</v>
      </c>
      <c r="AG6" s="1770" t="s">
        <v>394</v>
      </c>
      <c r="AH6" s="1771" t="s">
        <v>395</v>
      </c>
      <c r="AI6" s="1772" t="s">
        <v>396</v>
      </c>
      <c r="AJ6" s="2184"/>
      <c r="AK6" s="2172"/>
      <c r="AL6" s="2172"/>
      <c r="AM6" s="1710" t="s">
        <v>660</v>
      </c>
      <c r="AN6" s="1710" t="s">
        <v>661</v>
      </c>
      <c r="AO6" s="2172"/>
      <c r="AP6" s="2172"/>
      <c r="AQ6" s="2188"/>
      <c r="AS6" t="s">
        <v>447</v>
      </c>
      <c r="AT6" t="s">
        <v>677</v>
      </c>
      <c r="AU6" t="s">
        <v>678</v>
      </c>
      <c r="AV6" s="1717" t="s">
        <v>679</v>
      </c>
      <c r="AW6" s="1717" t="s">
        <v>684</v>
      </c>
      <c r="AX6" s="1717" t="s">
        <v>685</v>
      </c>
      <c r="AY6" s="1717" t="s">
        <v>686</v>
      </c>
      <c r="AZ6" t="s">
        <v>638</v>
      </c>
      <c r="BA6" t="s">
        <v>639</v>
      </c>
      <c r="BB6" t="s">
        <v>637</v>
      </c>
      <c r="BD6" t="s">
        <v>672</v>
      </c>
      <c r="BE6" s="1718" t="s">
        <v>671</v>
      </c>
      <c r="BF6" s="1718" t="s">
        <v>670</v>
      </c>
      <c r="BG6" s="1718" t="s">
        <v>662</v>
      </c>
      <c r="BH6" s="1718" t="s">
        <v>663</v>
      </c>
      <c r="BI6" s="1718" t="s">
        <v>663</v>
      </c>
      <c r="BJ6" s="1718" t="s">
        <v>663</v>
      </c>
      <c r="BK6" s="162"/>
      <c r="BL6" s="1718" t="s">
        <v>674</v>
      </c>
      <c r="BM6" s="1718" t="s">
        <v>675</v>
      </c>
      <c r="BN6" s="1718" t="s">
        <v>662</v>
      </c>
      <c r="BO6" s="1718" t="s">
        <v>676</v>
      </c>
      <c r="BP6" s="1718" t="s">
        <v>676</v>
      </c>
      <c r="BQ6" s="1718" t="s">
        <v>676</v>
      </c>
      <c r="BR6" s="1718" t="s">
        <v>676</v>
      </c>
      <c r="BS6" s="1718" t="s">
        <v>676</v>
      </c>
      <c r="BT6" s="1718" t="s">
        <v>676</v>
      </c>
    </row>
    <row r="7" spans="2:72" ht="14.25" customHeight="1" x14ac:dyDescent="0.25">
      <c r="B7" s="1528">
        <v>4</v>
      </c>
      <c r="C7" s="1775">
        <v>5</v>
      </c>
      <c r="D7" s="1779">
        <v>4</v>
      </c>
      <c r="E7" s="1538">
        <v>5.125</v>
      </c>
      <c r="F7" s="1775">
        <v>0.1875</v>
      </c>
      <c r="G7" s="1528" t="s">
        <v>305</v>
      </c>
      <c r="H7" s="1531">
        <v>0.625</v>
      </c>
      <c r="I7" s="1529">
        <v>65</v>
      </c>
      <c r="J7" s="1532">
        <v>1.875</v>
      </c>
      <c r="K7" s="1533">
        <f>P7+0.125</f>
        <v>7.125</v>
      </c>
      <c r="L7" s="1534" t="s">
        <v>332</v>
      </c>
      <c r="M7" s="1529" t="s">
        <v>333</v>
      </c>
      <c r="N7" s="1535">
        <f t="shared" ref="N7:N34" si="0">H7</f>
        <v>0.625</v>
      </c>
      <c r="O7" s="1536">
        <f t="shared" ref="O7:O34" si="1">I7</f>
        <v>65</v>
      </c>
      <c r="P7" s="1537">
        <v>7</v>
      </c>
      <c r="Q7" s="1528">
        <v>9</v>
      </c>
      <c r="R7" s="1532">
        <f t="shared" ref="R7:R34" si="2">(INT(Z7/4)-1)*AB7+AA7</f>
        <v>3</v>
      </c>
      <c r="S7" s="1532">
        <f>Q7/2-R7</f>
        <v>1.5</v>
      </c>
      <c r="T7" s="1538">
        <f t="shared" ref="T7:T33" si="3">CEILING(1.3*AD7,0.25)</f>
        <v>1.5</v>
      </c>
      <c r="U7" s="1539"/>
      <c r="V7" s="1535"/>
      <c r="W7" s="1540"/>
      <c r="X7" s="1532"/>
      <c r="Y7" s="1541"/>
      <c r="Z7" s="1689">
        <v>4</v>
      </c>
      <c r="AA7" s="1690">
        <v>3</v>
      </c>
      <c r="AB7" s="1691">
        <v>6</v>
      </c>
      <c r="AC7" s="1692" t="s">
        <v>47</v>
      </c>
      <c r="AD7" s="1693">
        <v>1</v>
      </c>
      <c r="AE7" s="1694">
        <f>AD7+0.125</f>
        <v>1.125</v>
      </c>
      <c r="AF7" s="1695">
        <f t="shared" ref="AF7:AF34" si="4">CEILING(H7+N7+AD7+0.5,0.25)</f>
        <v>2.75</v>
      </c>
      <c r="AG7" s="1696" t="s">
        <v>412</v>
      </c>
      <c r="AH7" s="1697" t="s">
        <v>413</v>
      </c>
      <c r="AI7" s="1698" t="s">
        <v>413</v>
      </c>
      <c r="AJ7" s="1699">
        <f t="shared" ref="AJ7:AJ34" si="5">MAX(J7+2*T7+0.5,W7+2*T7+0.5)</f>
        <v>5.375</v>
      </c>
      <c r="AK7" s="1701">
        <f t="shared" ref="AK7:AK34" si="6">MAX(J7+T7+0.5,W7+T7+0.5)+H7</f>
        <v>4.5</v>
      </c>
      <c r="AL7" s="1719"/>
      <c r="AM7" s="1743">
        <v>1</v>
      </c>
      <c r="AN7" s="1702">
        <f>D7-2*F7-AM7-2*$BH$4</f>
        <v>2</v>
      </c>
      <c r="AO7" s="1703" t="str">
        <f t="shared" ref="AO7:AO34" si="7" xml:space="preserve"> "PL "&amp;TRIM(TEXT(H7,"# ?/?"))&amp;" x " &amp;TRIM(TEXT(Q7,"# ?/?"))&amp; " x " &amp;TRIM(TEXT(AS7,"# ?/?"))</f>
        <v>PL 5/8 x 9 x 17 1/4</v>
      </c>
      <c r="AP7" s="1704">
        <f>AV7+AX7</f>
        <v>27.518062500000003</v>
      </c>
      <c r="AQ7" s="1705">
        <f>(AW7+AY7)*1.06</f>
        <v>28.126971729119877</v>
      </c>
      <c r="AS7" s="925">
        <f t="shared" ref="AS7:AS34" si="8">CEILING(2*AJ7+K7 - 4*J7+(J7+$AS$5*H7)*PI(),0.125)</f>
        <v>17.25</v>
      </c>
      <c r="AT7" s="925">
        <f>Z7*(AD7+0.125)^2*PI()/4</f>
        <v>3.9760782021995817</v>
      </c>
      <c r="AU7" s="925">
        <f>(AL7^2+2*AM7^2)*PI()/4</f>
        <v>1.5707963267948966</v>
      </c>
      <c r="AV7">
        <f t="shared" ref="AV7:AV34" si="9">H7*Q7*AS7*0.2836</f>
        <v>27.518062500000003</v>
      </c>
      <c r="AW7">
        <f>H7*(Q7*AS7-AT7-AU7)*0.2836</f>
        <v>26.534878989735731</v>
      </c>
      <c r="AX7">
        <f>2*V7*(W7*P7-J7^2*(2-PI()/2))*0.2836</f>
        <v>0</v>
      </c>
      <c r="AY7">
        <f>2*V7*((W7+0.5)*P7-J7^2*(2-PI()/2)-2.5708)*0.2836</f>
        <v>0</v>
      </c>
      <c r="AZ7">
        <f t="shared" ref="AZ7:AZ34" si="10">(E7-2*F7-(K7-2*J7))/2</f>
        <v>0.6875</v>
      </c>
      <c r="BA7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768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543">
        <v>5</v>
      </c>
      <c r="C8" s="1774">
        <v>6</v>
      </c>
      <c r="D8" s="1778">
        <v>5.25</v>
      </c>
      <c r="E8" s="1553">
        <v>6</v>
      </c>
      <c r="F8" s="1774">
        <v>0.3125</v>
      </c>
      <c r="G8" s="1543" t="s">
        <v>306</v>
      </c>
      <c r="H8" s="1546">
        <v>0.625</v>
      </c>
      <c r="I8" s="1544">
        <v>65</v>
      </c>
      <c r="J8" s="1547">
        <v>1.875</v>
      </c>
      <c r="K8" s="1548">
        <f t="shared" ref="K8:K34" si="20">P8+0.125</f>
        <v>8.125</v>
      </c>
      <c r="L8" s="1549" t="s">
        <v>334</v>
      </c>
      <c r="M8" s="1544" t="s">
        <v>360</v>
      </c>
      <c r="N8" s="1550">
        <f t="shared" si="0"/>
        <v>0.625</v>
      </c>
      <c r="O8" s="1551">
        <f t="shared" si="1"/>
        <v>65</v>
      </c>
      <c r="P8" s="1552">
        <v>8</v>
      </c>
      <c r="Q8" s="1543">
        <v>12</v>
      </c>
      <c r="R8" s="1547">
        <f t="shared" si="2"/>
        <v>4.5</v>
      </c>
      <c r="S8" s="1547">
        <f t="shared" ref="S8:S34" si="21">Q8/2-R8</f>
        <v>1.5</v>
      </c>
      <c r="T8" s="1553">
        <f t="shared" si="3"/>
        <v>1.5</v>
      </c>
      <c r="U8" s="1554"/>
      <c r="V8" s="1550"/>
      <c r="W8" s="1555"/>
      <c r="X8" s="1547"/>
      <c r="Y8" s="1556"/>
      <c r="Z8" s="1606">
        <v>6</v>
      </c>
      <c r="AA8" s="1607">
        <v>4.5</v>
      </c>
      <c r="AB8" s="1608">
        <v>4.5</v>
      </c>
      <c r="AC8" s="1609" t="s">
        <v>47</v>
      </c>
      <c r="AD8" s="1610">
        <v>1</v>
      </c>
      <c r="AE8" s="1611">
        <f t="shared" ref="AE8:AE34" si="22">AD8+0.125</f>
        <v>1.125</v>
      </c>
      <c r="AF8" s="1612">
        <f t="shared" si="4"/>
        <v>2.75</v>
      </c>
      <c r="AG8" s="1613" t="s">
        <v>412</v>
      </c>
      <c r="AH8" s="1614" t="s">
        <v>413</v>
      </c>
      <c r="AI8" s="1615" t="s">
        <v>413</v>
      </c>
      <c r="AJ8" s="1616">
        <f t="shared" si="5"/>
        <v>5.375</v>
      </c>
      <c r="AK8" s="1618">
        <f t="shared" si="6"/>
        <v>4.5</v>
      </c>
      <c r="AL8" s="1720">
        <v>1.25</v>
      </c>
      <c r="AM8" s="1744">
        <v>1</v>
      </c>
      <c r="AN8" s="1619">
        <f t="shared" ref="AN8:AN34" si="23">D8-2*F8-AM8-2*$BH$4</f>
        <v>3</v>
      </c>
      <c r="AO8" s="1620" t="str">
        <f t="shared" si="7"/>
        <v>PL 5/8 x 12 x 18 1/4</v>
      </c>
      <c r="AP8" s="1621">
        <f t="shared" ref="AP8:AP34" si="24">AV8+AX8</f>
        <v>38.817750000000004</v>
      </c>
      <c r="AQ8" s="1622">
        <f t="shared" ref="AQ8:AQ34" si="25">(AW8+AY8)*1.06</f>
        <v>39.500548168344231</v>
      </c>
      <c r="AS8" s="925">
        <f t="shared" si="8"/>
        <v>18.25</v>
      </c>
      <c r="AT8" s="925">
        <f t="shared" ref="AT8:AT34" si="26">Z8*(AD8+0.125)^2*PI()/4</f>
        <v>5.9641173032993731</v>
      </c>
      <c r="AU8" s="925">
        <f t="shared" ref="AU8:AU34" si="27">(AL8^2+2*AM8^2)*PI()/4</f>
        <v>2.7979809571034093</v>
      </c>
      <c r="AV8">
        <f t="shared" si="9"/>
        <v>38.817750000000004</v>
      </c>
      <c r="AW8">
        <f t="shared" ref="AW8:AW34" si="28">H8*(Q8*AS8-AT8-AU8)*0.2836</f>
        <v>37.264668083343615</v>
      </c>
      <c r="AX8">
        <f t="shared" ref="AX8:AX14" si="29">2*V8*(W8*P8-J8^2*(2-PI()/2))*0.2836</f>
        <v>0</v>
      </c>
      <c r="AY8">
        <f t="shared" ref="AY8:AY34" si="30">2*V8*((W8+0.5)*P8-J8^2*(2-PI()/2)-2.5708)*0.2836</f>
        <v>0</v>
      </c>
      <c r="AZ8">
        <f t="shared" si="10"/>
        <v>0.5</v>
      </c>
      <c r="BA8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768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28">
        <v>6.25</v>
      </c>
      <c r="C9" s="1775">
        <v>7.5</v>
      </c>
      <c r="D9" s="1779">
        <v>6.75</v>
      </c>
      <c r="E9" s="1538">
        <v>7.625</v>
      </c>
      <c r="F9" s="1775">
        <v>0.1875</v>
      </c>
      <c r="G9" s="1528" t="s">
        <v>307</v>
      </c>
      <c r="H9" s="1531">
        <v>0.75</v>
      </c>
      <c r="I9" s="1529">
        <v>65</v>
      </c>
      <c r="J9" s="1532">
        <f t="shared" ref="J9:J34" si="39">3*H9</f>
        <v>2.25</v>
      </c>
      <c r="K9" s="1533">
        <f t="shared" si="20"/>
        <v>10.125</v>
      </c>
      <c r="L9" s="1534" t="s">
        <v>335</v>
      </c>
      <c r="M9" s="1529" t="s">
        <v>361</v>
      </c>
      <c r="N9" s="1535">
        <f t="shared" si="0"/>
        <v>0.75</v>
      </c>
      <c r="O9" s="1536">
        <f t="shared" si="1"/>
        <v>65</v>
      </c>
      <c r="P9" s="1537">
        <v>10</v>
      </c>
      <c r="Q9" s="1528">
        <v>12</v>
      </c>
      <c r="R9" s="1532">
        <f t="shared" si="2"/>
        <v>4.5</v>
      </c>
      <c r="S9" s="1532">
        <f t="shared" si="21"/>
        <v>1.5</v>
      </c>
      <c r="T9" s="1538">
        <f t="shared" si="3"/>
        <v>1.5</v>
      </c>
      <c r="U9" s="1539"/>
      <c r="V9" s="1535"/>
      <c r="W9" s="1540"/>
      <c r="X9" s="1532"/>
      <c r="Y9" s="1541"/>
      <c r="Z9" s="1672">
        <v>4</v>
      </c>
      <c r="AA9" s="1673">
        <v>4.5</v>
      </c>
      <c r="AB9" s="1674">
        <v>9</v>
      </c>
      <c r="AC9" s="1675" t="s">
        <v>47</v>
      </c>
      <c r="AD9" s="1676">
        <v>1</v>
      </c>
      <c r="AE9" s="1677">
        <f t="shared" si="22"/>
        <v>1.125</v>
      </c>
      <c r="AF9" s="1678">
        <f t="shared" si="4"/>
        <v>3</v>
      </c>
      <c r="AG9" s="1679" t="s">
        <v>412</v>
      </c>
      <c r="AH9" s="1680" t="s">
        <v>413</v>
      </c>
      <c r="AI9" s="1681" t="s">
        <v>413</v>
      </c>
      <c r="AJ9" s="1682">
        <f t="shared" si="5"/>
        <v>5.75</v>
      </c>
      <c r="AK9" s="1684">
        <f t="shared" si="6"/>
        <v>5</v>
      </c>
      <c r="AL9" s="1721">
        <v>1.5</v>
      </c>
      <c r="AM9" s="1745">
        <v>1</v>
      </c>
      <c r="AN9" s="1685">
        <f t="shared" si="23"/>
        <v>4.75</v>
      </c>
      <c r="AO9" s="1686" t="str">
        <f t="shared" si="7"/>
        <v>PL 3/4 x 12 x 20 7/8</v>
      </c>
      <c r="AP9" s="1687">
        <f t="shared" si="24"/>
        <v>53.281350000000003</v>
      </c>
      <c r="AQ9" s="1688">
        <f t="shared" si="25"/>
        <v>54.829197333333042</v>
      </c>
      <c r="AS9" s="925">
        <f t="shared" si="8"/>
        <v>20.875</v>
      </c>
      <c r="AT9" s="925">
        <f t="shared" si="26"/>
        <v>3.9760782021995817</v>
      </c>
      <c r="AU9" s="925">
        <f t="shared" si="27"/>
        <v>3.3379421944391554</v>
      </c>
      <c r="AV9">
        <f t="shared" si="9"/>
        <v>53.281350000000003</v>
      </c>
      <c r="AW9">
        <f t="shared" si="28"/>
        <v>51.725657861634943</v>
      </c>
      <c r="AX9">
        <f t="shared" si="29"/>
        <v>0</v>
      </c>
      <c r="AY9">
        <f t="shared" si="30"/>
        <v>0</v>
      </c>
      <c r="AZ9">
        <f t="shared" si="10"/>
        <v>0.8125</v>
      </c>
      <c r="BA9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768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543">
        <v>6.25</v>
      </c>
      <c r="C10" s="1774">
        <v>7.75</v>
      </c>
      <c r="D10" s="1778">
        <v>7</v>
      </c>
      <c r="E10" s="1553">
        <v>7.75</v>
      </c>
      <c r="F10" s="1774">
        <v>0.3125</v>
      </c>
      <c r="G10" s="1543" t="s">
        <v>308</v>
      </c>
      <c r="H10" s="1546">
        <v>0.75</v>
      </c>
      <c r="I10" s="1544">
        <v>65</v>
      </c>
      <c r="J10" s="1547">
        <f t="shared" si="39"/>
        <v>2.25</v>
      </c>
      <c r="K10" s="1548">
        <f t="shared" si="20"/>
        <v>10.125</v>
      </c>
      <c r="L10" s="1549" t="s">
        <v>336</v>
      </c>
      <c r="M10" s="1544" t="s">
        <v>362</v>
      </c>
      <c r="N10" s="1550">
        <f t="shared" si="0"/>
        <v>0.75</v>
      </c>
      <c r="O10" s="1551">
        <f t="shared" si="1"/>
        <v>65</v>
      </c>
      <c r="P10" s="1552">
        <v>10</v>
      </c>
      <c r="Q10" s="1543">
        <v>15</v>
      </c>
      <c r="R10" s="1547">
        <f t="shared" si="2"/>
        <v>6</v>
      </c>
      <c r="S10" s="1547">
        <f t="shared" si="21"/>
        <v>1.5</v>
      </c>
      <c r="T10" s="1553">
        <f t="shared" si="3"/>
        <v>1.5</v>
      </c>
      <c r="U10" s="1554"/>
      <c r="V10" s="1550"/>
      <c r="W10" s="1555"/>
      <c r="X10" s="1547"/>
      <c r="Y10" s="1556"/>
      <c r="Z10" s="1590">
        <v>8</v>
      </c>
      <c r="AA10" s="1591">
        <v>3</v>
      </c>
      <c r="AB10" s="1592">
        <v>3</v>
      </c>
      <c r="AC10" s="1593" t="s">
        <v>47</v>
      </c>
      <c r="AD10" s="1594">
        <v>1</v>
      </c>
      <c r="AE10" s="1595">
        <f t="shared" si="22"/>
        <v>1.125</v>
      </c>
      <c r="AF10" s="1596">
        <f t="shared" si="4"/>
        <v>3</v>
      </c>
      <c r="AG10" s="1597" t="s">
        <v>412</v>
      </c>
      <c r="AH10" s="1598" t="s">
        <v>413</v>
      </c>
      <c r="AI10" s="1599" t="s">
        <v>413</v>
      </c>
      <c r="AJ10" s="1600">
        <f t="shared" si="5"/>
        <v>5.75</v>
      </c>
      <c r="AK10" s="1602">
        <f t="shared" si="6"/>
        <v>5</v>
      </c>
      <c r="AL10" s="1722">
        <v>2</v>
      </c>
      <c r="AM10" s="1746">
        <v>1</v>
      </c>
      <c r="AN10" s="1603">
        <f t="shared" si="23"/>
        <v>4.75</v>
      </c>
      <c r="AO10" s="1604" t="str">
        <f t="shared" si="7"/>
        <v>PL 3/4 x 15 x 20 7/8</v>
      </c>
      <c r="AP10" s="1557">
        <f t="shared" si="24"/>
        <v>66.601687500000011</v>
      </c>
      <c r="AQ10" s="1605">
        <f t="shared" si="25"/>
        <v>67.742415018455873</v>
      </c>
      <c r="AS10" s="925">
        <f t="shared" si="8"/>
        <v>20.875</v>
      </c>
      <c r="AT10" s="925">
        <f t="shared" si="26"/>
        <v>7.9521564043991635</v>
      </c>
      <c r="AU10" s="925">
        <f t="shared" si="27"/>
        <v>4.7123889803846897</v>
      </c>
      <c r="AV10">
        <f t="shared" si="9"/>
        <v>66.601687500000011</v>
      </c>
      <c r="AW10">
        <f t="shared" si="28"/>
        <v>63.907938696656487</v>
      </c>
      <c r="AX10">
        <f t="shared" si="29"/>
        <v>0</v>
      </c>
      <c r="AY10">
        <f t="shared" si="30"/>
        <v>0</v>
      </c>
      <c r="AZ10">
        <f t="shared" si="10"/>
        <v>0.75</v>
      </c>
      <c r="BA10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768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28">
        <v>7.75</v>
      </c>
      <c r="C11" s="1775">
        <v>9</v>
      </c>
      <c r="D11" s="1779">
        <v>8.5</v>
      </c>
      <c r="E11" s="1538">
        <v>9.5</v>
      </c>
      <c r="F11" s="1775">
        <v>0.1875</v>
      </c>
      <c r="G11" s="1528" t="s">
        <v>309</v>
      </c>
      <c r="H11" s="1531">
        <v>0.75</v>
      </c>
      <c r="I11" s="1529">
        <v>65</v>
      </c>
      <c r="J11" s="1532">
        <f t="shared" si="39"/>
        <v>2.25</v>
      </c>
      <c r="K11" s="1533">
        <f t="shared" si="20"/>
        <v>12.125</v>
      </c>
      <c r="L11" s="1534" t="s">
        <v>337</v>
      </c>
      <c r="M11" s="1529" t="s">
        <v>363</v>
      </c>
      <c r="N11" s="1535">
        <f t="shared" si="0"/>
        <v>0.75</v>
      </c>
      <c r="O11" s="1536">
        <f t="shared" si="1"/>
        <v>65</v>
      </c>
      <c r="P11" s="1537">
        <v>12</v>
      </c>
      <c r="Q11" s="1528">
        <v>15</v>
      </c>
      <c r="R11" s="1532">
        <f t="shared" si="2"/>
        <v>6</v>
      </c>
      <c r="S11" s="1532">
        <f t="shared" si="21"/>
        <v>1.5</v>
      </c>
      <c r="T11" s="1538">
        <f t="shared" si="3"/>
        <v>1.5</v>
      </c>
      <c r="U11" s="1539"/>
      <c r="V11" s="1535"/>
      <c r="W11" s="1540"/>
      <c r="X11" s="1532"/>
      <c r="Y11" s="1541"/>
      <c r="Z11" s="1656">
        <v>8</v>
      </c>
      <c r="AA11" s="1657">
        <v>3</v>
      </c>
      <c r="AB11" s="1658">
        <v>3</v>
      </c>
      <c r="AC11" s="1659" t="s">
        <v>47</v>
      </c>
      <c r="AD11" s="1660">
        <v>1</v>
      </c>
      <c r="AE11" s="1661">
        <f t="shared" si="22"/>
        <v>1.125</v>
      </c>
      <c r="AF11" s="1662">
        <f t="shared" si="4"/>
        <v>3</v>
      </c>
      <c r="AG11" s="1663" t="s">
        <v>412</v>
      </c>
      <c r="AH11" s="1664" t="s">
        <v>413</v>
      </c>
      <c r="AI11" s="1665" t="s">
        <v>413</v>
      </c>
      <c r="AJ11" s="1666">
        <f t="shared" si="5"/>
        <v>5.75</v>
      </c>
      <c r="AK11" s="1668">
        <f t="shared" si="6"/>
        <v>5</v>
      </c>
      <c r="AL11" s="1723">
        <v>3.5</v>
      </c>
      <c r="AM11" s="1747">
        <v>1</v>
      </c>
      <c r="AN11" s="1669">
        <f t="shared" si="23"/>
        <v>6.5</v>
      </c>
      <c r="AO11" s="1670" t="str">
        <f t="shared" si="7"/>
        <v>PL 3/4 x 15 x 22 7/8</v>
      </c>
      <c r="AP11" s="1542">
        <f t="shared" si="24"/>
        <v>72.982687500000011</v>
      </c>
      <c r="AQ11" s="1671">
        <f t="shared" si="25"/>
        <v>73.045386132549581</v>
      </c>
      <c r="AS11" s="925">
        <f t="shared" si="8"/>
        <v>22.875</v>
      </c>
      <c r="AT11" s="925">
        <f t="shared" si="26"/>
        <v>7.9521564043991635</v>
      </c>
      <c r="AU11" s="925">
        <f t="shared" si="27"/>
        <v>11.191923828413637</v>
      </c>
      <c r="AV11">
        <f t="shared" si="9"/>
        <v>72.982687500000011</v>
      </c>
      <c r="AW11">
        <f t="shared" si="28"/>
        <v>68.910741634480729</v>
      </c>
      <c r="AX11">
        <f t="shared" si="29"/>
        <v>0</v>
      </c>
      <c r="AY11">
        <f t="shared" si="30"/>
        <v>0</v>
      </c>
      <c r="AZ11">
        <f t="shared" si="10"/>
        <v>0.75</v>
      </c>
      <c r="BA11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768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543">
        <v>8</v>
      </c>
      <c r="C12" s="1774">
        <v>9.5</v>
      </c>
      <c r="D12" s="1778">
        <v>9</v>
      </c>
      <c r="E12" s="1553">
        <v>9.75</v>
      </c>
      <c r="F12" s="1774">
        <v>0.3125</v>
      </c>
      <c r="G12" s="1543" t="s">
        <v>310</v>
      </c>
      <c r="H12" s="1546">
        <v>0.75</v>
      </c>
      <c r="I12" s="1544">
        <v>65</v>
      </c>
      <c r="J12" s="1547">
        <f t="shared" si="39"/>
        <v>2.25</v>
      </c>
      <c r="K12" s="1548">
        <f t="shared" si="20"/>
        <v>12.125</v>
      </c>
      <c r="L12" s="1549" t="s">
        <v>338</v>
      </c>
      <c r="M12" s="1544" t="s">
        <v>364</v>
      </c>
      <c r="N12" s="1550">
        <f t="shared" si="0"/>
        <v>0.75</v>
      </c>
      <c r="O12" s="1551">
        <f t="shared" si="1"/>
        <v>65</v>
      </c>
      <c r="P12" s="1552">
        <v>12</v>
      </c>
      <c r="Q12" s="1543">
        <v>18</v>
      </c>
      <c r="R12" s="1547">
        <f t="shared" si="2"/>
        <v>7.5</v>
      </c>
      <c r="S12" s="1547">
        <f t="shared" si="21"/>
        <v>1.5</v>
      </c>
      <c r="T12" s="1553">
        <f t="shared" si="3"/>
        <v>1.5</v>
      </c>
      <c r="U12" s="1554"/>
      <c r="V12" s="1550"/>
      <c r="W12" s="1555"/>
      <c r="X12" s="1547"/>
      <c r="Y12" s="1556"/>
      <c r="Z12" s="1558">
        <v>8</v>
      </c>
      <c r="AA12" s="1559">
        <v>4.5</v>
      </c>
      <c r="AB12" s="1560">
        <v>3</v>
      </c>
      <c r="AC12" s="1561" t="s">
        <v>47</v>
      </c>
      <c r="AD12" s="1562">
        <v>1</v>
      </c>
      <c r="AE12" s="1563">
        <f t="shared" si="22"/>
        <v>1.125</v>
      </c>
      <c r="AF12" s="1564">
        <f t="shared" si="4"/>
        <v>3</v>
      </c>
      <c r="AG12" s="1565" t="s">
        <v>412</v>
      </c>
      <c r="AH12" s="1566" t="s">
        <v>413</v>
      </c>
      <c r="AI12" s="1567" t="s">
        <v>413</v>
      </c>
      <c r="AJ12" s="1568">
        <f t="shared" si="5"/>
        <v>5.75</v>
      </c>
      <c r="AK12" s="1570">
        <f t="shared" si="6"/>
        <v>5</v>
      </c>
      <c r="AL12" s="1724">
        <v>4</v>
      </c>
      <c r="AM12" s="1748">
        <v>1</v>
      </c>
      <c r="AN12" s="1571">
        <f t="shared" si="23"/>
        <v>6.75</v>
      </c>
      <c r="AO12" s="1572" t="str">
        <f t="shared" si="7"/>
        <v>PL 3/4 x 18 x 22 7/8</v>
      </c>
      <c r="AP12" s="1557">
        <f t="shared" si="24"/>
        <v>87.579225000000008</v>
      </c>
      <c r="AQ12" s="1573">
        <f t="shared" si="25"/>
        <v>87.853675479864876</v>
      </c>
      <c r="AS12" s="925">
        <f t="shared" si="8"/>
        <v>22.875</v>
      </c>
      <c r="AT12" s="925">
        <f t="shared" si="26"/>
        <v>7.9521564043991635</v>
      </c>
      <c r="AU12" s="925">
        <f t="shared" si="27"/>
        <v>14.137166941154069</v>
      </c>
      <c r="AV12">
        <f t="shared" si="9"/>
        <v>87.579225000000008</v>
      </c>
      <c r="AW12">
        <f t="shared" si="28"/>
        <v>82.880825924400824</v>
      </c>
      <c r="AX12">
        <f t="shared" si="29"/>
        <v>0</v>
      </c>
      <c r="AY12">
        <f t="shared" si="30"/>
        <v>0</v>
      </c>
      <c r="AZ12">
        <f t="shared" si="10"/>
        <v>0.75</v>
      </c>
      <c r="BA12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768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ht="14.25" customHeight="1" x14ac:dyDescent="0.25">
      <c r="B13" s="1528">
        <v>9.75</v>
      </c>
      <c r="C13" s="1775">
        <v>11</v>
      </c>
      <c r="D13" s="1779">
        <v>10.75</v>
      </c>
      <c r="E13" s="1538">
        <v>11.5</v>
      </c>
      <c r="F13" s="1775">
        <v>0.25</v>
      </c>
      <c r="G13" s="1528" t="s">
        <v>311</v>
      </c>
      <c r="H13" s="1531">
        <v>0.75</v>
      </c>
      <c r="I13" s="1529">
        <v>65</v>
      </c>
      <c r="J13" s="1532">
        <f t="shared" si="39"/>
        <v>2.25</v>
      </c>
      <c r="K13" s="1533">
        <f t="shared" si="20"/>
        <v>14.125</v>
      </c>
      <c r="L13" s="1534" t="s">
        <v>339</v>
      </c>
      <c r="M13" s="1529" t="s">
        <v>365</v>
      </c>
      <c r="N13" s="1535">
        <f t="shared" si="0"/>
        <v>0.75</v>
      </c>
      <c r="O13" s="1536">
        <f t="shared" si="1"/>
        <v>65</v>
      </c>
      <c r="P13" s="1537">
        <v>14</v>
      </c>
      <c r="Q13" s="1528">
        <v>21</v>
      </c>
      <c r="R13" s="1532">
        <f t="shared" si="2"/>
        <v>9</v>
      </c>
      <c r="S13" s="1532">
        <f t="shared" si="21"/>
        <v>1.5</v>
      </c>
      <c r="T13" s="1538">
        <f t="shared" si="3"/>
        <v>1.5</v>
      </c>
      <c r="U13" s="1539"/>
      <c r="V13" s="1535"/>
      <c r="W13" s="1540"/>
      <c r="X13" s="1532"/>
      <c r="Y13" s="1541"/>
      <c r="Z13" s="1656">
        <v>12</v>
      </c>
      <c r="AA13" s="1657">
        <v>3</v>
      </c>
      <c r="AB13" s="1658">
        <v>3</v>
      </c>
      <c r="AC13" s="1659" t="s">
        <v>47</v>
      </c>
      <c r="AD13" s="1660">
        <v>1</v>
      </c>
      <c r="AE13" s="1661">
        <f t="shared" si="22"/>
        <v>1.125</v>
      </c>
      <c r="AF13" s="1662">
        <f t="shared" si="4"/>
        <v>3</v>
      </c>
      <c r="AG13" s="1663" t="s">
        <v>412</v>
      </c>
      <c r="AH13" s="1664" t="s">
        <v>413</v>
      </c>
      <c r="AI13" s="1665" t="s">
        <v>413</v>
      </c>
      <c r="AJ13" s="1666">
        <f t="shared" si="5"/>
        <v>5.75</v>
      </c>
      <c r="AK13" s="1668">
        <f t="shared" si="6"/>
        <v>5</v>
      </c>
      <c r="AL13" s="1723">
        <v>4.5</v>
      </c>
      <c r="AM13" s="1747">
        <v>1</v>
      </c>
      <c r="AN13" s="1669">
        <f t="shared" si="23"/>
        <v>8.625</v>
      </c>
      <c r="AO13" s="1670" t="str">
        <f t="shared" si="7"/>
        <v>PL 3/4 x 21 x 24 7/8</v>
      </c>
      <c r="AP13" s="1542">
        <f t="shared" si="24"/>
        <v>111.10916250000001</v>
      </c>
      <c r="AQ13" s="1671">
        <f t="shared" si="25"/>
        <v>111.14637556319794</v>
      </c>
      <c r="AS13" s="925">
        <f t="shared" si="8"/>
        <v>24.875</v>
      </c>
      <c r="AT13" s="925">
        <f t="shared" si="26"/>
        <v>11.928234606598746</v>
      </c>
      <c r="AU13" s="925">
        <f t="shared" si="27"/>
        <v>17.475109135593225</v>
      </c>
      <c r="AV13">
        <f t="shared" si="9"/>
        <v>111.10916250000001</v>
      </c>
      <c r="AW13">
        <f t="shared" si="28"/>
        <v>104.85507128603578</v>
      </c>
      <c r="AX13">
        <f t="shared" si="29"/>
        <v>0</v>
      </c>
      <c r="AY13">
        <f t="shared" si="30"/>
        <v>0</v>
      </c>
      <c r="AZ13">
        <f t="shared" si="10"/>
        <v>0.6875</v>
      </c>
      <c r="BA13">
        <f t="shared" si="11"/>
        <v>3</v>
      </c>
      <c r="BB13">
        <f t="shared" si="31"/>
        <v>7.983840344408355E-2</v>
      </c>
      <c r="BD13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768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543">
        <v>10</v>
      </c>
      <c r="C14" s="1774">
        <v>11.25</v>
      </c>
      <c r="D14" s="1778">
        <v>11</v>
      </c>
      <c r="E14" s="1553">
        <v>11.75</v>
      </c>
      <c r="F14" s="1774">
        <v>0.3125</v>
      </c>
      <c r="G14" s="1543" t="s">
        <v>312</v>
      </c>
      <c r="H14" s="1546">
        <v>0.75</v>
      </c>
      <c r="I14" s="1544">
        <v>65</v>
      </c>
      <c r="J14" s="1547">
        <f t="shared" si="39"/>
        <v>2.25</v>
      </c>
      <c r="K14" s="1548">
        <f t="shared" si="20"/>
        <v>14.125</v>
      </c>
      <c r="L14" s="1549" t="s">
        <v>340</v>
      </c>
      <c r="M14" s="1544" t="s">
        <v>366</v>
      </c>
      <c r="N14" s="1550">
        <f t="shared" si="0"/>
        <v>0.75</v>
      </c>
      <c r="O14" s="1551">
        <f t="shared" si="1"/>
        <v>65</v>
      </c>
      <c r="P14" s="1552">
        <v>14</v>
      </c>
      <c r="Q14" s="1543">
        <v>24</v>
      </c>
      <c r="R14" s="1547">
        <f t="shared" si="2"/>
        <v>10.5</v>
      </c>
      <c r="S14" s="1547">
        <f t="shared" si="21"/>
        <v>1.5</v>
      </c>
      <c r="T14" s="1553">
        <f t="shared" si="3"/>
        <v>1.5</v>
      </c>
      <c r="U14" s="1554"/>
      <c r="V14" s="1550"/>
      <c r="W14" s="1555"/>
      <c r="X14" s="1547"/>
      <c r="Y14" s="1556"/>
      <c r="Z14" s="1558">
        <v>12</v>
      </c>
      <c r="AA14" s="1559">
        <v>4.5</v>
      </c>
      <c r="AB14" s="1560">
        <v>3</v>
      </c>
      <c r="AC14" s="1561" t="s">
        <v>47</v>
      </c>
      <c r="AD14" s="1562">
        <v>1</v>
      </c>
      <c r="AE14" s="1563">
        <f t="shared" si="22"/>
        <v>1.125</v>
      </c>
      <c r="AF14" s="1564">
        <f t="shared" si="4"/>
        <v>3</v>
      </c>
      <c r="AG14" s="1565" t="s">
        <v>412</v>
      </c>
      <c r="AH14" s="1566" t="s">
        <v>413</v>
      </c>
      <c r="AI14" s="1567" t="s">
        <v>413</v>
      </c>
      <c r="AJ14" s="1568">
        <f t="shared" si="5"/>
        <v>5.75</v>
      </c>
      <c r="AK14" s="1570">
        <f t="shared" si="6"/>
        <v>5</v>
      </c>
      <c r="AL14" s="1724">
        <v>5</v>
      </c>
      <c r="AM14" s="1748">
        <v>1</v>
      </c>
      <c r="AN14" s="1571">
        <f t="shared" si="23"/>
        <v>8.75</v>
      </c>
      <c r="AO14" s="1572" t="str">
        <f t="shared" si="7"/>
        <v>PL 3/4 x 24 x 24 7/8</v>
      </c>
      <c r="AP14" s="1557">
        <f t="shared" si="24"/>
        <v>126.98190000000001</v>
      </c>
      <c r="AQ14" s="1573">
        <f t="shared" si="25"/>
        <v>127.13035946979736</v>
      </c>
      <c r="AS14" s="925">
        <f t="shared" si="8"/>
        <v>24.875</v>
      </c>
      <c r="AT14" s="925">
        <f t="shared" si="26"/>
        <v>11.928234606598746</v>
      </c>
      <c r="AU14" s="925">
        <f t="shared" si="27"/>
        <v>21.205750411731103</v>
      </c>
      <c r="AV14">
        <f t="shared" si="9"/>
        <v>126.98190000000001</v>
      </c>
      <c r="AW14">
        <f t="shared" si="28"/>
        <v>119.93430138660128</v>
      </c>
      <c r="AX14">
        <f t="shared" si="29"/>
        <v>0</v>
      </c>
      <c r="AY14">
        <f t="shared" si="30"/>
        <v>0</v>
      </c>
      <c r="AZ14">
        <f t="shared" si="10"/>
        <v>0.75</v>
      </c>
      <c r="BA14">
        <f t="shared" si="11"/>
        <v>3</v>
      </c>
      <c r="BB14">
        <f t="shared" si="31"/>
        <v>9.5262490344437456E-2</v>
      </c>
      <c r="BD14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768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ht="14.25" customHeight="1" x14ac:dyDescent="0.25">
      <c r="B15" s="1251">
        <v>11.75</v>
      </c>
      <c r="C15" s="1777">
        <v>12.25</v>
      </c>
      <c r="D15" s="1781">
        <v>12.5</v>
      </c>
      <c r="E15" s="1286">
        <v>13.25</v>
      </c>
      <c r="F15" s="1777">
        <v>0.25</v>
      </c>
      <c r="G15" s="1251" t="s">
        <v>633</v>
      </c>
      <c r="H15" s="1235">
        <v>0.75</v>
      </c>
      <c r="I15" s="1233">
        <v>65</v>
      </c>
      <c r="J15" s="1236">
        <f t="shared" si="39"/>
        <v>2.25</v>
      </c>
      <c r="K15" s="1272">
        <f t="shared" si="20"/>
        <v>16.125</v>
      </c>
      <c r="L15" s="1270" t="s">
        <v>634</v>
      </c>
      <c r="M15" s="1233" t="s">
        <v>635</v>
      </c>
      <c r="N15" s="1237">
        <f t="shared" si="0"/>
        <v>0.75</v>
      </c>
      <c r="O15" s="1238">
        <f t="shared" si="1"/>
        <v>65</v>
      </c>
      <c r="P15" s="1282">
        <v>16</v>
      </c>
      <c r="Q15" s="1251">
        <v>24</v>
      </c>
      <c r="R15" s="1236">
        <f t="shared" si="2"/>
        <v>10.5</v>
      </c>
      <c r="S15" s="1236">
        <f t="shared" si="21"/>
        <v>1.5</v>
      </c>
      <c r="T15" s="1286">
        <f t="shared" si="3"/>
        <v>1.5</v>
      </c>
      <c r="U15" s="1284">
        <v>2</v>
      </c>
      <c r="V15" s="1237">
        <f t="shared" ref="V15:V34" si="40">H15</f>
        <v>0.75</v>
      </c>
      <c r="W15" s="1234">
        <v>2.5</v>
      </c>
      <c r="X15" s="1236">
        <v>65</v>
      </c>
      <c r="Y15" s="1288">
        <f>FLOOR(E15+V15,0.25)</f>
        <v>14</v>
      </c>
      <c r="Z15" s="1298">
        <v>12</v>
      </c>
      <c r="AA15" s="1383">
        <v>4.5</v>
      </c>
      <c r="AB15" s="1384">
        <v>3</v>
      </c>
      <c r="AC15" s="1213" t="s">
        <v>47</v>
      </c>
      <c r="AD15" s="1214">
        <v>1</v>
      </c>
      <c r="AE15" s="489">
        <f t="shared" si="22"/>
        <v>1.125</v>
      </c>
      <c r="AF15" s="1495">
        <f t="shared" si="4"/>
        <v>3</v>
      </c>
      <c r="AG15" s="491" t="s">
        <v>412</v>
      </c>
      <c r="AH15" s="492" t="s">
        <v>413</v>
      </c>
      <c r="AI15" s="1299" t="s">
        <v>413</v>
      </c>
      <c r="AJ15" s="1476">
        <f t="shared" si="5"/>
        <v>6</v>
      </c>
      <c r="AK15" s="1457">
        <f t="shared" si="6"/>
        <v>5.25</v>
      </c>
      <c r="AL15" s="1726">
        <v>5.5</v>
      </c>
      <c r="AM15" s="1750">
        <v>1</v>
      </c>
      <c r="AN15" s="496">
        <f t="shared" si="23"/>
        <v>10.375</v>
      </c>
      <c r="AO15" s="1429" t="str">
        <f t="shared" si="7"/>
        <v>PL 3/4 x 24 x 27 3/8</v>
      </c>
      <c r="AP15" s="1514">
        <f t="shared" si="24"/>
        <v>155.83557233443139</v>
      </c>
      <c r="AQ15" s="1446">
        <f t="shared" si="25"/>
        <v>159.23375216133604</v>
      </c>
      <c r="AS15" s="925">
        <f t="shared" si="8"/>
        <v>27.375</v>
      </c>
      <c r="AT15" s="925">
        <f t="shared" si="26"/>
        <v>11.928234606598746</v>
      </c>
      <c r="AU15" s="925">
        <f t="shared" si="27"/>
        <v>25.329090769567706</v>
      </c>
      <c r="AV15">
        <f t="shared" si="9"/>
        <v>139.7439</v>
      </c>
      <c r="AW15">
        <f t="shared" si="28"/>
        <v>131.8192668924894</v>
      </c>
      <c r="AX15">
        <f>2*V15*(W15*P15-J15^2*(2-PI()/2))*0.2836</f>
        <v>16.091672334431404</v>
      </c>
      <c r="AY15">
        <f t="shared" si="30"/>
        <v>18.401254014431405</v>
      </c>
      <c r="AZ15">
        <f t="shared" si="10"/>
        <v>0.5625</v>
      </c>
      <c r="BA15">
        <f t="shared" si="11"/>
        <v>3</v>
      </c>
      <c r="BB15">
        <f t="shared" si="31"/>
        <v>5.3206191468428976E-2</v>
      </c>
      <c r="BD15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768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252">
        <v>12</v>
      </c>
      <c r="C16" s="1776">
        <v>12.5</v>
      </c>
      <c r="D16" s="1780">
        <v>12.75</v>
      </c>
      <c r="E16" s="1287">
        <v>13.5</v>
      </c>
      <c r="F16" s="1776">
        <v>0.375</v>
      </c>
      <c r="G16" s="1252" t="s">
        <v>313</v>
      </c>
      <c r="H16" s="1241">
        <v>0.75</v>
      </c>
      <c r="I16" s="1239">
        <v>65</v>
      </c>
      <c r="J16" s="1242">
        <f t="shared" si="39"/>
        <v>2.25</v>
      </c>
      <c r="K16" s="1273">
        <f t="shared" si="20"/>
        <v>16.125</v>
      </c>
      <c r="L16" s="1271" t="s">
        <v>341</v>
      </c>
      <c r="M16" s="1239" t="s">
        <v>367</v>
      </c>
      <c r="N16" s="1243">
        <f t="shared" si="0"/>
        <v>0.75</v>
      </c>
      <c r="O16" s="1244">
        <f t="shared" si="1"/>
        <v>65</v>
      </c>
      <c r="P16" s="1283">
        <v>16</v>
      </c>
      <c r="Q16" s="1252">
        <v>24.5</v>
      </c>
      <c r="R16" s="1242">
        <f t="shared" si="2"/>
        <v>10.5</v>
      </c>
      <c r="S16" s="1242">
        <f t="shared" si="21"/>
        <v>1.75</v>
      </c>
      <c r="T16" s="1287">
        <f t="shared" si="3"/>
        <v>1.75</v>
      </c>
      <c r="U16" s="1285">
        <v>2</v>
      </c>
      <c r="V16" s="1243">
        <f t="shared" si="40"/>
        <v>0.75</v>
      </c>
      <c r="W16" s="1240">
        <v>2.5</v>
      </c>
      <c r="X16" s="1242">
        <f t="shared" ref="X16:X34" si="41">I16</f>
        <v>65</v>
      </c>
      <c r="Y16" s="1289">
        <f t="shared" ref="Y16:Y34" si="42">E16+V16</f>
        <v>14.25</v>
      </c>
      <c r="Z16" s="1296">
        <v>12</v>
      </c>
      <c r="AA16" s="1381">
        <v>3.5</v>
      </c>
      <c r="AB16" s="1382">
        <v>3.5</v>
      </c>
      <c r="AC16" s="1211" t="s">
        <v>47</v>
      </c>
      <c r="AD16" s="1212">
        <v>1.25</v>
      </c>
      <c r="AE16" s="462">
        <f t="shared" si="22"/>
        <v>1.375</v>
      </c>
      <c r="AF16" s="1494">
        <f t="shared" si="4"/>
        <v>3.25</v>
      </c>
      <c r="AG16" s="464" t="s">
        <v>412</v>
      </c>
      <c r="AH16" s="465" t="s">
        <v>413</v>
      </c>
      <c r="AI16" s="1297" t="s">
        <v>413</v>
      </c>
      <c r="AJ16" s="1475">
        <f t="shared" si="5"/>
        <v>6.5</v>
      </c>
      <c r="AK16" s="1456">
        <f t="shared" si="6"/>
        <v>5.5</v>
      </c>
      <c r="AL16" s="1725">
        <v>5.5</v>
      </c>
      <c r="AM16" s="1749">
        <v>1</v>
      </c>
      <c r="AN16" s="469">
        <f t="shared" si="23"/>
        <v>10.375</v>
      </c>
      <c r="AO16" s="1428" t="str">
        <f t="shared" si="7"/>
        <v>PL 3/4 x 24 1/2 x 28 3/8</v>
      </c>
      <c r="AP16" s="1513">
        <f t="shared" si="24"/>
        <v>163.95805358443141</v>
      </c>
      <c r="AQ16" s="1445">
        <f t="shared" si="25"/>
        <v>166.51550148096669</v>
      </c>
      <c r="AS16" s="925">
        <f t="shared" si="8"/>
        <v>28.375</v>
      </c>
      <c r="AT16" s="925">
        <f t="shared" si="26"/>
        <v>17.81872083207961</v>
      </c>
      <c r="AU16" s="925">
        <f t="shared" si="27"/>
        <v>25.329090769567706</v>
      </c>
      <c r="AV16">
        <f t="shared" si="9"/>
        <v>147.86638125000002</v>
      </c>
      <c r="AW16">
        <f t="shared" si="28"/>
        <v>138.68884172232961</v>
      </c>
      <c r="AX16">
        <f t="shared" ref="AX16:AX34" si="43">2*V16*(W16*P16-J16^2*(2-PI()/2))*0.2836</f>
        <v>16.091672334431404</v>
      </c>
      <c r="AY16">
        <f t="shared" si="30"/>
        <v>18.401254014431405</v>
      </c>
      <c r="AZ16">
        <f t="shared" si="10"/>
        <v>0.5625</v>
      </c>
      <c r="BA16">
        <f t="shared" si="11"/>
        <v>3</v>
      </c>
      <c r="BB16">
        <f t="shared" si="31"/>
        <v>5.3206191468428976E-2</v>
      </c>
      <c r="BD16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768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251">
        <v>13.5</v>
      </c>
      <c r="C17" s="1777">
        <v>14.25</v>
      </c>
      <c r="D17" s="1781">
        <v>14.625</v>
      </c>
      <c r="E17" s="1286">
        <v>15.5</v>
      </c>
      <c r="F17" s="1777">
        <v>0.25</v>
      </c>
      <c r="G17" s="1251" t="s">
        <v>314</v>
      </c>
      <c r="H17" s="1235">
        <v>0.75</v>
      </c>
      <c r="I17" s="1233">
        <v>65</v>
      </c>
      <c r="J17" s="1236">
        <f t="shared" si="39"/>
        <v>2.25</v>
      </c>
      <c r="K17" s="1272">
        <f t="shared" si="20"/>
        <v>18.125</v>
      </c>
      <c r="L17" s="1270" t="s">
        <v>342</v>
      </c>
      <c r="M17" s="1233" t="s">
        <v>368</v>
      </c>
      <c r="N17" s="1237">
        <f t="shared" si="0"/>
        <v>0.75</v>
      </c>
      <c r="O17" s="1238">
        <f t="shared" si="1"/>
        <v>65</v>
      </c>
      <c r="P17" s="1282">
        <v>18</v>
      </c>
      <c r="Q17" s="1251">
        <v>24</v>
      </c>
      <c r="R17" s="1236">
        <f t="shared" si="2"/>
        <v>10</v>
      </c>
      <c r="S17" s="1236">
        <f t="shared" si="21"/>
        <v>2</v>
      </c>
      <c r="T17" s="1286">
        <f t="shared" si="3"/>
        <v>2</v>
      </c>
      <c r="U17" s="1284">
        <v>2</v>
      </c>
      <c r="V17" s="1237">
        <f t="shared" si="40"/>
        <v>0.75</v>
      </c>
      <c r="W17" s="1234">
        <v>2.5</v>
      </c>
      <c r="X17" s="1236">
        <f t="shared" si="41"/>
        <v>65</v>
      </c>
      <c r="Y17" s="1288">
        <f t="shared" si="42"/>
        <v>16.25</v>
      </c>
      <c r="Z17" s="1298">
        <v>8</v>
      </c>
      <c r="AA17" s="1383">
        <v>6</v>
      </c>
      <c r="AB17" s="1384">
        <v>4</v>
      </c>
      <c r="AC17" s="1213" t="s">
        <v>47</v>
      </c>
      <c r="AD17" s="1214">
        <v>1.5</v>
      </c>
      <c r="AE17" s="489">
        <f t="shared" si="22"/>
        <v>1.625</v>
      </c>
      <c r="AF17" s="1495">
        <f t="shared" si="4"/>
        <v>3.5</v>
      </c>
      <c r="AG17" s="491" t="s">
        <v>412</v>
      </c>
      <c r="AH17" s="492" t="s">
        <v>413</v>
      </c>
      <c r="AI17" s="1299" t="s">
        <v>413</v>
      </c>
      <c r="AJ17" s="1476">
        <f t="shared" si="5"/>
        <v>7</v>
      </c>
      <c r="AK17" s="1457">
        <f t="shared" si="6"/>
        <v>5.75</v>
      </c>
      <c r="AL17" s="1726">
        <v>6.5</v>
      </c>
      <c r="AM17" s="1750">
        <v>1</v>
      </c>
      <c r="AN17" s="496">
        <f t="shared" si="23"/>
        <v>12.5</v>
      </c>
      <c r="AO17" s="1429" t="str">
        <f t="shared" si="7"/>
        <v>PL 3/4 x 24 x 31 3/8</v>
      </c>
      <c r="AP17" s="1514">
        <f t="shared" si="24"/>
        <v>178.38177233443142</v>
      </c>
      <c r="AQ17" s="1446">
        <f t="shared" si="25"/>
        <v>180.40732156849432</v>
      </c>
      <c r="AS17" s="925">
        <f t="shared" si="8"/>
        <v>31.375</v>
      </c>
      <c r="AT17" s="925">
        <f t="shared" si="26"/>
        <v>16.591536201771095</v>
      </c>
      <c r="AU17" s="925">
        <f t="shared" si="27"/>
        <v>34.753868730337089</v>
      </c>
      <c r="AV17">
        <f t="shared" si="9"/>
        <v>160.16310000000001</v>
      </c>
      <c r="AW17">
        <f t="shared" si="28"/>
        <v>149.24193237094059</v>
      </c>
      <c r="AX17">
        <f t="shared" si="43"/>
        <v>18.218672334431407</v>
      </c>
      <c r="AY17">
        <f t="shared" si="30"/>
        <v>20.953654014431407</v>
      </c>
      <c r="AZ17">
        <f t="shared" si="10"/>
        <v>0.6875</v>
      </c>
      <c r="BA17">
        <f t="shared" si="11"/>
        <v>3</v>
      </c>
      <c r="BB17">
        <f t="shared" si="31"/>
        <v>7.983840344408355E-2</v>
      </c>
      <c r="BD17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768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252">
        <v>13.75</v>
      </c>
      <c r="C18" s="1776">
        <v>13.75</v>
      </c>
      <c r="D18" s="1780">
        <v>13.75</v>
      </c>
      <c r="E18" s="1287">
        <v>14.5</v>
      </c>
      <c r="F18" s="1776">
        <v>0.375</v>
      </c>
      <c r="G18" s="1252" t="s">
        <v>315</v>
      </c>
      <c r="H18" s="1241">
        <v>1</v>
      </c>
      <c r="I18" s="1239">
        <v>65</v>
      </c>
      <c r="J18" s="1242">
        <f t="shared" si="39"/>
        <v>3</v>
      </c>
      <c r="K18" s="1273">
        <f t="shared" si="20"/>
        <v>18.125</v>
      </c>
      <c r="L18" s="1271" t="s">
        <v>343</v>
      </c>
      <c r="M18" s="1239" t="s">
        <v>369</v>
      </c>
      <c r="N18" s="1243">
        <f t="shared" si="0"/>
        <v>1</v>
      </c>
      <c r="O18" s="1244">
        <f t="shared" si="1"/>
        <v>65</v>
      </c>
      <c r="P18" s="1283">
        <v>18</v>
      </c>
      <c r="Q18" s="1252">
        <v>24</v>
      </c>
      <c r="R18" s="1242">
        <f t="shared" si="2"/>
        <v>10</v>
      </c>
      <c r="S18" s="1242">
        <f t="shared" si="21"/>
        <v>2</v>
      </c>
      <c r="T18" s="1287">
        <f t="shared" si="3"/>
        <v>2</v>
      </c>
      <c r="U18" s="1285">
        <v>2</v>
      </c>
      <c r="V18" s="1243">
        <f t="shared" si="40"/>
        <v>1</v>
      </c>
      <c r="W18" s="1240">
        <v>3</v>
      </c>
      <c r="X18" s="1242">
        <f t="shared" si="41"/>
        <v>65</v>
      </c>
      <c r="Y18" s="1289">
        <f t="shared" si="42"/>
        <v>15.5</v>
      </c>
      <c r="Z18" s="1300">
        <v>8</v>
      </c>
      <c r="AA18" s="1385">
        <v>6</v>
      </c>
      <c r="AB18" s="1386">
        <v>4</v>
      </c>
      <c r="AC18" s="1215" t="s">
        <v>47</v>
      </c>
      <c r="AD18" s="1216">
        <v>1.5</v>
      </c>
      <c r="AE18" s="516">
        <f t="shared" si="22"/>
        <v>1.625</v>
      </c>
      <c r="AF18" s="1496">
        <f t="shared" si="4"/>
        <v>4</v>
      </c>
      <c r="AG18" s="518" t="s">
        <v>412</v>
      </c>
      <c r="AH18" s="519" t="s">
        <v>413</v>
      </c>
      <c r="AI18" s="1301" t="s">
        <v>413</v>
      </c>
      <c r="AJ18" s="1477">
        <f t="shared" si="5"/>
        <v>7.5</v>
      </c>
      <c r="AK18" s="1458">
        <f t="shared" si="6"/>
        <v>6.5</v>
      </c>
      <c r="AL18" s="517">
        <v>6</v>
      </c>
      <c r="AM18" s="1751">
        <v>1</v>
      </c>
      <c r="AN18" s="523">
        <f t="shared" si="23"/>
        <v>11.375</v>
      </c>
      <c r="AO18" s="1430" t="str">
        <f t="shared" si="7"/>
        <v>PL 1 x 24 x 32</v>
      </c>
      <c r="AP18" s="1513">
        <f t="shared" si="24"/>
        <v>246.2426010890226</v>
      </c>
      <c r="AQ18" s="1447">
        <f t="shared" si="25"/>
        <v>250.92299301899266</v>
      </c>
      <c r="AS18" s="925">
        <f t="shared" si="8"/>
        <v>32</v>
      </c>
      <c r="AT18" s="925">
        <f t="shared" si="26"/>
        <v>16.591536201771095</v>
      </c>
      <c r="AU18" s="925">
        <f t="shared" si="27"/>
        <v>29.845130209103033</v>
      </c>
      <c r="AV18">
        <f t="shared" si="9"/>
        <v>217.8048</v>
      </c>
      <c r="AW18">
        <f t="shared" si="28"/>
        <v>204.63536140587613</v>
      </c>
      <c r="AX18">
        <f t="shared" si="43"/>
        <v>28.437801089022592</v>
      </c>
      <c r="AY18">
        <f t="shared" si="30"/>
        <v>32.084443329022591</v>
      </c>
      <c r="AZ18">
        <f t="shared" si="10"/>
        <v>0.8125</v>
      </c>
      <c r="BA18">
        <f t="shared" si="11"/>
        <v>4</v>
      </c>
      <c r="BB18">
        <f t="shared" si="31"/>
        <v>8.3388741526675414E-2</v>
      </c>
      <c r="BD18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768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251">
        <v>15.75</v>
      </c>
      <c r="C19" s="1777">
        <v>15.5</v>
      </c>
      <c r="D19" s="1781">
        <v>15.75</v>
      </c>
      <c r="E19" s="1286">
        <v>16.25</v>
      </c>
      <c r="F19" s="1777">
        <v>0.25</v>
      </c>
      <c r="G19" s="1251" t="s">
        <v>316</v>
      </c>
      <c r="H19" s="1235">
        <v>1</v>
      </c>
      <c r="I19" s="1233">
        <v>65</v>
      </c>
      <c r="J19" s="1236">
        <f t="shared" si="39"/>
        <v>3</v>
      </c>
      <c r="K19" s="1272">
        <f t="shared" si="20"/>
        <v>20.125</v>
      </c>
      <c r="L19" s="1270" t="s">
        <v>344</v>
      </c>
      <c r="M19" s="1233" t="s">
        <v>370</v>
      </c>
      <c r="N19" s="1237">
        <f t="shared" si="0"/>
        <v>1</v>
      </c>
      <c r="O19" s="1238">
        <f t="shared" si="1"/>
        <v>65</v>
      </c>
      <c r="P19" s="1282">
        <v>20</v>
      </c>
      <c r="Q19" s="1251">
        <v>24</v>
      </c>
      <c r="R19" s="1236">
        <f t="shared" si="2"/>
        <v>10</v>
      </c>
      <c r="S19" s="1236">
        <f t="shared" si="21"/>
        <v>2</v>
      </c>
      <c r="T19" s="1286">
        <f t="shared" si="3"/>
        <v>2</v>
      </c>
      <c r="U19" s="1284">
        <v>2</v>
      </c>
      <c r="V19" s="1237">
        <f t="shared" si="40"/>
        <v>1</v>
      </c>
      <c r="W19" s="1234">
        <v>3</v>
      </c>
      <c r="X19" s="1236">
        <f t="shared" si="41"/>
        <v>65</v>
      </c>
      <c r="Y19" s="1288">
        <f t="shared" si="42"/>
        <v>17.25</v>
      </c>
      <c r="Z19" s="1302">
        <v>8</v>
      </c>
      <c r="AA19" s="1387">
        <v>6</v>
      </c>
      <c r="AB19" s="1388">
        <v>4</v>
      </c>
      <c r="AC19" s="541" t="s">
        <v>47</v>
      </c>
      <c r="AD19" s="1207">
        <v>1.5</v>
      </c>
      <c r="AE19" s="543">
        <f t="shared" si="22"/>
        <v>1.625</v>
      </c>
      <c r="AF19" s="1497">
        <f t="shared" si="4"/>
        <v>4</v>
      </c>
      <c r="AG19" s="545" t="s">
        <v>412</v>
      </c>
      <c r="AH19" s="546" t="s">
        <v>413</v>
      </c>
      <c r="AI19" s="1303" t="s">
        <v>413</v>
      </c>
      <c r="AJ19" s="1478">
        <f t="shared" si="5"/>
        <v>7.5</v>
      </c>
      <c r="AK19" s="1459">
        <f t="shared" si="6"/>
        <v>6.5</v>
      </c>
      <c r="AL19" s="1727">
        <v>7</v>
      </c>
      <c r="AM19" s="1752">
        <v>1</v>
      </c>
      <c r="AN19" s="550">
        <f t="shared" si="23"/>
        <v>13.625</v>
      </c>
      <c r="AO19" s="1431" t="str">
        <f t="shared" si="7"/>
        <v>PL 1 x 24 x 34</v>
      </c>
      <c r="AP19" s="1514">
        <f t="shared" si="24"/>
        <v>263.25860108902259</v>
      </c>
      <c r="AQ19" s="1517">
        <f t="shared" si="25"/>
        <v>266.49184271325009</v>
      </c>
      <c r="AS19" s="925">
        <f t="shared" si="8"/>
        <v>34</v>
      </c>
      <c r="AT19" s="925">
        <f t="shared" si="26"/>
        <v>16.591536201771095</v>
      </c>
      <c r="AU19" s="925">
        <f t="shared" si="27"/>
        <v>40.055306333269861</v>
      </c>
      <c r="AV19">
        <f t="shared" si="9"/>
        <v>231.41760000000002</v>
      </c>
      <c r="AW19">
        <f t="shared" si="28"/>
        <v>215.35255545706241</v>
      </c>
      <c r="AX19">
        <f t="shared" si="43"/>
        <v>31.841001089022591</v>
      </c>
      <c r="AY19">
        <f t="shared" si="30"/>
        <v>36.054843329022589</v>
      </c>
      <c r="AZ19">
        <f t="shared" si="10"/>
        <v>0.8125</v>
      </c>
      <c r="BA19">
        <f t="shared" si="11"/>
        <v>4</v>
      </c>
      <c r="BB19">
        <f t="shared" si="31"/>
        <v>8.3388741526675414E-2</v>
      </c>
      <c r="BD19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768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252">
        <v>14.75</v>
      </c>
      <c r="C20" s="1776">
        <v>15.25</v>
      </c>
      <c r="D20" s="1780">
        <v>15.75</v>
      </c>
      <c r="E20" s="1287">
        <v>16.5</v>
      </c>
      <c r="F20" s="1776">
        <v>0.375</v>
      </c>
      <c r="G20" s="1252" t="s">
        <v>317</v>
      </c>
      <c r="H20" s="1241">
        <v>1</v>
      </c>
      <c r="I20" s="1239">
        <v>65</v>
      </c>
      <c r="J20" s="1242">
        <f t="shared" si="39"/>
        <v>3</v>
      </c>
      <c r="K20" s="1273">
        <f t="shared" si="20"/>
        <v>20.125</v>
      </c>
      <c r="L20" s="1271" t="s">
        <v>345</v>
      </c>
      <c r="M20" s="1239" t="s">
        <v>371</v>
      </c>
      <c r="N20" s="1243">
        <f t="shared" si="0"/>
        <v>1</v>
      </c>
      <c r="O20" s="1244">
        <f t="shared" si="1"/>
        <v>65</v>
      </c>
      <c r="P20" s="1283">
        <v>20</v>
      </c>
      <c r="Q20" s="1252">
        <v>28</v>
      </c>
      <c r="R20" s="1242">
        <f t="shared" si="2"/>
        <v>12</v>
      </c>
      <c r="S20" s="1242">
        <f t="shared" si="21"/>
        <v>2</v>
      </c>
      <c r="T20" s="1287">
        <f t="shared" si="3"/>
        <v>2</v>
      </c>
      <c r="U20" s="1285">
        <v>2</v>
      </c>
      <c r="V20" s="1243">
        <f t="shared" si="40"/>
        <v>1</v>
      </c>
      <c r="W20" s="1240">
        <v>3</v>
      </c>
      <c r="X20" s="1242">
        <f t="shared" si="41"/>
        <v>65</v>
      </c>
      <c r="Y20" s="1289">
        <f t="shared" si="42"/>
        <v>17.5</v>
      </c>
      <c r="Z20" s="1304">
        <v>12</v>
      </c>
      <c r="AA20" s="1389">
        <v>4</v>
      </c>
      <c r="AB20" s="1390">
        <v>4</v>
      </c>
      <c r="AC20" s="1217" t="s">
        <v>47</v>
      </c>
      <c r="AD20" s="1218">
        <v>1.5</v>
      </c>
      <c r="AE20" s="571">
        <f t="shared" si="22"/>
        <v>1.625</v>
      </c>
      <c r="AF20" s="1498">
        <f t="shared" si="4"/>
        <v>4</v>
      </c>
      <c r="AG20" s="573" t="s">
        <v>412</v>
      </c>
      <c r="AH20" s="574" t="s">
        <v>413</v>
      </c>
      <c r="AI20" s="1305" t="s">
        <v>413</v>
      </c>
      <c r="AJ20" s="1479">
        <f t="shared" si="5"/>
        <v>7.5</v>
      </c>
      <c r="AK20" s="1460">
        <f t="shared" si="6"/>
        <v>6.5</v>
      </c>
      <c r="AL20" s="1728">
        <v>7</v>
      </c>
      <c r="AM20" s="1753">
        <v>1</v>
      </c>
      <c r="AN20" s="578">
        <f t="shared" si="23"/>
        <v>13.375</v>
      </c>
      <c r="AO20" s="1432" t="str">
        <f t="shared" si="7"/>
        <v>PL 1 x 28 x 34</v>
      </c>
      <c r="AP20" s="1513">
        <f t="shared" si="24"/>
        <v>301.82820108902263</v>
      </c>
      <c r="AQ20" s="1518">
        <f t="shared" si="25"/>
        <v>304.88177808983431</v>
      </c>
      <c r="AS20" s="925">
        <f t="shared" si="8"/>
        <v>34</v>
      </c>
      <c r="AT20" s="925">
        <f t="shared" si="26"/>
        <v>24.887304302656641</v>
      </c>
      <c r="AU20" s="925">
        <f t="shared" si="27"/>
        <v>40.055306333269861</v>
      </c>
      <c r="AV20">
        <f t="shared" si="9"/>
        <v>269.98720000000003</v>
      </c>
      <c r="AW20">
        <f t="shared" si="28"/>
        <v>251.56947562365127</v>
      </c>
      <c r="AX20">
        <f t="shared" si="43"/>
        <v>31.841001089022591</v>
      </c>
      <c r="AY20">
        <f t="shared" si="30"/>
        <v>36.054843329022589</v>
      </c>
      <c r="AZ20">
        <f t="shared" si="10"/>
        <v>0.8125</v>
      </c>
      <c r="BA20">
        <f t="shared" si="11"/>
        <v>4</v>
      </c>
      <c r="BB20">
        <f t="shared" si="31"/>
        <v>8.3388741526675414E-2</v>
      </c>
      <c r="BD2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768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251">
        <v>16.5</v>
      </c>
      <c r="C21" s="1777">
        <v>16.75</v>
      </c>
      <c r="D21" s="1781">
        <v>17.375</v>
      </c>
      <c r="E21" s="1286">
        <v>18.25</v>
      </c>
      <c r="F21" s="1777">
        <v>0.25</v>
      </c>
      <c r="G21" s="1251" t="s">
        <v>318</v>
      </c>
      <c r="H21" s="1235">
        <v>1</v>
      </c>
      <c r="I21" s="1233">
        <v>65</v>
      </c>
      <c r="J21" s="1236">
        <f t="shared" si="39"/>
        <v>3</v>
      </c>
      <c r="K21" s="1272">
        <f t="shared" si="20"/>
        <v>22.125</v>
      </c>
      <c r="L21" s="1270" t="s">
        <v>346</v>
      </c>
      <c r="M21" s="1233" t="s">
        <v>372</v>
      </c>
      <c r="N21" s="1237">
        <f t="shared" si="0"/>
        <v>1</v>
      </c>
      <c r="O21" s="1238">
        <f t="shared" si="1"/>
        <v>65</v>
      </c>
      <c r="P21" s="1282">
        <v>22</v>
      </c>
      <c r="Q21" s="1251">
        <v>24</v>
      </c>
      <c r="R21" s="1236">
        <f t="shared" si="2"/>
        <v>10</v>
      </c>
      <c r="S21" s="1236">
        <f t="shared" si="21"/>
        <v>2</v>
      </c>
      <c r="T21" s="1286">
        <f t="shared" si="3"/>
        <v>2</v>
      </c>
      <c r="U21" s="1284">
        <v>2</v>
      </c>
      <c r="V21" s="1237">
        <f t="shared" si="40"/>
        <v>1</v>
      </c>
      <c r="W21" s="1234">
        <v>3</v>
      </c>
      <c r="X21" s="1236">
        <f t="shared" si="41"/>
        <v>65</v>
      </c>
      <c r="Y21" s="1288">
        <f t="shared" si="42"/>
        <v>19.25</v>
      </c>
      <c r="Z21" s="1295">
        <v>12</v>
      </c>
      <c r="AA21" s="1391">
        <v>2</v>
      </c>
      <c r="AB21" s="1392">
        <v>4</v>
      </c>
      <c r="AC21" s="1219" t="s">
        <v>47</v>
      </c>
      <c r="AD21" s="1210">
        <v>1.5</v>
      </c>
      <c r="AE21" s="597">
        <f t="shared" si="22"/>
        <v>1.625</v>
      </c>
      <c r="AF21" s="1499">
        <f t="shared" si="4"/>
        <v>4</v>
      </c>
      <c r="AG21" s="599" t="s">
        <v>412</v>
      </c>
      <c r="AH21" s="600" t="s">
        <v>413</v>
      </c>
      <c r="AI21" s="1306" t="s">
        <v>413</v>
      </c>
      <c r="AJ21" s="1480">
        <f t="shared" si="5"/>
        <v>7.5</v>
      </c>
      <c r="AK21" s="1461">
        <f t="shared" si="6"/>
        <v>6.5</v>
      </c>
      <c r="AL21" s="1729">
        <v>8</v>
      </c>
      <c r="AM21" s="1754">
        <v>1</v>
      </c>
      <c r="AN21" s="305">
        <f t="shared" si="23"/>
        <v>15.25</v>
      </c>
      <c r="AO21" s="1433" t="str">
        <f t="shared" si="7"/>
        <v>PL 1 x 24 x 36</v>
      </c>
      <c r="AP21" s="1514">
        <f t="shared" si="24"/>
        <v>280.27460108902261</v>
      </c>
      <c r="AQ21" s="1519">
        <f t="shared" si="25"/>
        <v>279.09464527551597</v>
      </c>
      <c r="AS21" s="925">
        <f t="shared" si="8"/>
        <v>36</v>
      </c>
      <c r="AT21" s="925">
        <f t="shared" si="26"/>
        <v>24.887304302656641</v>
      </c>
      <c r="AU21" s="925">
        <f t="shared" si="27"/>
        <v>51.836278784231588</v>
      </c>
      <c r="AV21">
        <f t="shared" si="9"/>
        <v>245.03040000000001</v>
      </c>
      <c r="AW21">
        <f t="shared" si="28"/>
        <v>223.27159183655851</v>
      </c>
      <c r="AX21">
        <f t="shared" si="43"/>
        <v>35.244201089022589</v>
      </c>
      <c r="AY21">
        <f t="shared" si="30"/>
        <v>40.025243329022587</v>
      </c>
      <c r="AZ21">
        <f t="shared" si="10"/>
        <v>0.8125</v>
      </c>
      <c r="BA21">
        <f t="shared" si="11"/>
        <v>4</v>
      </c>
      <c r="BB21">
        <f t="shared" si="31"/>
        <v>8.3388741526675414E-2</v>
      </c>
      <c r="BD21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768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252">
        <v>16.75</v>
      </c>
      <c r="C22" s="1776">
        <v>17</v>
      </c>
      <c r="D22" s="1780">
        <v>17.75</v>
      </c>
      <c r="E22" s="1287">
        <v>18.5</v>
      </c>
      <c r="F22" s="1776">
        <v>0.375</v>
      </c>
      <c r="G22" s="1252" t="s">
        <v>319</v>
      </c>
      <c r="H22" s="1241">
        <v>1</v>
      </c>
      <c r="I22" s="1239">
        <v>65</v>
      </c>
      <c r="J22" s="1242">
        <f t="shared" si="39"/>
        <v>3</v>
      </c>
      <c r="K22" s="1273">
        <f t="shared" si="20"/>
        <v>22.125</v>
      </c>
      <c r="L22" s="1271" t="s">
        <v>347</v>
      </c>
      <c r="M22" s="1239" t="s">
        <v>373</v>
      </c>
      <c r="N22" s="1243">
        <f t="shared" si="0"/>
        <v>1</v>
      </c>
      <c r="O22" s="1244">
        <f t="shared" si="1"/>
        <v>65</v>
      </c>
      <c r="P22" s="1283">
        <v>22</v>
      </c>
      <c r="Q22" s="1252">
        <v>32</v>
      </c>
      <c r="R22" s="1242">
        <f t="shared" si="2"/>
        <v>14</v>
      </c>
      <c r="S22" s="1242">
        <f t="shared" si="21"/>
        <v>2</v>
      </c>
      <c r="T22" s="1287">
        <f t="shared" si="3"/>
        <v>2</v>
      </c>
      <c r="U22" s="1285">
        <v>2</v>
      </c>
      <c r="V22" s="1243">
        <f t="shared" si="40"/>
        <v>1</v>
      </c>
      <c r="W22" s="1240">
        <v>3</v>
      </c>
      <c r="X22" s="1242">
        <f t="shared" si="41"/>
        <v>65</v>
      </c>
      <c r="Y22" s="1289">
        <f t="shared" si="42"/>
        <v>19.5</v>
      </c>
      <c r="Z22" s="1307">
        <v>12</v>
      </c>
      <c r="AA22" s="1393">
        <v>6</v>
      </c>
      <c r="AB22" s="1394">
        <v>4</v>
      </c>
      <c r="AC22" s="1220" t="s">
        <v>47</v>
      </c>
      <c r="AD22" s="1221">
        <v>1.5</v>
      </c>
      <c r="AE22" s="621">
        <f t="shared" si="22"/>
        <v>1.625</v>
      </c>
      <c r="AF22" s="1500">
        <f t="shared" si="4"/>
        <v>4</v>
      </c>
      <c r="AG22" s="623" t="s">
        <v>412</v>
      </c>
      <c r="AH22" s="624" t="s">
        <v>413</v>
      </c>
      <c r="AI22" s="1308" t="s">
        <v>413</v>
      </c>
      <c r="AJ22" s="1481">
        <f t="shared" si="5"/>
        <v>7.5</v>
      </c>
      <c r="AK22" s="1462">
        <f t="shared" si="6"/>
        <v>6.5</v>
      </c>
      <c r="AL22" s="1730">
        <v>8</v>
      </c>
      <c r="AM22" s="1755">
        <v>1</v>
      </c>
      <c r="AN22" s="628">
        <f t="shared" si="23"/>
        <v>15.375</v>
      </c>
      <c r="AO22" s="1434" t="str">
        <f t="shared" si="7"/>
        <v>PL 1 x 32 x 36</v>
      </c>
      <c r="AP22" s="1513">
        <f t="shared" si="24"/>
        <v>361.95140108902257</v>
      </c>
      <c r="AQ22" s="1520">
        <f t="shared" si="25"/>
        <v>365.67205327551596</v>
      </c>
      <c r="AS22" s="925">
        <f t="shared" si="8"/>
        <v>36</v>
      </c>
      <c r="AT22" s="925">
        <f t="shared" si="26"/>
        <v>24.887304302656641</v>
      </c>
      <c r="AU22" s="925">
        <f t="shared" si="27"/>
        <v>51.836278784231588</v>
      </c>
      <c r="AV22">
        <f t="shared" si="9"/>
        <v>326.7072</v>
      </c>
      <c r="AW22">
        <f t="shared" si="28"/>
        <v>304.94839183655847</v>
      </c>
      <c r="AX22">
        <f t="shared" si="43"/>
        <v>35.244201089022589</v>
      </c>
      <c r="AY22">
        <f t="shared" si="30"/>
        <v>40.025243329022587</v>
      </c>
      <c r="AZ22">
        <f t="shared" si="10"/>
        <v>0.8125</v>
      </c>
      <c r="BA22">
        <f t="shared" si="11"/>
        <v>4</v>
      </c>
      <c r="BB22">
        <f t="shared" si="31"/>
        <v>8.3388741526675414E-2</v>
      </c>
      <c r="BD22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768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251">
        <v>18.5</v>
      </c>
      <c r="C23" s="1777">
        <v>18.5</v>
      </c>
      <c r="D23" s="1781">
        <v>19.375</v>
      </c>
      <c r="E23" s="1286">
        <v>20.25</v>
      </c>
      <c r="F23" s="1777">
        <v>0.25</v>
      </c>
      <c r="G23" s="1251" t="s">
        <v>320</v>
      </c>
      <c r="H23" s="1235">
        <v>1</v>
      </c>
      <c r="I23" s="1233">
        <v>65</v>
      </c>
      <c r="J23" s="1236">
        <f t="shared" si="39"/>
        <v>3</v>
      </c>
      <c r="K23" s="1272">
        <f t="shared" si="20"/>
        <v>24.125</v>
      </c>
      <c r="L23" s="1270" t="s">
        <v>348</v>
      </c>
      <c r="M23" s="1233" t="s">
        <v>374</v>
      </c>
      <c r="N23" s="1237">
        <f t="shared" si="0"/>
        <v>1</v>
      </c>
      <c r="O23" s="1238">
        <f t="shared" si="1"/>
        <v>65</v>
      </c>
      <c r="P23" s="1282">
        <v>24</v>
      </c>
      <c r="Q23" s="1251">
        <v>28</v>
      </c>
      <c r="R23" s="1236">
        <f t="shared" si="2"/>
        <v>12</v>
      </c>
      <c r="S23" s="1236">
        <f t="shared" si="21"/>
        <v>2</v>
      </c>
      <c r="T23" s="1286">
        <f t="shared" si="3"/>
        <v>2</v>
      </c>
      <c r="U23" s="1284">
        <v>2</v>
      </c>
      <c r="V23" s="1237">
        <f t="shared" si="40"/>
        <v>1</v>
      </c>
      <c r="W23" s="1234">
        <v>3</v>
      </c>
      <c r="X23" s="1236">
        <f t="shared" si="41"/>
        <v>65</v>
      </c>
      <c r="Y23" s="1288">
        <f t="shared" si="42"/>
        <v>21.25</v>
      </c>
      <c r="Z23" s="1309">
        <v>12</v>
      </c>
      <c r="AA23" s="1395">
        <v>4</v>
      </c>
      <c r="AB23" s="1396">
        <v>4</v>
      </c>
      <c r="AC23" s="1222" t="s">
        <v>47</v>
      </c>
      <c r="AD23" s="1223">
        <v>1.5</v>
      </c>
      <c r="AE23" s="644">
        <f t="shared" si="22"/>
        <v>1.625</v>
      </c>
      <c r="AF23" s="1501">
        <f t="shared" si="4"/>
        <v>4</v>
      </c>
      <c r="AG23" s="646" t="s">
        <v>412</v>
      </c>
      <c r="AH23" s="647" t="s">
        <v>413</v>
      </c>
      <c r="AI23" s="1310" t="s">
        <v>413</v>
      </c>
      <c r="AJ23" s="1482">
        <f t="shared" si="5"/>
        <v>7.5</v>
      </c>
      <c r="AK23" s="1463">
        <f t="shared" si="6"/>
        <v>6.5</v>
      </c>
      <c r="AL23" s="1731">
        <v>9</v>
      </c>
      <c r="AM23" s="1756">
        <v>1.25</v>
      </c>
      <c r="AN23" s="651">
        <f t="shared" si="23"/>
        <v>17</v>
      </c>
      <c r="AO23" s="1435" t="str">
        <f t="shared" si="7"/>
        <v>PL 1 x 28 x 38</v>
      </c>
      <c r="AP23" s="1514">
        <f t="shared" si="24"/>
        <v>340.39780108902261</v>
      </c>
      <c r="AQ23" s="1521">
        <f t="shared" si="25"/>
        <v>339.14709779154799</v>
      </c>
      <c r="AS23" s="925">
        <f t="shared" si="8"/>
        <v>38</v>
      </c>
      <c r="AT23" s="925">
        <f t="shared" si="26"/>
        <v>24.887304302656641</v>
      </c>
      <c r="AU23" s="925">
        <f t="shared" si="27"/>
        <v>66.071620495810336</v>
      </c>
      <c r="AV23">
        <f t="shared" si="9"/>
        <v>301.75040000000001</v>
      </c>
      <c r="AW23">
        <f t="shared" si="28"/>
        <v>275.95444892715477</v>
      </c>
      <c r="AX23">
        <f t="shared" si="43"/>
        <v>38.647401089022587</v>
      </c>
      <c r="AY23">
        <f t="shared" si="30"/>
        <v>43.995643329022585</v>
      </c>
      <c r="AZ23">
        <f t="shared" si="10"/>
        <v>0.8125</v>
      </c>
      <c r="BA23">
        <f t="shared" si="11"/>
        <v>4</v>
      </c>
      <c r="BB23">
        <f t="shared" si="31"/>
        <v>8.3388741526675414E-2</v>
      </c>
      <c r="BD23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768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252">
        <v>18.75</v>
      </c>
      <c r="C24" s="1776">
        <v>18.75</v>
      </c>
      <c r="D24" s="1780">
        <v>19.75</v>
      </c>
      <c r="E24" s="1287">
        <v>20.5</v>
      </c>
      <c r="F24" s="1776">
        <v>0.375</v>
      </c>
      <c r="G24" s="1252" t="s">
        <v>321</v>
      </c>
      <c r="H24" s="1241">
        <v>1</v>
      </c>
      <c r="I24" s="1239">
        <v>65</v>
      </c>
      <c r="J24" s="1242">
        <f t="shared" si="39"/>
        <v>3</v>
      </c>
      <c r="K24" s="1273">
        <f t="shared" si="20"/>
        <v>24.125</v>
      </c>
      <c r="L24" s="1271" t="s">
        <v>349</v>
      </c>
      <c r="M24" s="1239" t="s">
        <v>375</v>
      </c>
      <c r="N24" s="1243">
        <f t="shared" si="0"/>
        <v>1</v>
      </c>
      <c r="O24" s="1244">
        <f t="shared" si="1"/>
        <v>65</v>
      </c>
      <c r="P24" s="1283">
        <v>24</v>
      </c>
      <c r="Q24" s="1252">
        <v>36</v>
      </c>
      <c r="R24" s="1242">
        <f t="shared" si="2"/>
        <v>16</v>
      </c>
      <c r="S24" s="1242">
        <f t="shared" si="21"/>
        <v>2</v>
      </c>
      <c r="T24" s="1287">
        <f t="shared" si="3"/>
        <v>2</v>
      </c>
      <c r="U24" s="1285">
        <v>2</v>
      </c>
      <c r="V24" s="1243">
        <f t="shared" si="40"/>
        <v>1</v>
      </c>
      <c r="W24" s="1240">
        <v>3.25</v>
      </c>
      <c r="X24" s="1242">
        <f t="shared" si="41"/>
        <v>65</v>
      </c>
      <c r="Y24" s="1289">
        <f t="shared" si="42"/>
        <v>21.5</v>
      </c>
      <c r="Z24" s="1311">
        <v>16</v>
      </c>
      <c r="AA24" s="1397">
        <v>4</v>
      </c>
      <c r="AB24" s="1398">
        <v>4</v>
      </c>
      <c r="AC24" s="1224" t="s">
        <v>47</v>
      </c>
      <c r="AD24" s="1225">
        <v>1.5</v>
      </c>
      <c r="AE24" s="669">
        <f t="shared" si="22"/>
        <v>1.625</v>
      </c>
      <c r="AF24" s="1502">
        <f t="shared" si="4"/>
        <v>4</v>
      </c>
      <c r="AG24" s="671" t="s">
        <v>412</v>
      </c>
      <c r="AH24" s="672" t="s">
        <v>413</v>
      </c>
      <c r="AI24" s="1312" t="s">
        <v>413</v>
      </c>
      <c r="AJ24" s="1483">
        <f t="shared" si="5"/>
        <v>7.75</v>
      </c>
      <c r="AK24" s="1464">
        <f t="shared" si="6"/>
        <v>6.75</v>
      </c>
      <c r="AL24" s="1732">
        <v>9</v>
      </c>
      <c r="AM24" s="1757">
        <v>1.25</v>
      </c>
      <c r="AN24" s="676">
        <f t="shared" si="23"/>
        <v>17.125</v>
      </c>
      <c r="AO24" s="1436" t="str">
        <f t="shared" si="7"/>
        <v>PL 1 x 36 x 38 1/2</v>
      </c>
      <c r="AP24" s="1513">
        <f t="shared" si="24"/>
        <v>435.1202010890226</v>
      </c>
      <c r="AQ24" s="1448">
        <f t="shared" si="25"/>
        <v>437.05900116813228</v>
      </c>
      <c r="AS24" s="925">
        <f t="shared" si="8"/>
        <v>38.5</v>
      </c>
      <c r="AT24" s="925">
        <f t="shared" si="26"/>
        <v>33.183072403542191</v>
      </c>
      <c r="AU24" s="925">
        <f t="shared" si="27"/>
        <v>66.071620495810336</v>
      </c>
      <c r="AV24">
        <f t="shared" si="9"/>
        <v>393.06960000000004</v>
      </c>
      <c r="AW24">
        <f t="shared" si="28"/>
        <v>364.92096909374368</v>
      </c>
      <c r="AX24">
        <f t="shared" si="43"/>
        <v>42.050601089022585</v>
      </c>
      <c r="AY24">
        <f t="shared" si="30"/>
        <v>47.398843329022583</v>
      </c>
      <c r="AZ24">
        <f t="shared" si="10"/>
        <v>0.8125</v>
      </c>
      <c r="BA24">
        <f t="shared" si="11"/>
        <v>4</v>
      </c>
      <c r="BB24">
        <f t="shared" si="31"/>
        <v>8.3388741526675414E-2</v>
      </c>
      <c r="BD24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768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928"/>
      <c r="B25" s="1251">
        <v>20.5</v>
      </c>
      <c r="C25" s="1777">
        <v>20.5</v>
      </c>
      <c r="D25" s="1781">
        <v>21.375</v>
      </c>
      <c r="E25" s="1286">
        <v>22.25</v>
      </c>
      <c r="F25" s="1777">
        <v>0.25</v>
      </c>
      <c r="G25" s="1251" t="s">
        <v>322</v>
      </c>
      <c r="H25" s="1235">
        <v>1</v>
      </c>
      <c r="I25" s="1233">
        <v>65</v>
      </c>
      <c r="J25" s="1236">
        <f t="shared" si="39"/>
        <v>3</v>
      </c>
      <c r="K25" s="1272">
        <f t="shared" si="20"/>
        <v>26.125</v>
      </c>
      <c r="L25" s="1270" t="s">
        <v>350</v>
      </c>
      <c r="M25" s="1233" t="s">
        <v>376</v>
      </c>
      <c r="N25" s="1237">
        <f t="shared" si="0"/>
        <v>1</v>
      </c>
      <c r="O25" s="1238">
        <f t="shared" si="1"/>
        <v>65</v>
      </c>
      <c r="P25" s="1282">
        <v>26</v>
      </c>
      <c r="Q25" s="1251">
        <v>32</v>
      </c>
      <c r="R25" s="1236">
        <f t="shared" si="2"/>
        <v>14</v>
      </c>
      <c r="S25" s="1236">
        <f t="shared" si="21"/>
        <v>2</v>
      </c>
      <c r="T25" s="1286">
        <f t="shared" si="3"/>
        <v>2</v>
      </c>
      <c r="U25" s="1284">
        <v>2</v>
      </c>
      <c r="V25" s="1237">
        <f t="shared" si="40"/>
        <v>1</v>
      </c>
      <c r="W25" s="1234">
        <v>3.25</v>
      </c>
      <c r="X25" s="1236">
        <f t="shared" si="41"/>
        <v>65</v>
      </c>
      <c r="Y25" s="1288">
        <f t="shared" si="42"/>
        <v>23.25</v>
      </c>
      <c r="Z25" s="1313">
        <v>12</v>
      </c>
      <c r="AA25" s="1399">
        <v>6</v>
      </c>
      <c r="AB25" s="1400">
        <v>4</v>
      </c>
      <c r="AC25" s="1226" t="s">
        <v>47</v>
      </c>
      <c r="AD25" s="1227">
        <v>1.5</v>
      </c>
      <c r="AE25" s="696">
        <f t="shared" si="22"/>
        <v>1.625</v>
      </c>
      <c r="AF25" s="1503">
        <f t="shared" si="4"/>
        <v>4</v>
      </c>
      <c r="AG25" s="698" t="s">
        <v>412</v>
      </c>
      <c r="AH25" s="699" t="s">
        <v>413</v>
      </c>
      <c r="AI25" s="1314" t="s">
        <v>413</v>
      </c>
      <c r="AJ25" s="1484">
        <f t="shared" si="5"/>
        <v>7.75</v>
      </c>
      <c r="AK25" s="1465">
        <f t="shared" si="6"/>
        <v>6.75</v>
      </c>
      <c r="AL25" s="1733">
        <v>9.5</v>
      </c>
      <c r="AM25" s="1758">
        <v>1.25</v>
      </c>
      <c r="AN25" s="703">
        <f t="shared" si="23"/>
        <v>19</v>
      </c>
      <c r="AO25" s="1437" t="str">
        <f t="shared" si="7"/>
        <v>PL 1 x 32 x 40 1/2</v>
      </c>
      <c r="AP25" s="1514">
        <f t="shared" si="24"/>
        <v>413.2830010890226</v>
      </c>
      <c r="AQ25" s="1449">
        <f t="shared" si="25"/>
        <v>414.82268668938508</v>
      </c>
      <c r="AS25" s="925">
        <f t="shared" si="8"/>
        <v>40.5</v>
      </c>
      <c r="AT25" s="925">
        <f t="shared" si="26"/>
        <v>24.887304302656641</v>
      </c>
      <c r="AU25" s="925">
        <f t="shared" si="27"/>
        <v>73.336553507236729</v>
      </c>
      <c r="AV25">
        <f t="shared" si="9"/>
        <v>367.54560000000004</v>
      </c>
      <c r="AW25">
        <f t="shared" si="28"/>
        <v>339.68931392511428</v>
      </c>
      <c r="AX25">
        <f t="shared" si="43"/>
        <v>45.73740108902259</v>
      </c>
      <c r="AY25">
        <f t="shared" si="30"/>
        <v>51.652843329022588</v>
      </c>
      <c r="AZ25">
        <f t="shared" si="10"/>
        <v>0.8125</v>
      </c>
      <c r="BA25">
        <f t="shared" si="11"/>
        <v>4</v>
      </c>
      <c r="BB25">
        <f t="shared" si="31"/>
        <v>8.3388741526675414E-2</v>
      </c>
      <c r="BD25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768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252"/>
      <c r="C26" s="1776"/>
      <c r="D26" s="1780">
        <v>20.75</v>
      </c>
      <c r="E26" s="1287">
        <v>21.25</v>
      </c>
      <c r="F26" s="1776">
        <v>0.375</v>
      </c>
      <c r="G26" s="1252" t="s">
        <v>323</v>
      </c>
      <c r="H26" s="1241">
        <v>1.25</v>
      </c>
      <c r="I26" s="1239">
        <v>65</v>
      </c>
      <c r="J26" s="1242">
        <f t="shared" si="39"/>
        <v>3.75</v>
      </c>
      <c r="K26" s="1273">
        <f t="shared" si="20"/>
        <v>26.125</v>
      </c>
      <c r="L26" s="1271" t="s">
        <v>351</v>
      </c>
      <c r="M26" s="1239" t="s">
        <v>377</v>
      </c>
      <c r="N26" s="1243">
        <f t="shared" si="0"/>
        <v>1.25</v>
      </c>
      <c r="O26" s="1244">
        <f t="shared" si="1"/>
        <v>65</v>
      </c>
      <c r="P26" s="1283">
        <v>26</v>
      </c>
      <c r="Q26" s="1252">
        <v>32</v>
      </c>
      <c r="R26" s="1242">
        <f t="shared" si="2"/>
        <v>14</v>
      </c>
      <c r="S26" s="1242">
        <f t="shared" si="21"/>
        <v>2</v>
      </c>
      <c r="T26" s="1287">
        <f t="shared" si="3"/>
        <v>2</v>
      </c>
      <c r="U26" s="1285">
        <v>2</v>
      </c>
      <c r="V26" s="1243">
        <f t="shared" si="40"/>
        <v>1.25</v>
      </c>
      <c r="W26" s="1240">
        <v>3.25</v>
      </c>
      <c r="X26" s="1242">
        <f t="shared" si="41"/>
        <v>65</v>
      </c>
      <c r="Y26" s="1289">
        <f t="shared" si="42"/>
        <v>22.5</v>
      </c>
      <c r="Z26" s="1348">
        <v>12</v>
      </c>
      <c r="AA26" s="1401">
        <v>6</v>
      </c>
      <c r="AB26" s="1402">
        <v>4</v>
      </c>
      <c r="AC26" s="1349" t="s">
        <v>49</v>
      </c>
      <c r="AD26" s="1350">
        <v>1.5</v>
      </c>
      <c r="AE26" s="722">
        <f t="shared" si="22"/>
        <v>1.625</v>
      </c>
      <c r="AF26" s="1504">
        <f t="shared" si="4"/>
        <v>4.5</v>
      </c>
      <c r="AG26" s="724" t="s">
        <v>412</v>
      </c>
      <c r="AH26" s="725" t="s">
        <v>413</v>
      </c>
      <c r="AI26" s="1315" t="s">
        <v>413</v>
      </c>
      <c r="AJ26" s="1485">
        <f t="shared" si="5"/>
        <v>8.25</v>
      </c>
      <c r="AK26" s="1466">
        <f t="shared" si="6"/>
        <v>7.5</v>
      </c>
      <c r="AL26" s="1734">
        <v>9</v>
      </c>
      <c r="AM26" s="1759">
        <v>1.25</v>
      </c>
      <c r="AN26" s="729">
        <f t="shared" si="23"/>
        <v>18.125</v>
      </c>
      <c r="AO26" s="1438" t="str">
        <f t="shared" si="7"/>
        <v>PL 1 1/4 x 32 x 41 1/4</v>
      </c>
      <c r="AP26" s="1513">
        <f t="shared" si="24"/>
        <v>523.5712052519973</v>
      </c>
      <c r="AQ26" s="1450">
        <f t="shared" si="25"/>
        <v>528.64380336359716</v>
      </c>
      <c r="AS26" s="925">
        <f t="shared" si="8"/>
        <v>41.25</v>
      </c>
      <c r="AT26" s="925">
        <f t="shared" si="26"/>
        <v>24.887304302656641</v>
      </c>
      <c r="AU26" s="925">
        <f t="shared" si="27"/>
        <v>66.071620495810336</v>
      </c>
      <c r="AV26">
        <f t="shared" si="9"/>
        <v>467.94000000000005</v>
      </c>
      <c r="AW26">
        <f t="shared" si="28"/>
        <v>435.69506115894347</v>
      </c>
      <c r="AX26">
        <f t="shared" si="43"/>
        <v>55.631205251997244</v>
      </c>
      <c r="AY26">
        <f t="shared" si="30"/>
        <v>63.025508051997235</v>
      </c>
      <c r="AZ26">
        <f t="shared" si="10"/>
        <v>0.9375</v>
      </c>
      <c r="BA26">
        <f t="shared" si="11"/>
        <v>5</v>
      </c>
      <c r="BB26">
        <f t="shared" si="31"/>
        <v>8.8676985780715256E-2</v>
      </c>
      <c r="BD26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768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251"/>
      <c r="C27" s="1777"/>
      <c r="D27" s="1781">
        <v>23.375</v>
      </c>
      <c r="E27" s="1286">
        <v>24.25</v>
      </c>
      <c r="F27" s="1777">
        <v>0.25</v>
      </c>
      <c r="G27" s="1251" t="s">
        <v>324</v>
      </c>
      <c r="H27" s="1235">
        <v>1</v>
      </c>
      <c r="I27" s="1233">
        <v>65</v>
      </c>
      <c r="J27" s="1236">
        <f t="shared" si="39"/>
        <v>3</v>
      </c>
      <c r="K27" s="1272">
        <f t="shared" si="20"/>
        <v>28.125</v>
      </c>
      <c r="L27" s="1270" t="s">
        <v>352</v>
      </c>
      <c r="M27" s="1233" t="s">
        <v>378</v>
      </c>
      <c r="N27" s="1237">
        <f t="shared" si="0"/>
        <v>1</v>
      </c>
      <c r="O27" s="1238">
        <f t="shared" si="1"/>
        <v>65</v>
      </c>
      <c r="P27" s="1282">
        <v>28</v>
      </c>
      <c r="Q27" s="1251">
        <v>32</v>
      </c>
      <c r="R27" s="1236">
        <f t="shared" si="2"/>
        <v>14</v>
      </c>
      <c r="S27" s="1236">
        <f t="shared" si="21"/>
        <v>2</v>
      </c>
      <c r="T27" s="1286">
        <f t="shared" si="3"/>
        <v>2</v>
      </c>
      <c r="U27" s="1284">
        <v>2</v>
      </c>
      <c r="V27" s="1237">
        <f t="shared" si="40"/>
        <v>1</v>
      </c>
      <c r="W27" s="1234">
        <v>3.25</v>
      </c>
      <c r="X27" s="1236">
        <f t="shared" si="41"/>
        <v>65</v>
      </c>
      <c r="Y27" s="1288">
        <f t="shared" si="42"/>
        <v>25.25</v>
      </c>
      <c r="Z27" s="1351">
        <v>12</v>
      </c>
      <c r="AA27" s="1403">
        <v>6</v>
      </c>
      <c r="AB27" s="1404">
        <v>4</v>
      </c>
      <c r="AC27" s="1352" t="s">
        <v>47</v>
      </c>
      <c r="AD27" s="1353">
        <v>1.5</v>
      </c>
      <c r="AE27" s="749">
        <f t="shared" si="22"/>
        <v>1.625</v>
      </c>
      <c r="AF27" s="1505">
        <f t="shared" si="4"/>
        <v>4</v>
      </c>
      <c r="AG27" s="751" t="s">
        <v>412</v>
      </c>
      <c r="AH27" s="752" t="s">
        <v>413</v>
      </c>
      <c r="AI27" s="1316" t="s">
        <v>413</v>
      </c>
      <c r="AJ27" s="1486">
        <f t="shared" si="5"/>
        <v>7.75</v>
      </c>
      <c r="AK27" s="1467">
        <f t="shared" si="6"/>
        <v>6.75</v>
      </c>
      <c r="AL27" s="1735">
        <v>10.5</v>
      </c>
      <c r="AM27" s="1760">
        <v>1.25</v>
      </c>
      <c r="AN27" s="756">
        <f t="shared" si="23"/>
        <v>21</v>
      </c>
      <c r="AO27" s="1439" t="str">
        <f t="shared" si="7"/>
        <v>PL 1 x 32 x 42 1/2</v>
      </c>
      <c r="AP27" s="1514">
        <f t="shared" si="24"/>
        <v>435.1202010890226</v>
      </c>
      <c r="AQ27" s="1451">
        <f t="shared" si="25"/>
        <v>433.84928560362727</v>
      </c>
      <c r="AS27" s="925">
        <f t="shared" si="8"/>
        <v>42.5</v>
      </c>
      <c r="AT27" s="925">
        <f t="shared" si="26"/>
        <v>24.887304302656641</v>
      </c>
      <c r="AU27" s="925">
        <f t="shared" si="27"/>
        <v>89.044516775185699</v>
      </c>
      <c r="AV27">
        <f t="shared" si="9"/>
        <v>385.69600000000003</v>
      </c>
      <c r="AW27">
        <f t="shared" si="28"/>
        <v>353.38493554232389</v>
      </c>
      <c r="AX27">
        <f t="shared" si="43"/>
        <v>49.424201089022588</v>
      </c>
      <c r="AY27">
        <f t="shared" si="30"/>
        <v>55.906843329022585</v>
      </c>
      <c r="AZ27">
        <f t="shared" si="10"/>
        <v>0.8125</v>
      </c>
      <c r="BA27">
        <f t="shared" si="11"/>
        <v>4</v>
      </c>
      <c r="BB27">
        <f t="shared" si="31"/>
        <v>8.3388741526675414E-2</v>
      </c>
      <c r="BD27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768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252"/>
      <c r="C28" s="1776"/>
      <c r="D28" s="1780">
        <v>22.5</v>
      </c>
      <c r="E28" s="1287">
        <v>23.25</v>
      </c>
      <c r="F28" s="1776">
        <v>0.375</v>
      </c>
      <c r="G28" s="1252" t="s">
        <v>325</v>
      </c>
      <c r="H28" s="1241">
        <v>1.25</v>
      </c>
      <c r="I28" s="1239">
        <v>65</v>
      </c>
      <c r="J28" s="1242">
        <f t="shared" si="39"/>
        <v>3.75</v>
      </c>
      <c r="K28" s="1273">
        <f t="shared" si="20"/>
        <v>28.125</v>
      </c>
      <c r="L28" s="1271" t="s">
        <v>353</v>
      </c>
      <c r="M28" s="1239" t="s">
        <v>379</v>
      </c>
      <c r="N28" s="1243">
        <f t="shared" si="0"/>
        <v>1.25</v>
      </c>
      <c r="O28" s="1244">
        <f t="shared" si="1"/>
        <v>65</v>
      </c>
      <c r="P28" s="1283">
        <v>28</v>
      </c>
      <c r="Q28" s="1252">
        <v>33.5</v>
      </c>
      <c r="R28" s="1242">
        <f t="shared" si="2"/>
        <v>14.25</v>
      </c>
      <c r="S28" s="1242">
        <f t="shared" si="21"/>
        <v>2.5</v>
      </c>
      <c r="T28" s="1287">
        <f t="shared" si="3"/>
        <v>2.5</v>
      </c>
      <c r="U28" s="1285">
        <v>2</v>
      </c>
      <c r="V28" s="1243">
        <f t="shared" si="40"/>
        <v>1.25</v>
      </c>
      <c r="W28" s="1240">
        <v>3.75</v>
      </c>
      <c r="X28" s="1242">
        <f t="shared" si="41"/>
        <v>65</v>
      </c>
      <c r="Y28" s="1289">
        <f t="shared" si="42"/>
        <v>24.5</v>
      </c>
      <c r="Z28" s="1354">
        <v>12</v>
      </c>
      <c r="AA28" s="1405">
        <v>4.75</v>
      </c>
      <c r="AB28" s="1406">
        <v>4.75</v>
      </c>
      <c r="AC28" s="1355" t="s">
        <v>49</v>
      </c>
      <c r="AD28" s="1356">
        <v>1.75</v>
      </c>
      <c r="AE28" s="776">
        <f t="shared" si="22"/>
        <v>1.875</v>
      </c>
      <c r="AF28" s="1506">
        <f t="shared" si="4"/>
        <v>4.75</v>
      </c>
      <c r="AG28" s="778" t="s">
        <v>412</v>
      </c>
      <c r="AH28" s="779" t="s">
        <v>413</v>
      </c>
      <c r="AI28" s="1317" t="s">
        <v>413</v>
      </c>
      <c r="AJ28" s="1487">
        <f t="shared" si="5"/>
        <v>9.25</v>
      </c>
      <c r="AK28" s="1468">
        <f t="shared" si="6"/>
        <v>8</v>
      </c>
      <c r="AL28" s="1736">
        <v>10</v>
      </c>
      <c r="AM28" s="1761">
        <v>1.25</v>
      </c>
      <c r="AN28" s="779">
        <f t="shared" si="23"/>
        <v>19.875</v>
      </c>
      <c r="AO28" s="1440" t="str">
        <f t="shared" si="7"/>
        <v>PL 1 1/4 x 33 1/2 x 45 1/4</v>
      </c>
      <c r="AP28" s="1513">
        <f t="shared" si="24"/>
        <v>607.5433927519972</v>
      </c>
      <c r="AQ28" s="1452">
        <f t="shared" si="25"/>
        <v>609.6995546117314</v>
      </c>
      <c r="AS28" s="925">
        <f t="shared" si="8"/>
        <v>45.25</v>
      </c>
      <c r="AT28" s="925">
        <f t="shared" si="26"/>
        <v>33.133985018329852</v>
      </c>
      <c r="AU28" s="925">
        <f t="shared" si="27"/>
        <v>80.99418560036186</v>
      </c>
      <c r="AV28">
        <f t="shared" si="9"/>
        <v>537.37768749999998</v>
      </c>
      <c r="AW28">
        <f t="shared" si="28"/>
        <v>496.91925101567381</v>
      </c>
      <c r="AX28">
        <f t="shared" si="43"/>
        <v>70.165705251997238</v>
      </c>
      <c r="AY28">
        <f t="shared" si="30"/>
        <v>78.269008051997233</v>
      </c>
      <c r="AZ28">
        <f t="shared" si="10"/>
        <v>0.9375</v>
      </c>
      <c r="BA28">
        <f t="shared" si="11"/>
        <v>5</v>
      </c>
      <c r="BB28">
        <f t="shared" si="31"/>
        <v>8.8676985780715256E-2</v>
      </c>
      <c r="BD28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768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B29" s="1251"/>
      <c r="C29" s="1777"/>
      <c r="D29" s="1781">
        <v>24.5</v>
      </c>
      <c r="E29" s="1286">
        <v>25.25</v>
      </c>
      <c r="F29" s="1777">
        <v>0.3125</v>
      </c>
      <c r="G29" s="1251" t="s">
        <v>326</v>
      </c>
      <c r="H29" s="1235">
        <v>1.25</v>
      </c>
      <c r="I29" s="1233">
        <v>65</v>
      </c>
      <c r="J29" s="1236">
        <f t="shared" si="39"/>
        <v>3.75</v>
      </c>
      <c r="K29" s="1272">
        <f t="shared" si="20"/>
        <v>30.125</v>
      </c>
      <c r="L29" s="1270" t="s">
        <v>354</v>
      </c>
      <c r="M29" s="1233" t="s">
        <v>380</v>
      </c>
      <c r="N29" s="1237">
        <f t="shared" si="0"/>
        <v>1.25</v>
      </c>
      <c r="O29" s="1238">
        <f t="shared" si="1"/>
        <v>65</v>
      </c>
      <c r="P29" s="1282">
        <v>30</v>
      </c>
      <c r="Q29" s="1251">
        <v>33.5</v>
      </c>
      <c r="R29" s="1236">
        <f t="shared" si="2"/>
        <v>14.25</v>
      </c>
      <c r="S29" s="1236">
        <f t="shared" si="21"/>
        <v>2.5</v>
      </c>
      <c r="T29" s="1286">
        <f t="shared" si="3"/>
        <v>2.5</v>
      </c>
      <c r="U29" s="1284">
        <v>2</v>
      </c>
      <c r="V29" s="1237">
        <f t="shared" si="40"/>
        <v>1.25</v>
      </c>
      <c r="W29" s="1234">
        <v>3.75</v>
      </c>
      <c r="X29" s="1236">
        <f t="shared" si="41"/>
        <v>65</v>
      </c>
      <c r="Y29" s="1288">
        <f t="shared" si="42"/>
        <v>26.5</v>
      </c>
      <c r="Z29" s="1357">
        <v>12</v>
      </c>
      <c r="AA29" s="1407">
        <v>4.75</v>
      </c>
      <c r="AB29" s="1408">
        <v>4.75</v>
      </c>
      <c r="AC29" s="1358" t="s">
        <v>49</v>
      </c>
      <c r="AD29" s="1359">
        <v>1.75</v>
      </c>
      <c r="AE29" s="803">
        <f t="shared" si="22"/>
        <v>1.875</v>
      </c>
      <c r="AF29" s="1507">
        <f t="shared" si="4"/>
        <v>4.75</v>
      </c>
      <c r="AG29" s="805" t="s">
        <v>412</v>
      </c>
      <c r="AH29" s="806" t="s">
        <v>413</v>
      </c>
      <c r="AI29" s="1318" t="s">
        <v>413</v>
      </c>
      <c r="AJ29" s="1488">
        <f t="shared" si="5"/>
        <v>9.25</v>
      </c>
      <c r="AK29" s="1469">
        <f t="shared" si="6"/>
        <v>8</v>
      </c>
      <c r="AL29" s="1737">
        <v>11</v>
      </c>
      <c r="AM29" s="1762">
        <v>1.25</v>
      </c>
      <c r="AN29" s="810">
        <f t="shared" si="23"/>
        <v>22</v>
      </c>
      <c r="AO29" s="1441" t="str">
        <f t="shared" si="7"/>
        <v>PL 1 1/4 x 33 1/2 x 47 1/4</v>
      </c>
      <c r="AP29" s="1514">
        <f t="shared" si="24"/>
        <v>636.61239275199728</v>
      </c>
      <c r="AQ29" s="1522">
        <f t="shared" si="25"/>
        <v>635.06652418667431</v>
      </c>
      <c r="AS29" s="925">
        <f t="shared" si="8"/>
        <v>47.25</v>
      </c>
      <c r="AT29" s="925">
        <f t="shared" si="26"/>
        <v>33.133985018329852</v>
      </c>
      <c r="AU29" s="925">
        <f t="shared" si="27"/>
        <v>97.487547031708274</v>
      </c>
      <c r="AV29">
        <f t="shared" si="9"/>
        <v>561.12918750000006</v>
      </c>
      <c r="AW29">
        <f t="shared" si="28"/>
        <v>514.82385438826157</v>
      </c>
      <c r="AX29">
        <f t="shared" si="43"/>
        <v>75.483205251997248</v>
      </c>
      <c r="AY29">
        <f t="shared" si="30"/>
        <v>84.295508051997231</v>
      </c>
      <c r="AZ29">
        <f t="shared" si="10"/>
        <v>1</v>
      </c>
      <c r="BA29">
        <f t="shared" si="11"/>
        <v>5</v>
      </c>
      <c r="BB29">
        <f t="shared" si="31"/>
        <v>0.10102051443364424</v>
      </c>
      <c r="BD29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768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B30" s="1252"/>
      <c r="C30" s="1776"/>
      <c r="D30" s="1780">
        <v>24.75</v>
      </c>
      <c r="E30" s="1287">
        <v>25.5</v>
      </c>
      <c r="F30" s="1776">
        <v>0.4375</v>
      </c>
      <c r="G30" s="1252" t="s">
        <v>327</v>
      </c>
      <c r="H30" s="1241">
        <v>1.25</v>
      </c>
      <c r="I30" s="1239">
        <v>65</v>
      </c>
      <c r="J30" s="1242">
        <f t="shared" si="39"/>
        <v>3.75</v>
      </c>
      <c r="K30" s="1273">
        <f t="shared" si="20"/>
        <v>30.125</v>
      </c>
      <c r="L30" s="1271" t="s">
        <v>355</v>
      </c>
      <c r="M30" s="1239" t="s">
        <v>381</v>
      </c>
      <c r="N30" s="1243">
        <f t="shared" si="0"/>
        <v>1.25</v>
      </c>
      <c r="O30" s="1244">
        <f t="shared" si="1"/>
        <v>65</v>
      </c>
      <c r="P30" s="1283">
        <v>30</v>
      </c>
      <c r="Q30" s="1252">
        <v>38.25</v>
      </c>
      <c r="R30" s="1242">
        <f t="shared" si="2"/>
        <v>16.625</v>
      </c>
      <c r="S30" s="1242">
        <f t="shared" si="21"/>
        <v>2.5</v>
      </c>
      <c r="T30" s="1287">
        <f t="shared" si="3"/>
        <v>2.5</v>
      </c>
      <c r="U30" s="1285">
        <v>2</v>
      </c>
      <c r="V30" s="1243">
        <f t="shared" si="40"/>
        <v>1.25</v>
      </c>
      <c r="W30" s="1240">
        <v>4</v>
      </c>
      <c r="X30" s="1242">
        <f t="shared" si="41"/>
        <v>65</v>
      </c>
      <c r="Y30" s="1289">
        <f t="shared" si="42"/>
        <v>26.75</v>
      </c>
      <c r="Z30" s="1360">
        <v>16</v>
      </c>
      <c r="AA30" s="1409">
        <v>2.375</v>
      </c>
      <c r="AB30" s="1410">
        <v>4.75</v>
      </c>
      <c r="AC30" s="1361" t="s">
        <v>49</v>
      </c>
      <c r="AD30" s="1362">
        <v>1.75</v>
      </c>
      <c r="AE30" s="831">
        <f t="shared" si="22"/>
        <v>1.875</v>
      </c>
      <c r="AF30" s="1508">
        <f t="shared" si="4"/>
        <v>4.75</v>
      </c>
      <c r="AG30" s="833" t="s">
        <v>412</v>
      </c>
      <c r="AH30" s="834" t="s">
        <v>413</v>
      </c>
      <c r="AI30" s="1319" t="s">
        <v>413</v>
      </c>
      <c r="AJ30" s="1489">
        <f t="shared" si="5"/>
        <v>9.5</v>
      </c>
      <c r="AK30" s="1470">
        <f t="shared" si="6"/>
        <v>8.25</v>
      </c>
      <c r="AL30" s="1738">
        <v>11</v>
      </c>
      <c r="AM30" s="1763">
        <v>1.25</v>
      </c>
      <c r="AN30" s="838">
        <f t="shared" si="23"/>
        <v>22</v>
      </c>
      <c r="AO30" s="1442" t="str">
        <f t="shared" si="7"/>
        <v>PL 1 1/4 x 38 1/4 x 47 3/4</v>
      </c>
      <c r="AP30" s="1513">
        <f t="shared" si="24"/>
        <v>728.27279900199721</v>
      </c>
      <c r="AQ30" s="1453">
        <f t="shared" si="25"/>
        <v>728.07630229489496</v>
      </c>
      <c r="AS30" s="925">
        <f t="shared" si="8"/>
        <v>47.75</v>
      </c>
      <c r="AT30" s="925">
        <f t="shared" si="26"/>
        <v>44.178646691106465</v>
      </c>
      <c r="AU30" s="925">
        <f t="shared" si="27"/>
        <v>97.487547031708274</v>
      </c>
      <c r="AV30">
        <f t="shared" si="9"/>
        <v>647.47209375</v>
      </c>
      <c r="AW30">
        <f t="shared" si="28"/>
        <v>597.2514280752622</v>
      </c>
      <c r="AX30">
        <f t="shared" si="43"/>
        <v>80.800705251997243</v>
      </c>
      <c r="AY30">
        <f t="shared" si="30"/>
        <v>89.613008051997241</v>
      </c>
      <c r="AZ30">
        <f t="shared" si="10"/>
        <v>1</v>
      </c>
      <c r="BA30">
        <f t="shared" si="11"/>
        <v>5</v>
      </c>
      <c r="BB30">
        <f t="shared" si="31"/>
        <v>0.10102051443364424</v>
      </c>
      <c r="BD3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768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B31" s="1253"/>
      <c r="C31" s="1713"/>
      <c r="D31" s="1782">
        <v>26.5</v>
      </c>
      <c r="E31" s="1783">
        <v>27.25</v>
      </c>
      <c r="F31" s="1713">
        <v>0.3125</v>
      </c>
      <c r="G31" s="1274" t="s">
        <v>328</v>
      </c>
      <c r="H31" s="1245">
        <v>1.25</v>
      </c>
      <c r="I31" s="1246">
        <v>65</v>
      </c>
      <c r="J31" s="1230">
        <f t="shared" si="39"/>
        <v>3.75</v>
      </c>
      <c r="K31" s="1275">
        <f t="shared" si="20"/>
        <v>32.125</v>
      </c>
      <c r="L31" s="1328" t="s">
        <v>356</v>
      </c>
      <c r="M31" s="1329" t="s">
        <v>382</v>
      </c>
      <c r="N31" s="1231">
        <f t="shared" si="0"/>
        <v>1.25</v>
      </c>
      <c r="O31" s="1232">
        <f t="shared" si="1"/>
        <v>65</v>
      </c>
      <c r="P31" s="1336">
        <v>32</v>
      </c>
      <c r="Q31" s="1373">
        <v>38.25</v>
      </c>
      <c r="R31" s="1377">
        <f t="shared" si="2"/>
        <v>16.625</v>
      </c>
      <c r="S31" s="1228">
        <f t="shared" si="21"/>
        <v>2.5</v>
      </c>
      <c r="T31" s="1341">
        <f t="shared" si="3"/>
        <v>2.5</v>
      </c>
      <c r="U31" s="1345">
        <v>2</v>
      </c>
      <c r="V31" s="1231">
        <f t="shared" si="40"/>
        <v>1.25</v>
      </c>
      <c r="W31" s="1324">
        <v>4</v>
      </c>
      <c r="X31" s="1228">
        <f t="shared" si="41"/>
        <v>65</v>
      </c>
      <c r="Y31" s="1290">
        <f t="shared" si="42"/>
        <v>28.5</v>
      </c>
      <c r="Z31" s="1363">
        <v>12</v>
      </c>
      <c r="AA31" s="1411">
        <v>7.125</v>
      </c>
      <c r="AB31" s="1412">
        <v>4.75</v>
      </c>
      <c r="AC31" s="1364" t="s">
        <v>49</v>
      </c>
      <c r="AD31" s="1365">
        <v>1.75</v>
      </c>
      <c r="AE31" s="858">
        <f t="shared" si="22"/>
        <v>1.875</v>
      </c>
      <c r="AF31" s="1509">
        <f t="shared" si="4"/>
        <v>4.75</v>
      </c>
      <c r="AG31" s="860" t="s">
        <v>412</v>
      </c>
      <c r="AH31" s="861" t="s">
        <v>413</v>
      </c>
      <c r="AI31" s="1320" t="s">
        <v>413</v>
      </c>
      <c r="AJ31" s="1490">
        <f t="shared" si="5"/>
        <v>9.5</v>
      </c>
      <c r="AK31" s="1471">
        <f t="shared" si="6"/>
        <v>8.25</v>
      </c>
      <c r="AL31" s="1739">
        <v>12</v>
      </c>
      <c r="AM31" s="1764">
        <v>1.5</v>
      </c>
      <c r="AN31" s="865">
        <f t="shared" si="23"/>
        <v>23.75</v>
      </c>
      <c r="AO31" s="1443" t="str">
        <f t="shared" si="7"/>
        <v>PL 1 1/4 x 38 1/4 x 49 3/4</v>
      </c>
      <c r="AP31" s="1514">
        <f t="shared" si="24"/>
        <v>761.06404900199732</v>
      </c>
      <c r="AQ31" s="1454">
        <f t="shared" si="25"/>
        <v>760.54304878259029</v>
      </c>
      <c r="AS31" s="925">
        <f t="shared" si="8"/>
        <v>49.75</v>
      </c>
      <c r="AT31" s="925">
        <f t="shared" si="26"/>
        <v>33.133985018329852</v>
      </c>
      <c r="AU31" s="925">
        <f t="shared" si="27"/>
        <v>116.63162726452107</v>
      </c>
      <c r="AV31">
        <f t="shared" si="9"/>
        <v>674.59134375000008</v>
      </c>
      <c r="AW31">
        <f t="shared" si="28"/>
        <v>621.49943419572935</v>
      </c>
      <c r="AX31">
        <f t="shared" si="43"/>
        <v>86.47270525199724</v>
      </c>
      <c r="AY31">
        <f t="shared" si="30"/>
        <v>95.994008051997255</v>
      </c>
      <c r="AZ31">
        <f t="shared" si="10"/>
        <v>1</v>
      </c>
      <c r="BA31">
        <f t="shared" si="11"/>
        <v>5</v>
      </c>
      <c r="BB31">
        <f t="shared" si="31"/>
        <v>0.10102051443364424</v>
      </c>
      <c r="BD31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768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B32" s="1254"/>
      <c r="C32" s="1714"/>
      <c r="D32" s="1784">
        <v>26.75</v>
      </c>
      <c r="E32" s="1785">
        <v>27.5</v>
      </c>
      <c r="F32" s="1714">
        <v>0.4375</v>
      </c>
      <c r="G32" s="1276" t="s">
        <v>329</v>
      </c>
      <c r="H32" s="1247">
        <v>1.25</v>
      </c>
      <c r="I32" s="1248">
        <v>65</v>
      </c>
      <c r="J32" s="1208">
        <f t="shared" si="39"/>
        <v>3.75</v>
      </c>
      <c r="K32" s="1277">
        <f t="shared" si="20"/>
        <v>32.125</v>
      </c>
      <c r="L32" s="1330" t="s">
        <v>357</v>
      </c>
      <c r="M32" s="1331" t="s">
        <v>383</v>
      </c>
      <c r="N32" s="875">
        <f t="shared" si="0"/>
        <v>1.25</v>
      </c>
      <c r="O32" s="876">
        <f t="shared" si="1"/>
        <v>65</v>
      </c>
      <c r="P32" s="1337">
        <v>32</v>
      </c>
      <c r="Q32" s="1374">
        <v>43</v>
      </c>
      <c r="R32" s="1378">
        <f t="shared" si="2"/>
        <v>19</v>
      </c>
      <c r="S32" s="1197">
        <f t="shared" si="21"/>
        <v>2.5</v>
      </c>
      <c r="T32" s="1342">
        <f t="shared" si="3"/>
        <v>2.5</v>
      </c>
      <c r="U32" s="1229">
        <v>2</v>
      </c>
      <c r="V32" s="875">
        <f t="shared" si="40"/>
        <v>1.25</v>
      </c>
      <c r="W32" s="1325">
        <v>4.25</v>
      </c>
      <c r="X32" s="1197">
        <f t="shared" si="41"/>
        <v>65</v>
      </c>
      <c r="Y32" s="1291">
        <f t="shared" si="42"/>
        <v>28.75</v>
      </c>
      <c r="Z32" s="1307">
        <v>16</v>
      </c>
      <c r="AA32" s="1393">
        <v>4.75</v>
      </c>
      <c r="AB32" s="1413">
        <v>4.75</v>
      </c>
      <c r="AC32" s="1366" t="s">
        <v>49</v>
      </c>
      <c r="AD32" s="1367">
        <v>1.75</v>
      </c>
      <c r="AE32" s="886">
        <f t="shared" si="22"/>
        <v>1.875</v>
      </c>
      <c r="AF32" s="1510">
        <f t="shared" si="4"/>
        <v>4.75</v>
      </c>
      <c r="AG32" s="888" t="s">
        <v>412</v>
      </c>
      <c r="AH32" s="889" t="s">
        <v>413</v>
      </c>
      <c r="AI32" s="1321" t="s">
        <v>413</v>
      </c>
      <c r="AJ32" s="1491">
        <f t="shared" si="5"/>
        <v>9.75</v>
      </c>
      <c r="AK32" s="1472">
        <f t="shared" si="6"/>
        <v>8.5</v>
      </c>
      <c r="AL32" s="1740">
        <v>12</v>
      </c>
      <c r="AM32" s="1765">
        <v>1.5</v>
      </c>
      <c r="AN32" s="893">
        <f t="shared" si="23"/>
        <v>23.75</v>
      </c>
      <c r="AO32" s="1444" t="str">
        <f t="shared" si="7"/>
        <v>PL 1 1/4 x 43 x 50 1/4</v>
      </c>
      <c r="AP32" s="1513">
        <f t="shared" si="24"/>
        <v>858.13058025199734</v>
      </c>
      <c r="AQ32" s="1455">
        <f t="shared" si="25"/>
        <v>859.2833193908109</v>
      </c>
      <c r="AS32" s="925">
        <f t="shared" si="8"/>
        <v>50.25</v>
      </c>
      <c r="AT32" s="925">
        <f t="shared" si="26"/>
        <v>44.178646691106465</v>
      </c>
      <c r="AU32" s="925">
        <f t="shared" si="27"/>
        <v>116.63162726452107</v>
      </c>
      <c r="AV32">
        <f t="shared" si="9"/>
        <v>765.98587500000008</v>
      </c>
      <c r="AW32">
        <f t="shared" si="28"/>
        <v>708.97863288273004</v>
      </c>
      <c r="AX32">
        <f t="shared" si="43"/>
        <v>92.144705251997237</v>
      </c>
      <c r="AY32">
        <f t="shared" si="30"/>
        <v>101.66600805199725</v>
      </c>
      <c r="AZ32">
        <f t="shared" si="10"/>
        <v>1</v>
      </c>
      <c r="BA32">
        <f t="shared" si="11"/>
        <v>5</v>
      </c>
      <c r="BB32">
        <f t="shared" si="31"/>
        <v>0.10102051443364424</v>
      </c>
      <c r="BD32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768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2:62" ht="14.25" customHeight="1" x14ac:dyDescent="0.25">
      <c r="B33" s="1255"/>
      <c r="C33" s="1715"/>
      <c r="D33" s="1786">
        <v>28.5</v>
      </c>
      <c r="E33" s="1787">
        <v>29.25</v>
      </c>
      <c r="F33" s="1715">
        <v>0.375</v>
      </c>
      <c r="G33" s="1278" t="s">
        <v>330</v>
      </c>
      <c r="H33" s="1249">
        <v>1.25</v>
      </c>
      <c r="I33" s="1250">
        <v>65</v>
      </c>
      <c r="J33" s="1209">
        <f t="shared" si="39"/>
        <v>3.75</v>
      </c>
      <c r="K33" s="1279">
        <f t="shared" si="20"/>
        <v>34.125</v>
      </c>
      <c r="L33" s="1332" t="s">
        <v>358</v>
      </c>
      <c r="M33" s="1333" t="s">
        <v>384</v>
      </c>
      <c r="N33" s="903">
        <f t="shared" si="0"/>
        <v>1.25</v>
      </c>
      <c r="O33" s="904">
        <f t="shared" si="1"/>
        <v>65</v>
      </c>
      <c r="P33" s="1338">
        <v>34</v>
      </c>
      <c r="Q33" s="1375">
        <v>43</v>
      </c>
      <c r="R33" s="1379">
        <f t="shared" si="2"/>
        <v>19</v>
      </c>
      <c r="S33" s="923">
        <f t="shared" si="21"/>
        <v>2.5</v>
      </c>
      <c r="T33" s="1343">
        <f t="shared" si="3"/>
        <v>2.5</v>
      </c>
      <c r="U33" s="1346">
        <v>2</v>
      </c>
      <c r="V33" s="903">
        <f t="shared" si="40"/>
        <v>1.25</v>
      </c>
      <c r="W33" s="1326">
        <v>4.25</v>
      </c>
      <c r="X33" s="923">
        <f t="shared" si="41"/>
        <v>65</v>
      </c>
      <c r="Y33" s="1292">
        <f t="shared" si="42"/>
        <v>30.5</v>
      </c>
      <c r="Z33" s="1368">
        <v>16</v>
      </c>
      <c r="AA33" s="1414">
        <v>4.75</v>
      </c>
      <c r="AB33" s="1415">
        <v>4.75</v>
      </c>
      <c r="AC33" s="1369" t="s">
        <v>49</v>
      </c>
      <c r="AD33" s="1370">
        <v>1.75</v>
      </c>
      <c r="AE33" s="914">
        <f t="shared" si="22"/>
        <v>1.875</v>
      </c>
      <c r="AF33" s="1511">
        <f t="shared" si="4"/>
        <v>4.75</v>
      </c>
      <c r="AG33" s="916" t="s">
        <v>412</v>
      </c>
      <c r="AH33" s="917" t="s">
        <v>413</v>
      </c>
      <c r="AI33" s="1322" t="s">
        <v>413</v>
      </c>
      <c r="AJ33" s="1492">
        <f t="shared" si="5"/>
        <v>9.75</v>
      </c>
      <c r="AK33" s="1473">
        <f t="shared" si="6"/>
        <v>8.5</v>
      </c>
      <c r="AL33" s="1741">
        <v>13</v>
      </c>
      <c r="AM33" s="1766">
        <v>1.5</v>
      </c>
      <c r="AN33" s="921">
        <f t="shared" si="23"/>
        <v>25.625</v>
      </c>
      <c r="AO33" s="922" t="str">
        <f t="shared" si="7"/>
        <v>PL 1 1/4 x 43 x 52 1/4</v>
      </c>
      <c r="AP33" s="1515">
        <f t="shared" si="24"/>
        <v>894.64408025199725</v>
      </c>
      <c r="AQ33" s="1523">
        <f t="shared" si="25"/>
        <v>891.36094269431442</v>
      </c>
      <c r="AS33" s="925">
        <f t="shared" si="8"/>
        <v>52.25</v>
      </c>
      <c r="AT33" s="925">
        <f t="shared" si="26"/>
        <v>44.178646691106465</v>
      </c>
      <c r="AU33" s="925">
        <f t="shared" si="27"/>
        <v>136.26658134945728</v>
      </c>
      <c r="AV33">
        <f t="shared" si="9"/>
        <v>796.47287500000004</v>
      </c>
      <c r="AW33">
        <f t="shared" si="28"/>
        <v>732.50504165962013</v>
      </c>
      <c r="AX33">
        <f t="shared" si="43"/>
        <v>98.17120525199725</v>
      </c>
      <c r="AY33">
        <f t="shared" si="30"/>
        <v>108.40150805199725</v>
      </c>
      <c r="AZ33">
        <f t="shared" si="10"/>
        <v>0.9375</v>
      </c>
      <c r="BA33">
        <f t="shared" si="11"/>
        <v>5</v>
      </c>
      <c r="BB33">
        <f t="shared" si="31"/>
        <v>8.8676985780715256E-2</v>
      </c>
      <c r="BD33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768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2:62" ht="14.25" customHeight="1" thickBot="1" x14ac:dyDescent="0.3">
      <c r="B34" s="1256"/>
      <c r="C34" s="1716"/>
      <c r="D34" s="1788">
        <v>28.75</v>
      </c>
      <c r="E34" s="1789">
        <v>29.5</v>
      </c>
      <c r="F34" s="1716">
        <v>0.5</v>
      </c>
      <c r="G34" s="1280" t="s">
        <v>331</v>
      </c>
      <c r="H34" s="1257">
        <v>1.25</v>
      </c>
      <c r="I34" s="1258">
        <v>65</v>
      </c>
      <c r="J34" s="1259">
        <f t="shared" si="39"/>
        <v>3.75</v>
      </c>
      <c r="K34" s="1281">
        <f t="shared" si="20"/>
        <v>34.125</v>
      </c>
      <c r="L34" s="1334" t="s">
        <v>359</v>
      </c>
      <c r="M34" s="1335" t="s">
        <v>385</v>
      </c>
      <c r="N34" s="1260">
        <f t="shared" si="0"/>
        <v>1.25</v>
      </c>
      <c r="O34" s="1261">
        <f t="shared" si="1"/>
        <v>65</v>
      </c>
      <c r="P34" s="1339">
        <v>34</v>
      </c>
      <c r="Q34" s="1376">
        <v>47.75</v>
      </c>
      <c r="R34" s="1380">
        <f t="shared" si="2"/>
        <v>21.375</v>
      </c>
      <c r="S34" s="1262">
        <f t="shared" si="21"/>
        <v>2.5</v>
      </c>
      <c r="T34" s="1344">
        <f>CEILING(1.3*AD34,0.25)</f>
        <v>2.5</v>
      </c>
      <c r="U34" s="1347">
        <v>2</v>
      </c>
      <c r="V34" s="1260">
        <f t="shared" si="40"/>
        <v>1.25</v>
      </c>
      <c r="W34" s="1327">
        <v>4.5</v>
      </c>
      <c r="X34" s="1262">
        <f t="shared" si="41"/>
        <v>65</v>
      </c>
      <c r="Y34" s="1293">
        <f t="shared" si="42"/>
        <v>30.75</v>
      </c>
      <c r="Z34" s="1340">
        <v>20</v>
      </c>
      <c r="AA34" s="1416">
        <v>2.375</v>
      </c>
      <c r="AB34" s="1417">
        <v>4.75</v>
      </c>
      <c r="AC34" s="1371" t="s">
        <v>49</v>
      </c>
      <c r="AD34" s="1372">
        <v>1.75</v>
      </c>
      <c r="AE34" s="1263">
        <f t="shared" si="22"/>
        <v>1.875</v>
      </c>
      <c r="AF34" s="1512">
        <f t="shared" si="4"/>
        <v>4.75</v>
      </c>
      <c r="AG34" s="1264" t="s">
        <v>412</v>
      </c>
      <c r="AH34" s="1265" t="s">
        <v>413</v>
      </c>
      <c r="AI34" s="1323" t="s">
        <v>413</v>
      </c>
      <c r="AJ34" s="1493">
        <f t="shared" si="5"/>
        <v>10</v>
      </c>
      <c r="AK34" s="1474">
        <f t="shared" si="6"/>
        <v>8.75</v>
      </c>
      <c r="AL34" s="1742">
        <v>13</v>
      </c>
      <c r="AM34" s="1767">
        <v>1.5</v>
      </c>
      <c r="AN34" s="1267">
        <f t="shared" si="23"/>
        <v>25.625</v>
      </c>
      <c r="AO34" s="1268" t="str">
        <f t="shared" si="7"/>
        <v>PL 1 1/4 x 47 3/4 x 52 3/4</v>
      </c>
      <c r="AP34" s="1516">
        <f t="shared" si="24"/>
        <v>997.11673650199737</v>
      </c>
      <c r="AQ34" s="1269">
        <f t="shared" si="25"/>
        <v>995.83170580253534</v>
      </c>
      <c r="AS34" s="925">
        <f t="shared" si="8"/>
        <v>52.75</v>
      </c>
      <c r="AT34" s="925">
        <f t="shared" si="26"/>
        <v>55.223308363883085</v>
      </c>
      <c r="AU34" s="925">
        <f t="shared" si="27"/>
        <v>136.26658134945728</v>
      </c>
      <c r="AV34">
        <f t="shared" si="9"/>
        <v>892.9190312500001</v>
      </c>
      <c r="AW34">
        <f t="shared" si="28"/>
        <v>825.03586534662088</v>
      </c>
      <c r="AX34">
        <f t="shared" si="43"/>
        <v>104.19770525199725</v>
      </c>
      <c r="AY34">
        <f t="shared" si="30"/>
        <v>114.42800805199725</v>
      </c>
      <c r="AZ34">
        <f t="shared" si="10"/>
        <v>0.9375</v>
      </c>
      <c r="BA34">
        <f t="shared" si="11"/>
        <v>5</v>
      </c>
      <c r="BB34">
        <f t="shared" si="31"/>
        <v>8.8676985780715256E-2</v>
      </c>
      <c r="BD34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768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2:62" ht="15.75" x14ac:dyDescent="0.25">
      <c r="B36" s="1790" t="s">
        <v>687</v>
      </c>
    </row>
    <row r="37" spans="2:62" ht="32.25" customHeight="1" thickBot="1" x14ac:dyDescent="0.3">
      <c r="C37" s="2193" t="s">
        <v>688</v>
      </c>
      <c r="D37" s="2193"/>
      <c r="E37" s="2193" t="s">
        <v>689</v>
      </c>
      <c r="F37" s="2193"/>
      <c r="G37" s="2193" t="s">
        <v>690</v>
      </c>
      <c r="H37" s="2193"/>
    </row>
    <row r="38" spans="2:62" ht="15.75" thickTop="1" x14ac:dyDescent="0.25">
      <c r="C38" s="2194" t="s">
        <v>697</v>
      </c>
      <c r="D38" s="2194"/>
      <c r="E38" s="2195" t="s">
        <v>693</v>
      </c>
      <c r="F38" s="2194"/>
      <c r="G38" s="2194" t="s">
        <v>695</v>
      </c>
      <c r="H38" s="2194"/>
    </row>
    <row r="39" spans="2:62" x14ac:dyDescent="0.25">
      <c r="C39" s="2196" t="s">
        <v>698</v>
      </c>
      <c r="D39" s="2196"/>
      <c r="E39" s="2197" t="s">
        <v>694</v>
      </c>
      <c r="F39" s="2196"/>
      <c r="G39" s="2196" t="s">
        <v>695</v>
      </c>
      <c r="H39" s="2196"/>
    </row>
    <row r="40" spans="2:62" x14ac:dyDescent="0.25">
      <c r="C40" s="2196" t="s">
        <v>699</v>
      </c>
      <c r="D40" s="2196"/>
      <c r="E40" s="2197" t="s">
        <v>701</v>
      </c>
      <c r="F40" s="2196"/>
      <c r="G40" s="2196" t="s">
        <v>695</v>
      </c>
      <c r="H40" s="2196"/>
    </row>
    <row r="41" spans="2:62" x14ac:dyDescent="0.25">
      <c r="C41" s="2196" t="s">
        <v>699</v>
      </c>
      <c r="D41" s="2196"/>
      <c r="E41" s="2197" t="s">
        <v>702</v>
      </c>
      <c r="F41" s="2196"/>
      <c r="G41" s="2196" t="s">
        <v>692</v>
      </c>
      <c r="H41" s="2196"/>
    </row>
    <row r="42" spans="2:62" x14ac:dyDescent="0.25">
      <c r="C42" s="2196" t="s">
        <v>700</v>
      </c>
      <c r="D42" s="2196"/>
      <c r="E42" s="2197" t="s">
        <v>696</v>
      </c>
      <c r="F42" s="2196"/>
      <c r="G42" s="2196" t="s">
        <v>691</v>
      </c>
      <c r="H42" s="2196"/>
    </row>
  </sheetData>
  <mergeCells count="63"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AM5:AN5"/>
    <mergeCell ref="AE5:AE6"/>
    <mergeCell ref="AF5:AI5"/>
    <mergeCell ref="AJ5:AJ6"/>
    <mergeCell ref="AK5:AK6"/>
    <mergeCell ref="AL5:AL6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C39:D39"/>
    <mergeCell ref="E39:F39"/>
    <mergeCell ref="G39:H39"/>
    <mergeCell ref="C40:D40"/>
    <mergeCell ref="E40:F40"/>
    <mergeCell ref="G40:H40"/>
    <mergeCell ref="C42:D42"/>
    <mergeCell ref="E42:F42"/>
    <mergeCell ref="G42:H42"/>
    <mergeCell ref="C41:D41"/>
    <mergeCell ref="E41:F41"/>
    <mergeCell ref="G41:H41"/>
  </mergeCells>
  <pageMargins left="0.4" right="0.15" top="1" bottom="0.65" header="0.4" footer="0.4"/>
  <pageSetup paperSize="17" scale="6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M18" sqref="M18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2" t="s">
        <v>101</v>
      </c>
      <c r="D2" s="14"/>
      <c r="E2" s="13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232" t="s">
        <v>56</v>
      </c>
      <c r="S2" s="2232"/>
      <c r="T2" s="2232"/>
      <c r="U2" s="2232" t="s">
        <v>57</v>
      </c>
      <c r="V2" s="2232"/>
      <c r="W2" s="2232"/>
    </row>
    <row r="3" spans="2:23" x14ac:dyDescent="0.25">
      <c r="B3" s="2" t="s">
        <v>9</v>
      </c>
      <c r="C3" s="15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06">
        <v>1</v>
      </c>
      <c r="N3" s="2">
        <v>65</v>
      </c>
      <c r="O3" s="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5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06">
        <v>1.5</v>
      </c>
      <c r="N4" s="2">
        <v>50</v>
      </c>
      <c r="O4" s="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5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5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5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158" t="s">
        <v>258</v>
      </c>
      <c r="T12" s="2158"/>
      <c r="U12" s="162" t="s">
        <v>259</v>
      </c>
    </row>
    <row r="13" spans="2:23" x14ac:dyDescent="0.25">
      <c r="B13" s="17" t="s">
        <v>24</v>
      </c>
      <c r="C13" s="17" t="s">
        <v>25</v>
      </c>
      <c r="D13" s="17" t="s">
        <v>26</v>
      </c>
      <c r="E13" s="17" t="s">
        <v>27</v>
      </c>
      <c r="F13" s="17" t="s">
        <v>29</v>
      </c>
      <c r="G13" s="17" t="s">
        <v>28</v>
      </c>
      <c r="H13" s="17" t="s">
        <v>135</v>
      </c>
      <c r="I13" s="17" t="s">
        <v>255</v>
      </c>
      <c r="J13" s="17" t="s">
        <v>644</v>
      </c>
      <c r="K13" s="17" t="s">
        <v>645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Sheet1</vt:lpstr>
      <vt:lpstr>New Std</vt:lpstr>
      <vt:lpstr>FWT Std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2018-05-07T14:04:04Z</cp:lastPrinted>
  <dcterms:created xsi:type="dcterms:W3CDTF">2015-12-14T21:54:35Z</dcterms:created>
  <dcterms:modified xsi:type="dcterms:W3CDTF">2024-06-19T20:33:24Z</dcterms:modified>
</cp:coreProperties>
</file>