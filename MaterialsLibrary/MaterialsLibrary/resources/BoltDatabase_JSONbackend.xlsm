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FS\Business Processes\Engineering\2019_base\MaterialsLib\MaterialsLibrary\MaterialsLibrary\resources\"/>
    </mc:Choice>
  </mc:AlternateContent>
  <xr:revisionPtr revIDLastSave="0" documentId="13_ncr:1_{B3DB899F-5821-4668-9B89-FC1C30E2039C}" xr6:coauthVersionLast="45" xr6:coauthVersionMax="45" xr10:uidLastSave="{00000000-0000-0000-0000-000000000000}"/>
  <bookViews>
    <workbookView xWindow="30615" yWindow="555" windowWidth="25230" windowHeight="15645" activeTab="5" xr2:uid="{00000000-000D-0000-FFFF-FFFF00000000}"/>
  </bookViews>
  <sheets>
    <sheet name="BoltDB" sheetId="3" r:id="rId1"/>
    <sheet name="AnchorBoltsJSON" sheetId="4" r:id="rId2"/>
    <sheet name="StructuralBoltsJSON_090517" sheetId="5" state="hidden" r:id="rId3"/>
    <sheet name="StructuralBoltsJSON" sheetId="8" r:id="rId4"/>
    <sheet name="BracketBoltProperties" sheetId="6" r:id="rId5"/>
    <sheet name="FlangeBoltLengths" sheetId="7" r:id="rId6"/>
  </sheets>
  <functionGroups builtInGroupCount="19"/>
  <definedNames>
    <definedName name="_xlnm._FilterDatabase" localSheetId="3" hidden="1">StructuralBoltsJSON!$A$1:$Y$49</definedName>
    <definedName name="BktBoltProps">BracketBoltProperties!$A$1:$J$15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2" i="8" l="1"/>
  <c r="L11" i="8"/>
  <c r="L10" i="8"/>
  <c r="L9" i="8"/>
  <c r="L8" i="8"/>
  <c r="L7" i="8"/>
  <c r="L6" i="8"/>
  <c r="L5" i="8"/>
  <c r="L49" i="8"/>
  <c r="L48" i="8"/>
  <c r="L30" i="8"/>
  <c r="L29" i="8"/>
  <c r="L39" i="8"/>
  <c r="L38" i="8"/>
  <c r="L37" i="8"/>
  <c r="L36" i="8"/>
  <c r="L35" i="8"/>
  <c r="L34" i="8"/>
  <c r="L41" i="8"/>
  <c r="L40" i="8"/>
  <c r="L28" i="8"/>
  <c r="L27" i="8"/>
  <c r="L26" i="8"/>
  <c r="L25" i="8"/>
  <c r="L24" i="8"/>
  <c r="L23" i="8"/>
  <c r="L22" i="8"/>
  <c r="L21" i="8"/>
  <c r="L14" i="8"/>
  <c r="L13" i="8"/>
  <c r="Y12" i="8"/>
  <c r="X12" i="8"/>
  <c r="W12" i="8"/>
  <c r="V12" i="8"/>
  <c r="Y11" i="8"/>
  <c r="X11" i="8"/>
  <c r="W11" i="8"/>
  <c r="V11" i="8"/>
  <c r="Y10" i="8"/>
  <c r="X10" i="8"/>
  <c r="W10" i="8"/>
  <c r="V10" i="8"/>
  <c r="Y9" i="8"/>
  <c r="X9" i="8"/>
  <c r="W9" i="8"/>
  <c r="V9" i="8"/>
  <c r="Y8" i="8"/>
  <c r="X8" i="8"/>
  <c r="W8" i="8"/>
  <c r="V8" i="8"/>
  <c r="Y7" i="8"/>
  <c r="X7" i="8"/>
  <c r="W7" i="8"/>
  <c r="V7" i="8"/>
  <c r="Y6" i="8"/>
  <c r="X6" i="8"/>
  <c r="W6" i="8"/>
  <c r="V6" i="8"/>
  <c r="Y5" i="8"/>
  <c r="X5" i="8"/>
  <c r="W5" i="8"/>
  <c r="V5" i="8"/>
  <c r="Y4" i="8"/>
  <c r="X4" i="8"/>
  <c r="W4" i="8"/>
  <c r="V4" i="8"/>
  <c r="Y3" i="8"/>
  <c r="X3" i="8"/>
  <c r="W3" i="8"/>
  <c r="V3" i="8"/>
  <c r="Y2" i="8"/>
  <c r="X2" i="8"/>
  <c r="W2" i="8"/>
  <c r="V2" i="8"/>
  <c r="Y49" i="8"/>
  <c r="X49" i="8"/>
  <c r="W49" i="8"/>
  <c r="V49" i="8"/>
  <c r="Y48" i="8"/>
  <c r="X48" i="8"/>
  <c r="W48" i="8"/>
  <c r="V48" i="8"/>
  <c r="Y47" i="8"/>
  <c r="X47" i="8"/>
  <c r="W47" i="8"/>
  <c r="V47" i="8"/>
  <c r="Y46" i="8"/>
  <c r="X46" i="8"/>
  <c r="W46" i="8"/>
  <c r="V46" i="8"/>
  <c r="Y45" i="8"/>
  <c r="X45" i="8"/>
  <c r="W45" i="8"/>
  <c r="V45" i="8"/>
  <c r="Y30" i="8"/>
  <c r="X30" i="8"/>
  <c r="W30" i="8"/>
  <c r="V30" i="8"/>
  <c r="Y29" i="8"/>
  <c r="X29" i="8"/>
  <c r="W29" i="8"/>
  <c r="V29" i="8"/>
  <c r="Y39" i="8"/>
  <c r="X39" i="8"/>
  <c r="W39" i="8"/>
  <c r="V39" i="8"/>
  <c r="Y38" i="8"/>
  <c r="X38" i="8"/>
  <c r="W38" i="8"/>
  <c r="V38" i="8"/>
  <c r="Y37" i="8"/>
  <c r="X37" i="8"/>
  <c r="W37" i="8"/>
  <c r="V37" i="8"/>
  <c r="Y36" i="8"/>
  <c r="X36" i="8"/>
  <c r="W36" i="8"/>
  <c r="V36" i="8"/>
  <c r="Y35" i="8"/>
  <c r="X35" i="8"/>
  <c r="W35" i="8"/>
  <c r="V35" i="8"/>
  <c r="Y34" i="8"/>
  <c r="X34" i="8"/>
  <c r="W34" i="8"/>
  <c r="V34" i="8"/>
  <c r="Y33" i="8"/>
  <c r="X33" i="8"/>
  <c r="W33" i="8"/>
  <c r="V33" i="8"/>
  <c r="Y32" i="8"/>
  <c r="X32" i="8"/>
  <c r="W32" i="8"/>
  <c r="V32" i="8"/>
  <c r="Y31" i="8"/>
  <c r="X31" i="8"/>
  <c r="W31" i="8"/>
  <c r="V31" i="8"/>
  <c r="Y44" i="8"/>
  <c r="X44" i="8"/>
  <c r="W44" i="8"/>
  <c r="V44" i="8"/>
  <c r="Y43" i="8"/>
  <c r="X43" i="8"/>
  <c r="W43" i="8"/>
  <c r="V43" i="8"/>
  <c r="Y42" i="8"/>
  <c r="X42" i="8"/>
  <c r="W42" i="8"/>
  <c r="V42" i="8"/>
  <c r="Y41" i="8"/>
  <c r="X41" i="8"/>
  <c r="W41" i="8"/>
  <c r="V41" i="8"/>
  <c r="Y40" i="8"/>
  <c r="X40" i="8"/>
  <c r="W40" i="8"/>
  <c r="V40" i="8"/>
  <c r="Y28" i="8"/>
  <c r="X28" i="8"/>
  <c r="W28" i="8"/>
  <c r="V28" i="8"/>
  <c r="Y27" i="8"/>
  <c r="X27" i="8"/>
  <c r="W27" i="8"/>
  <c r="V27" i="8"/>
  <c r="Y26" i="8"/>
  <c r="X26" i="8"/>
  <c r="W26" i="8"/>
  <c r="V26" i="8"/>
  <c r="Y25" i="8"/>
  <c r="X25" i="8"/>
  <c r="W25" i="8"/>
  <c r="V25" i="8"/>
  <c r="Y24" i="8"/>
  <c r="X24" i="8"/>
  <c r="W24" i="8"/>
  <c r="V24" i="8"/>
  <c r="Y23" i="8"/>
  <c r="X23" i="8"/>
  <c r="W23" i="8"/>
  <c r="V23" i="8"/>
  <c r="Y22" i="8"/>
  <c r="X22" i="8"/>
  <c r="W22" i="8"/>
  <c r="V22" i="8"/>
  <c r="Y21" i="8"/>
  <c r="X21" i="8"/>
  <c r="W21" i="8"/>
  <c r="V21" i="8"/>
  <c r="Y20" i="8"/>
  <c r="X20" i="8"/>
  <c r="W20" i="8"/>
  <c r="V20" i="8"/>
  <c r="Y19" i="8"/>
  <c r="X19" i="8"/>
  <c r="W19" i="8"/>
  <c r="V19" i="8"/>
  <c r="Y18" i="8"/>
  <c r="X18" i="8"/>
  <c r="W18" i="8"/>
  <c r="V18" i="8"/>
  <c r="Y14" i="8"/>
  <c r="X14" i="8"/>
  <c r="W14" i="8"/>
  <c r="V14" i="8"/>
  <c r="Y13" i="8"/>
  <c r="X13" i="8"/>
  <c r="W13" i="8"/>
  <c r="V13" i="8"/>
  <c r="Y17" i="8"/>
  <c r="X17" i="8"/>
  <c r="W17" i="8"/>
  <c r="V17" i="8"/>
  <c r="Y16" i="8"/>
  <c r="X16" i="8"/>
  <c r="W16" i="8"/>
  <c r="V16" i="8"/>
  <c r="Y15" i="8"/>
  <c r="X15" i="8"/>
  <c r="W15" i="8"/>
  <c r="V15" i="8"/>
  <c r="L42" i="8"/>
  <c r="L18" i="8"/>
  <c r="L3" i="8"/>
  <c r="L44" i="8"/>
  <c r="L46" i="8"/>
  <c r="L4" i="8"/>
  <c r="L19" i="8"/>
  <c r="L33" i="8"/>
  <c r="L15" i="8"/>
  <c r="L43" i="8"/>
  <c r="L16" i="8"/>
  <c r="L17" i="8"/>
  <c r="L45" i="8"/>
  <c r="L31" i="8"/>
  <c r="L47" i="8"/>
  <c r="L20" i="8"/>
  <c r="L2" i="8"/>
  <c r="L32" i="8"/>
  <c r="AE21" i="7" l="1"/>
  <c r="AE22" i="7" s="1"/>
  <c r="AD24" i="7"/>
  <c r="AD25" i="7" s="1"/>
  <c r="AC24" i="7"/>
  <c r="AC25" i="7" s="1"/>
  <c r="Z24" i="7"/>
  <c r="Z25" i="7" s="1"/>
  <c r="Y24" i="7"/>
  <c r="Y25" i="7" s="1"/>
  <c r="AJ27" i="7"/>
  <c r="AJ28" i="7" s="1"/>
  <c r="AG27" i="7"/>
  <c r="AG28" i="7" s="1"/>
  <c r="AF27" i="7"/>
  <c r="AF28" i="7" s="1"/>
  <c r="AC27" i="7"/>
  <c r="AC28" i="7" s="1"/>
  <c r="AB27" i="7"/>
  <c r="AB28" i="7" s="1"/>
  <c r="Y27" i="7"/>
  <c r="Y28" i="7" s="1"/>
  <c r="X27" i="7"/>
  <c r="X28" i="7" s="1"/>
  <c r="AH30" i="7"/>
  <c r="AH31" i="7" s="1"/>
  <c r="AG30" i="7"/>
  <c r="AG31" i="7" s="1"/>
  <c r="AD33" i="7"/>
  <c r="AD34" i="7" s="1"/>
  <c r="AA33" i="7"/>
  <c r="AA34" i="7" s="1"/>
  <c r="Z33" i="7"/>
  <c r="Z34" i="7" s="1"/>
  <c r="AJ39" i="7"/>
  <c r="AJ41" i="7" s="1"/>
  <c r="AC36" i="7"/>
  <c r="AC37" i="7" s="1"/>
  <c r="AB36" i="7"/>
  <c r="AB37" i="7" s="1"/>
  <c r="Y36" i="7"/>
  <c r="Y37" i="7" s="1"/>
  <c r="X36" i="7"/>
  <c r="X37" i="7" s="1"/>
  <c r="AG39" i="7"/>
  <c r="AG40" i="7" s="1"/>
  <c r="AF39" i="7"/>
  <c r="AF40" i="7" s="1"/>
  <c r="AC39" i="7"/>
  <c r="AC40" i="7" s="1"/>
  <c r="AB39" i="7"/>
  <c r="AB41" i="7" s="1"/>
  <c r="Y39" i="7"/>
  <c r="Y40" i="7" s="1"/>
  <c r="X39" i="7"/>
  <c r="X40" i="7" s="1"/>
  <c r="N22" i="7"/>
  <c r="AE24" i="7" s="1"/>
  <c r="AE25" i="7" s="1"/>
  <c r="S37" i="7"/>
  <c r="R37" i="7"/>
  <c r="AI39" i="7" s="1"/>
  <c r="Q37" i="7"/>
  <c r="AH39" i="7" s="1"/>
  <c r="P37" i="7"/>
  <c r="O37" i="7"/>
  <c r="N37" i="7"/>
  <c r="AE39" i="7" s="1"/>
  <c r="S34" i="7"/>
  <c r="AJ36" i="7" s="1"/>
  <c r="AJ37" i="7" s="1"/>
  <c r="R34" i="7"/>
  <c r="AI36" i="7" s="1"/>
  <c r="AI37" i="7" s="1"/>
  <c r="Q34" i="7"/>
  <c r="AH36" i="7" s="1"/>
  <c r="AH37" i="7" s="1"/>
  <c r="P34" i="7"/>
  <c r="AG36" i="7" s="1"/>
  <c r="AG37" i="7" s="1"/>
  <c r="O34" i="7"/>
  <c r="AF36" i="7" s="1"/>
  <c r="AF37" i="7" s="1"/>
  <c r="N34" i="7"/>
  <c r="AE36" i="7" s="1"/>
  <c r="AE37" i="7" s="1"/>
  <c r="S31" i="7"/>
  <c r="AJ33" i="7" s="1"/>
  <c r="AJ34" i="7" s="1"/>
  <c r="R31" i="7"/>
  <c r="AI33" i="7" s="1"/>
  <c r="AI34" i="7" s="1"/>
  <c r="Q31" i="7"/>
  <c r="AH33" i="7" s="1"/>
  <c r="AH34" i="7" s="1"/>
  <c r="P31" i="7"/>
  <c r="AG33" i="7" s="1"/>
  <c r="AG34" i="7" s="1"/>
  <c r="O31" i="7"/>
  <c r="AF33" i="7" s="1"/>
  <c r="AF34" i="7" s="1"/>
  <c r="N31" i="7"/>
  <c r="AE33" i="7" s="1"/>
  <c r="AE34" i="7" s="1"/>
  <c r="S28" i="7"/>
  <c r="AJ30" i="7" s="1"/>
  <c r="AJ31" i="7" s="1"/>
  <c r="R28" i="7"/>
  <c r="AI30" i="7" s="1"/>
  <c r="AI31" i="7" s="1"/>
  <c r="Q28" i="7"/>
  <c r="P28" i="7"/>
  <c r="O28" i="7"/>
  <c r="AF30" i="7" s="1"/>
  <c r="AF31" i="7" s="1"/>
  <c r="N28" i="7"/>
  <c r="AE30" i="7" s="1"/>
  <c r="AE31" i="7" s="1"/>
  <c r="S25" i="7"/>
  <c r="R25" i="7"/>
  <c r="AI27" i="7" s="1"/>
  <c r="AI28" i="7" s="1"/>
  <c r="Q25" i="7"/>
  <c r="AH27" i="7" s="1"/>
  <c r="AH28" i="7" s="1"/>
  <c r="P25" i="7"/>
  <c r="O25" i="7"/>
  <c r="N25" i="7"/>
  <c r="AE27" i="7" s="1"/>
  <c r="AE28" i="7" s="1"/>
  <c r="M37" i="7"/>
  <c r="AD39" i="7" s="1"/>
  <c r="L37" i="7"/>
  <c r="K37" i="7"/>
  <c r="J37" i="7"/>
  <c r="AA39" i="7" s="1"/>
  <c r="I37" i="7"/>
  <c r="Z39" i="7" s="1"/>
  <c r="H37" i="7"/>
  <c r="G37" i="7"/>
  <c r="F37" i="7"/>
  <c r="W39" i="7" s="1"/>
  <c r="W40" i="7" s="1"/>
  <c r="E37" i="7"/>
  <c r="V39" i="7" s="1"/>
  <c r="V40" i="7" s="1"/>
  <c r="M34" i="7"/>
  <c r="AD36" i="7" s="1"/>
  <c r="AD37" i="7" s="1"/>
  <c r="L34" i="7"/>
  <c r="K34" i="7"/>
  <c r="J34" i="7"/>
  <c r="AA36" i="7" s="1"/>
  <c r="AA37" i="7" s="1"/>
  <c r="I34" i="7"/>
  <c r="Z36" i="7" s="1"/>
  <c r="Z37" i="7" s="1"/>
  <c r="H34" i="7"/>
  <c r="G34" i="7"/>
  <c r="F34" i="7"/>
  <c r="W36" i="7" s="1"/>
  <c r="W37" i="7" s="1"/>
  <c r="E34" i="7"/>
  <c r="V36" i="7" s="1"/>
  <c r="V37" i="7" s="1"/>
  <c r="M31" i="7"/>
  <c r="L31" i="7"/>
  <c r="AC33" i="7" s="1"/>
  <c r="AC34" i="7" s="1"/>
  <c r="K31" i="7"/>
  <c r="AB33" i="7" s="1"/>
  <c r="AB34" i="7" s="1"/>
  <c r="J31" i="7"/>
  <c r="I31" i="7"/>
  <c r="H31" i="7"/>
  <c r="Y33" i="7" s="1"/>
  <c r="Y34" i="7" s="1"/>
  <c r="G31" i="7"/>
  <c r="X33" i="7" s="1"/>
  <c r="X34" i="7" s="1"/>
  <c r="F31" i="7"/>
  <c r="W33" i="7" s="1"/>
  <c r="W34" i="7" s="1"/>
  <c r="E31" i="7"/>
  <c r="V33" i="7" s="1"/>
  <c r="V34" i="7" s="1"/>
  <c r="M28" i="7"/>
  <c r="AD30" i="7" s="1"/>
  <c r="AD31" i="7" s="1"/>
  <c r="L28" i="7"/>
  <c r="AC30" i="7" s="1"/>
  <c r="AC31" i="7" s="1"/>
  <c r="K28" i="7"/>
  <c r="AB30" i="7" s="1"/>
  <c r="AB31" i="7" s="1"/>
  <c r="J28" i="7"/>
  <c r="AA30" i="7" s="1"/>
  <c r="AA31" i="7" s="1"/>
  <c r="I28" i="7"/>
  <c r="Z30" i="7" s="1"/>
  <c r="Z31" i="7" s="1"/>
  <c r="H28" i="7"/>
  <c r="Y30" i="7" s="1"/>
  <c r="Y31" i="7" s="1"/>
  <c r="G28" i="7"/>
  <c r="X30" i="7" s="1"/>
  <c r="X31" i="7" s="1"/>
  <c r="F28" i="7"/>
  <c r="W30" i="7" s="1"/>
  <c r="W31" i="7" s="1"/>
  <c r="E28" i="7"/>
  <c r="V30" i="7" s="1"/>
  <c r="V31" i="7" s="1"/>
  <c r="M25" i="7"/>
  <c r="AD27" i="7" s="1"/>
  <c r="AD28" i="7" s="1"/>
  <c r="L25" i="7"/>
  <c r="K25" i="7"/>
  <c r="J25" i="7"/>
  <c r="AA27" i="7" s="1"/>
  <c r="AA28" i="7" s="1"/>
  <c r="I25" i="7"/>
  <c r="Z27" i="7" s="1"/>
  <c r="Z28" i="7" s="1"/>
  <c r="H25" i="7"/>
  <c r="G25" i="7"/>
  <c r="F25" i="7"/>
  <c r="W27" i="7" s="1"/>
  <c r="W28" i="7" s="1"/>
  <c r="E25" i="7"/>
  <c r="V27" i="7" s="1"/>
  <c r="V28" i="7" s="1"/>
  <c r="M22" i="7"/>
  <c r="L22" i="7"/>
  <c r="K22" i="7"/>
  <c r="AB24" i="7" s="1"/>
  <c r="AB25" i="7" s="1"/>
  <c r="J22" i="7"/>
  <c r="AA24" i="7" s="1"/>
  <c r="AA25" i="7" s="1"/>
  <c r="I22" i="7"/>
  <c r="H22" i="7"/>
  <c r="G22" i="7"/>
  <c r="X24" i="7" s="1"/>
  <c r="X25" i="7" s="1"/>
  <c r="F22" i="7"/>
  <c r="W24" i="7" s="1"/>
  <c r="W25" i="7" s="1"/>
  <c r="E22" i="7"/>
  <c r="V24" i="7" s="1"/>
  <c r="V25" i="7" s="1"/>
  <c r="M19" i="7"/>
  <c r="AD21" i="7" s="1"/>
  <c r="AD22" i="7" s="1"/>
  <c r="L19" i="7"/>
  <c r="AC21" i="7" s="1"/>
  <c r="AC22" i="7" s="1"/>
  <c r="K19" i="7"/>
  <c r="AB21" i="7" s="1"/>
  <c r="AB22" i="7" s="1"/>
  <c r="J19" i="7"/>
  <c r="AA21" i="7" s="1"/>
  <c r="AA22" i="7" s="1"/>
  <c r="I19" i="7"/>
  <c r="Z21" i="7" s="1"/>
  <c r="Z22" i="7" s="1"/>
  <c r="H19" i="7"/>
  <c r="Y21" i="7" s="1"/>
  <c r="Y22" i="7" s="1"/>
  <c r="G19" i="7"/>
  <c r="X21" i="7" s="1"/>
  <c r="X22" i="7" s="1"/>
  <c r="F19" i="7"/>
  <c r="W21" i="7" s="1"/>
  <c r="W22" i="7" s="1"/>
  <c r="E19" i="7"/>
  <c r="V21" i="7" s="1"/>
  <c r="V22" i="7" s="1"/>
  <c r="F16" i="7"/>
  <c r="M16" i="7"/>
  <c r="L16" i="7"/>
  <c r="K16" i="7"/>
  <c r="J16" i="7"/>
  <c r="I16" i="7"/>
  <c r="H16" i="7"/>
  <c r="G16" i="7"/>
  <c r="E16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F5" i="7"/>
  <c r="E5" i="7"/>
  <c r="S38" i="7"/>
  <c r="O35" i="7"/>
  <c r="K32" i="7"/>
  <c r="O29" i="7"/>
  <c r="N29" i="7"/>
  <c r="G20" i="7"/>
  <c r="K23" i="7"/>
  <c r="J38" i="7"/>
  <c r="R32" i="7"/>
  <c r="M17" i="7"/>
  <c r="N26" i="7"/>
  <c r="M32" i="7"/>
  <c r="I17" i="7"/>
  <c r="O38" i="7"/>
  <c r="K35" i="7"/>
  <c r="G32" i="7"/>
  <c r="P26" i="7"/>
  <c r="F29" i="7"/>
  <c r="J20" i="7"/>
  <c r="G23" i="7"/>
  <c r="E35" i="7"/>
  <c r="E26" i="7"/>
  <c r="F20" i="7"/>
  <c r="G38" i="7"/>
  <c r="P35" i="7"/>
  <c r="L29" i="7"/>
  <c r="M23" i="7"/>
  <c r="E14" i="7"/>
  <c r="P38" i="7"/>
  <c r="G17" i="7"/>
  <c r="K38" i="7"/>
  <c r="L23" i="7"/>
  <c r="L38" i="7"/>
  <c r="S29" i="7"/>
  <c r="E23" i="7"/>
  <c r="H17" i="7"/>
  <c r="S26" i="7"/>
  <c r="R38" i="7"/>
  <c r="N35" i="7"/>
  <c r="J32" i="7"/>
  <c r="J29" i="7"/>
  <c r="H14" i="7"/>
  <c r="I20" i="7"/>
  <c r="I26" i="7"/>
  <c r="I38" i="7"/>
  <c r="P32" i="7"/>
  <c r="F17" i="7"/>
  <c r="E38" i="7"/>
  <c r="K26" i="7"/>
  <c r="K20" i="7"/>
  <c r="N38" i="7"/>
  <c r="J35" i="7"/>
  <c r="F32" i="7"/>
  <c r="E29" i="7"/>
  <c r="G14" i="7"/>
  <c r="E20" i="7"/>
  <c r="L26" i="7"/>
  <c r="S32" i="7"/>
  <c r="G29" i="7"/>
  <c r="F23" i="7"/>
  <c r="F38" i="7"/>
  <c r="N32" i="7"/>
  <c r="G26" i="7"/>
  <c r="H32" i="7"/>
  <c r="I23" i="7"/>
  <c r="P29" i="7"/>
  <c r="R29" i="7"/>
  <c r="M26" i="7"/>
  <c r="H38" i="7"/>
  <c r="Q26" i="7"/>
  <c r="M20" i="7"/>
  <c r="Q38" i="7"/>
  <c r="M35" i="7"/>
  <c r="I32" i="7"/>
  <c r="M29" i="7"/>
  <c r="E17" i="7"/>
  <c r="N23" i="7"/>
  <c r="H26" i="7"/>
  <c r="G35" i="7"/>
  <c r="K29" i="7"/>
  <c r="L20" i="7"/>
  <c r="Q35" i="7"/>
  <c r="Q29" i="7"/>
  <c r="H20" i="7"/>
  <c r="M38" i="7"/>
  <c r="I35" i="7"/>
  <c r="E32" i="7"/>
  <c r="I29" i="7"/>
  <c r="L17" i="7"/>
  <c r="J23" i="7"/>
  <c r="R26" i="7"/>
  <c r="Q32" i="7"/>
  <c r="F14" i="7"/>
  <c r="O26" i="7"/>
  <c r="S35" i="7"/>
  <c r="L32" i="7"/>
  <c r="K17" i="7"/>
  <c r="F26" i="7"/>
  <c r="L35" i="7"/>
  <c r="H29" i="7"/>
  <c r="F35" i="7"/>
  <c r="O32" i="7"/>
  <c r="H23" i="7"/>
  <c r="H35" i="7"/>
  <c r="J17" i="7"/>
  <c r="J26" i="7"/>
  <c r="R35" i="7"/>
  <c r="Z41" i="7" l="1"/>
  <c r="Z40" i="7"/>
  <c r="AD41" i="7"/>
  <c r="AD40" i="7"/>
  <c r="AH41" i="7"/>
  <c r="AH40" i="7"/>
  <c r="AA41" i="7"/>
  <c r="AA40" i="7"/>
  <c r="AE40" i="7"/>
  <c r="AE41" i="7"/>
  <c r="AI41" i="7"/>
  <c r="AI40" i="7"/>
  <c r="X41" i="7"/>
  <c r="AF41" i="7"/>
  <c r="Y41" i="7"/>
  <c r="AC41" i="7"/>
  <c r="AG41" i="7"/>
  <c r="AB40" i="7"/>
  <c r="AJ40" i="7"/>
  <c r="V41" i="7"/>
  <c r="W41" i="7"/>
  <c r="F36" i="7"/>
  <c r="J36" i="7"/>
  <c r="N36" i="7"/>
  <c r="R36" i="7"/>
  <c r="G36" i="7"/>
  <c r="K36" i="7"/>
  <c r="O36" i="7"/>
  <c r="S36" i="7"/>
  <c r="H36" i="7"/>
  <c r="L36" i="7"/>
  <c r="P36" i="7"/>
  <c r="E36" i="7"/>
  <c r="I36" i="7"/>
  <c r="M36" i="7"/>
  <c r="Q36" i="7"/>
  <c r="H21" i="7"/>
  <c r="L21" i="7"/>
  <c r="E21" i="7"/>
  <c r="I21" i="7"/>
  <c r="M21" i="7"/>
  <c r="F21" i="7"/>
  <c r="J21" i="7"/>
  <c r="G21" i="7"/>
  <c r="K21" i="7"/>
  <c r="F18" i="7"/>
  <c r="J18" i="7"/>
  <c r="G18" i="7"/>
  <c r="K18" i="7"/>
  <c r="H18" i="7"/>
  <c r="L18" i="7"/>
  <c r="E18" i="7"/>
  <c r="I18" i="7"/>
  <c r="M18" i="7"/>
  <c r="G15" i="7"/>
  <c r="H15" i="7"/>
  <c r="E15" i="7"/>
  <c r="F15" i="7"/>
  <c r="S27" i="7"/>
  <c r="G24" i="7"/>
  <c r="K24" i="7"/>
  <c r="H24" i="7"/>
  <c r="L24" i="7"/>
  <c r="E24" i="7"/>
  <c r="I24" i="7"/>
  <c r="M24" i="7"/>
  <c r="F24" i="7"/>
  <c r="J24" i="7"/>
  <c r="N24" i="7"/>
  <c r="F30" i="7"/>
  <c r="J30" i="7"/>
  <c r="N30" i="7"/>
  <c r="R30" i="7"/>
  <c r="G30" i="7"/>
  <c r="K30" i="7"/>
  <c r="O30" i="7"/>
  <c r="S30" i="7"/>
  <c r="H30" i="7"/>
  <c r="L30" i="7"/>
  <c r="P30" i="7"/>
  <c r="I30" i="7"/>
  <c r="M30" i="7"/>
  <c r="Q30" i="7"/>
  <c r="F33" i="7"/>
  <c r="J33" i="7"/>
  <c r="N33" i="7"/>
  <c r="R33" i="7"/>
  <c r="G33" i="7"/>
  <c r="K33" i="7"/>
  <c r="O33" i="7"/>
  <c r="S33" i="7"/>
  <c r="H33" i="7"/>
  <c r="L33" i="7"/>
  <c r="P33" i="7"/>
  <c r="E33" i="7"/>
  <c r="I33" i="7"/>
  <c r="M33" i="7"/>
  <c r="Q33" i="7"/>
  <c r="H39" i="7"/>
  <c r="L39" i="7"/>
  <c r="P39" i="7"/>
  <c r="E39" i="7"/>
  <c r="I39" i="7"/>
  <c r="M39" i="7"/>
  <c r="Q39" i="7"/>
  <c r="F39" i="7"/>
  <c r="J39" i="7"/>
  <c r="N39" i="7"/>
  <c r="R39" i="7"/>
  <c r="G39" i="7"/>
  <c r="K39" i="7"/>
  <c r="O39" i="7"/>
  <c r="S39" i="7"/>
  <c r="E30" i="7"/>
  <c r="Q27" i="7"/>
  <c r="R27" i="7"/>
  <c r="P27" i="7"/>
  <c r="H27" i="7"/>
  <c r="M27" i="7"/>
  <c r="F27" i="7"/>
  <c r="J27" i="7"/>
  <c r="N27" i="7"/>
  <c r="L27" i="7"/>
  <c r="I27" i="7"/>
  <c r="G27" i="7"/>
  <c r="O27" i="7"/>
  <c r="K27" i="7"/>
  <c r="E27" i="7"/>
  <c r="X49" i="5" l="1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12" i="5"/>
  <c r="X11" i="5"/>
  <c r="X10" i="5"/>
  <c r="X9" i="5"/>
  <c r="X8" i="5"/>
  <c r="X7" i="5"/>
  <c r="X6" i="5"/>
  <c r="X5" i="5"/>
  <c r="X4" i="5"/>
  <c r="X3" i="5"/>
  <c r="X2" i="5"/>
  <c r="Y49" i="5"/>
  <c r="W49" i="5"/>
  <c r="V49" i="5"/>
  <c r="Y48" i="5"/>
  <c r="W48" i="5"/>
  <c r="V48" i="5"/>
  <c r="Y47" i="5"/>
  <c r="W47" i="5"/>
  <c r="V47" i="5"/>
  <c r="Y46" i="5"/>
  <c r="W46" i="5"/>
  <c r="V46" i="5"/>
  <c r="Y45" i="5"/>
  <c r="W45" i="5"/>
  <c r="V45" i="5"/>
  <c r="Y44" i="5"/>
  <c r="W44" i="5"/>
  <c r="V44" i="5"/>
  <c r="Y43" i="5"/>
  <c r="W43" i="5"/>
  <c r="V43" i="5"/>
  <c r="Y42" i="5"/>
  <c r="W42" i="5"/>
  <c r="V42" i="5"/>
  <c r="Y41" i="5"/>
  <c r="W41" i="5"/>
  <c r="V41" i="5"/>
  <c r="Y40" i="5"/>
  <c r="W40" i="5"/>
  <c r="V40" i="5"/>
  <c r="Y39" i="5"/>
  <c r="W39" i="5"/>
  <c r="V39" i="5"/>
  <c r="Y38" i="5"/>
  <c r="W38" i="5"/>
  <c r="V38" i="5"/>
  <c r="Y37" i="5"/>
  <c r="W37" i="5"/>
  <c r="V37" i="5"/>
  <c r="Y36" i="5"/>
  <c r="W36" i="5"/>
  <c r="V36" i="5"/>
  <c r="Y35" i="5"/>
  <c r="W35" i="5"/>
  <c r="V35" i="5"/>
  <c r="Y34" i="5"/>
  <c r="W34" i="5"/>
  <c r="V34" i="5"/>
  <c r="Y33" i="5"/>
  <c r="W33" i="5"/>
  <c r="V33" i="5"/>
  <c r="Y32" i="5"/>
  <c r="W32" i="5"/>
  <c r="V32" i="5"/>
  <c r="Y31" i="5"/>
  <c r="W31" i="5"/>
  <c r="V31" i="5"/>
  <c r="Y30" i="5"/>
  <c r="W30" i="5"/>
  <c r="V30" i="5"/>
  <c r="Y29" i="5"/>
  <c r="W29" i="5"/>
  <c r="V29" i="5"/>
  <c r="Y28" i="5"/>
  <c r="W28" i="5"/>
  <c r="V28" i="5"/>
  <c r="Y27" i="5"/>
  <c r="W27" i="5"/>
  <c r="V27" i="5"/>
  <c r="Y26" i="5"/>
  <c r="W26" i="5"/>
  <c r="V26" i="5"/>
  <c r="Y25" i="5"/>
  <c r="W25" i="5"/>
  <c r="V25" i="5"/>
  <c r="Y24" i="5"/>
  <c r="W24" i="5"/>
  <c r="V24" i="5"/>
  <c r="Y23" i="5"/>
  <c r="W23" i="5"/>
  <c r="V23" i="5"/>
  <c r="Y22" i="5"/>
  <c r="W22" i="5"/>
  <c r="V22" i="5"/>
  <c r="Y21" i="5"/>
  <c r="W21" i="5"/>
  <c r="V21" i="5"/>
  <c r="Y20" i="5"/>
  <c r="W20" i="5"/>
  <c r="V20" i="5"/>
  <c r="Y19" i="5"/>
  <c r="W19" i="5"/>
  <c r="V19" i="5"/>
  <c r="Y18" i="5"/>
  <c r="W18" i="5"/>
  <c r="V18" i="5"/>
  <c r="Y17" i="5"/>
  <c r="W17" i="5"/>
  <c r="V17" i="5"/>
  <c r="Y16" i="5"/>
  <c r="W16" i="5"/>
  <c r="V16" i="5"/>
  <c r="Y15" i="5"/>
  <c r="W15" i="5"/>
  <c r="V15" i="5"/>
  <c r="Y14" i="5"/>
  <c r="W14" i="5"/>
  <c r="V14" i="5"/>
  <c r="Y13" i="5"/>
  <c r="W13" i="5"/>
  <c r="V13" i="5"/>
  <c r="Y12" i="5"/>
  <c r="W12" i="5"/>
  <c r="V12" i="5"/>
  <c r="Y11" i="5"/>
  <c r="W11" i="5"/>
  <c r="V11" i="5"/>
  <c r="Y10" i="5"/>
  <c r="W10" i="5"/>
  <c r="V10" i="5"/>
  <c r="Y9" i="5"/>
  <c r="W9" i="5"/>
  <c r="V9" i="5"/>
  <c r="Y8" i="5"/>
  <c r="W8" i="5"/>
  <c r="V8" i="5"/>
  <c r="Y7" i="5"/>
  <c r="W7" i="5"/>
  <c r="V7" i="5"/>
  <c r="Y6" i="5"/>
  <c r="W6" i="5"/>
  <c r="V6" i="5"/>
  <c r="Y5" i="5"/>
  <c r="W5" i="5"/>
  <c r="V5" i="5"/>
  <c r="Y4" i="5"/>
  <c r="W4" i="5"/>
  <c r="V4" i="5"/>
  <c r="Y3" i="5"/>
  <c r="W3" i="5"/>
  <c r="V3" i="5"/>
  <c r="Y2" i="5"/>
  <c r="W2" i="5"/>
  <c r="V2" i="5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L49" i="5" l="1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Rogers</author>
  </authors>
  <commentList>
    <comment ref="L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Updated 9/5/17 :: don’t round value up to nearest 1/4"
Bolt Spacing for Flange PLates</t>
        </r>
      </text>
    </comment>
    <comment ref="V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Added bracket bolt properties to agree with Hocks bracket design spreadsheet (8/31/17)</t>
        </r>
      </text>
    </comment>
    <comment ref="W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Added bracket bolt properties to agree with Hocks bracket design spreadsheet (8/31/17)</t>
        </r>
      </text>
    </comment>
    <comment ref="X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Added bracket bolt properties to agree with Hocks bracket design spreadsheet (8/31/17)</t>
        </r>
      </text>
    </comment>
    <comment ref="Y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Added bracket bolt properties to agree with Hocks bracket design spreadsheet (8/31/17)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Rogers</author>
  </authors>
  <commentList>
    <comment ref="L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Updated 9/5/17 :: don’t round value up to nearest 1/4"
Bolt Spacing for Flange Plates
Update 02/08/18 :: </t>
        </r>
        <r>
          <rPr>
            <b/>
            <sz val="9"/>
            <color indexed="81"/>
            <rFont val="Tahoma"/>
            <family val="2"/>
          </rPr>
          <t>Do</t>
        </r>
        <r>
          <rPr>
            <sz val="9"/>
            <color indexed="81"/>
            <rFont val="Tahoma"/>
            <family val="2"/>
          </rPr>
          <t xml:space="preserve"> round up to nearest 1/4" for bolt diameters &lt;= 1"; bolt diameter &gt; 1", use the diameter * 2.667
per Hock (verbal discussion)
</t>
        </r>
      </text>
    </comment>
    <comment ref="V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Added bracket bolt properties to agree with Hocks bracket design spreadsheet (8/31/17)</t>
        </r>
      </text>
    </comment>
    <comment ref="W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Added bracket bolt properties to agree with Hocks bracket design spreadsheet (8/31/17)</t>
        </r>
      </text>
    </comment>
    <comment ref="X1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Added bracket bolt properties to agree with Hocks bracket design spreadsheet (8/31/17)</t>
        </r>
      </text>
    </comment>
    <comment ref="Y1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Mark Rogers:</t>
        </r>
        <r>
          <rPr>
            <sz val="9"/>
            <color indexed="81"/>
            <rFont val="Tahoma"/>
            <family val="2"/>
          </rPr>
          <t xml:space="preserve">
Added bracket bolt properties to agree with Hocks bracket design spreadsheet (8/31/17)</t>
        </r>
      </text>
    </comment>
  </commentList>
</comments>
</file>

<file path=xl/sharedStrings.xml><?xml version="1.0" encoding="utf-8"?>
<sst xmlns="http://schemas.openxmlformats.org/spreadsheetml/2006/main" count="505" uniqueCount="100">
  <si>
    <t>A325</t>
  </si>
  <si>
    <t>Description</t>
  </si>
  <si>
    <t>MaterialSpecification</t>
  </si>
  <si>
    <t>QtGradeName</t>
  </si>
  <si>
    <t>Diameter</t>
  </si>
  <si>
    <t>NutHeight</t>
  </si>
  <si>
    <t>NutPointWidth</t>
  </si>
  <si>
    <t>NutWeight</t>
  </si>
  <si>
    <t>GrossArea</t>
  </si>
  <si>
    <t>TensileArea</t>
  </si>
  <si>
    <t>RootArea</t>
  </si>
  <si>
    <t>ThreadCountPerInch</t>
  </si>
  <si>
    <t>MinimumBoltSpacing</t>
  </si>
  <si>
    <t>MinimumEdgeDistance</t>
  </si>
  <si>
    <t>FlatWasherDiameter</t>
  </si>
  <si>
    <t>FlatWasherThickness</t>
  </si>
  <si>
    <t>BoltHeadAndNutWeight</t>
  </si>
  <si>
    <t>BoltShaftWeightPerInch</t>
  </si>
  <si>
    <t>FuKsi</t>
  </si>
  <si>
    <t>FyKsi</t>
  </si>
  <si>
    <t>CenterLineBoltToPoleFace</t>
  </si>
  <si>
    <t>Inactive</t>
  </si>
  <si>
    <t>A-325 Gr.92</t>
  </si>
  <si>
    <t>A325-92</t>
  </si>
  <si>
    <t>A-325 Gr.81</t>
  </si>
  <si>
    <t>A325-81</t>
  </si>
  <si>
    <t>A-354-BC Gr.105</t>
  </si>
  <si>
    <t>A354-BC-105</t>
  </si>
  <si>
    <t>A354-BC</t>
  </si>
  <si>
    <t>A-354-BC Gr.95</t>
  </si>
  <si>
    <t>A354-BC-95</t>
  </si>
  <si>
    <t>A-449 Gr.81</t>
  </si>
  <si>
    <t>A449-81</t>
  </si>
  <si>
    <t>A449</t>
  </si>
  <si>
    <t>A-449 Gr.92</t>
  </si>
  <si>
    <t>A449-92</t>
  </si>
  <si>
    <t>A354-BD-120 Gr.120</t>
  </si>
  <si>
    <t>A354-BD-120</t>
  </si>
  <si>
    <t>A354-BD</t>
  </si>
  <si>
    <t>A354-BD-115 Gr.105</t>
  </si>
  <si>
    <t>A354-BD-105</t>
  </si>
  <si>
    <t>A490-120</t>
  </si>
  <si>
    <t>A490</t>
  </si>
  <si>
    <t>A197-B7-105</t>
  </si>
  <si>
    <t>A197-B7</t>
  </si>
  <si>
    <t>A197-B7-95</t>
  </si>
  <si>
    <t>IDX</t>
  </si>
  <si>
    <t>Grade</t>
  </si>
  <si>
    <t>BoltHoleSizeThreaded</t>
  </si>
  <si>
    <t>BoltHoleSizeSmooth</t>
  </si>
  <si>
    <t>BoltHoleSizeBasePlate</t>
  </si>
  <si>
    <t>NutWeightHeavyHex</t>
  </si>
  <si>
    <t>MinimumHoleDiameter</t>
  </si>
  <si>
    <t>ProofLoad</t>
  </si>
  <si>
    <t>NutBearingArea</t>
  </si>
  <si>
    <t>NutVolume</t>
  </si>
  <si>
    <t>A307-36</t>
  </si>
  <si>
    <t>Anchor Bolt (A-307 Gr. C)</t>
  </si>
  <si>
    <t>A307</t>
  </si>
  <si>
    <t>F1554-36</t>
  </si>
  <si>
    <t>F-1554 Gr. 36</t>
  </si>
  <si>
    <t>F1554-55</t>
  </si>
  <si>
    <t>F-1554 Gr. 55</t>
  </si>
  <si>
    <t>A615-75</t>
  </si>
  <si>
    <t>#14J A-615 Gr. 75 (rebar)</t>
  </si>
  <si>
    <t>#18J A-615 Gr. 75 (rebar)</t>
  </si>
  <si>
    <t>A615-60</t>
  </si>
  <si>
    <t>#14J A-615 Gr. 60 (rebar)</t>
  </si>
  <si>
    <t>#18J A-615 Gr. 60 (rebar)</t>
  </si>
  <si>
    <t>F1554-105</t>
  </si>
  <si>
    <t>F-1554 Gr. 105</t>
  </si>
  <si>
    <t>F1554-HS</t>
  </si>
  <si>
    <t>Bolt Size</t>
  </si>
  <si>
    <t>Min. Edge</t>
  </si>
  <si>
    <t>Spacing</t>
  </si>
  <si>
    <t>Gross Area</t>
  </si>
  <si>
    <t>Tens. Area</t>
  </si>
  <si>
    <t>Thread</t>
  </si>
  <si>
    <t>Nut Pt-Pt</t>
  </si>
  <si>
    <t>Thread Ln</t>
  </si>
  <si>
    <t>Max. PL Thk</t>
  </si>
  <si>
    <t>F</t>
  </si>
  <si>
    <t>BktBoltEdgeDistance</t>
  </si>
  <si>
    <t>BktBoltSpacing</t>
  </si>
  <si>
    <t>BktBoltToPoleFace</t>
  </si>
  <si>
    <t>ThreadLength</t>
  </si>
  <si>
    <t>Bolt Diameter</t>
  </si>
  <si>
    <t>Heavy Hex Nut Height, in.</t>
  </si>
  <si>
    <t>Thread Length, in.</t>
  </si>
  <si>
    <t>Min</t>
  </si>
  <si>
    <t>Max</t>
  </si>
  <si>
    <t>A436 Washer Thickness (in)</t>
  </si>
  <si>
    <t>Number of Nuts</t>
  </si>
  <si>
    <t>Number of Flat Washers</t>
  </si>
  <si>
    <t>Min. Grip</t>
  </si>
  <si>
    <t>Bolt Length</t>
  </si>
  <si>
    <t>(2) Plates @</t>
  </si>
  <si>
    <t>x</t>
  </si>
  <si>
    <t>L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</si>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</sst>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3" fillId="0" borderId="0" xfId="0" applyNumberFormat="1" applyFont="1" applyAlignment="1">
      <alignment horizontal="center" vertical="center" wrapText="1"/>
    </xf>
    <xf numFmtId="165" fontId="2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/>
    </xf>
    <xf numFmtId="13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0" xfId="0" applyNumberFormat="1"/>
    <xf numFmtId="165" fontId="6" fillId="0" borderId="0" xfId="0" applyNumberFormat="1" applyFont="1" applyAlignment="1">
      <alignment horizontal="center" vertical="center" wrapText="1"/>
    </xf>
    <xf numFmtId="165" fontId="7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2" borderId="0" xfId="0" applyNumberForma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B20" sqref="B2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9"/>
  <sheetViews>
    <sheetView topLeftCell="I1" workbookViewId="0">
      <selection activeCell="J6" sqref="J6"/>
    </sheetView>
  </sheetViews>
  <sheetFormatPr defaultRowHeight="15" x14ac:dyDescent="0.25"/>
  <cols>
    <col min="4" max="5" width="9.140625" style="4"/>
    <col min="6" max="6" width="12.5703125" style="4" customWidth="1"/>
    <col min="7" max="12" width="9.140625" style="4"/>
    <col min="13" max="15" width="9.140625" style="6"/>
    <col min="16" max="17" width="9.140625" style="4"/>
    <col min="18" max="20" width="9.140625" style="6"/>
    <col min="21" max="21" width="23.140625" style="2" bestFit="1" customWidth="1"/>
    <col min="22" max="22" width="9.140625" style="6"/>
    <col min="23" max="23" width="9.140625" style="2"/>
    <col min="24" max="30" width="9.140625" style="6"/>
    <col min="31" max="31" width="9.140625" style="2"/>
  </cols>
  <sheetData>
    <row r="1" spans="1:31" s="1" customFormat="1" ht="45" x14ac:dyDescent="0.25">
      <c r="A1" s="1" t="s">
        <v>46</v>
      </c>
      <c r="B1" s="1" t="s">
        <v>47</v>
      </c>
      <c r="C1" s="1" t="s">
        <v>2</v>
      </c>
      <c r="D1" s="3" t="s">
        <v>4</v>
      </c>
      <c r="E1" s="3" t="s">
        <v>8</v>
      </c>
      <c r="F1" s="3" t="s">
        <v>9</v>
      </c>
      <c r="G1" s="3" t="s">
        <v>10</v>
      </c>
      <c r="H1" s="3" t="s">
        <v>11</v>
      </c>
      <c r="I1" s="3" t="s">
        <v>12</v>
      </c>
      <c r="J1" s="3" t="s">
        <v>13</v>
      </c>
      <c r="K1" s="3" t="s">
        <v>6</v>
      </c>
      <c r="L1" s="3" t="s">
        <v>14</v>
      </c>
      <c r="M1" s="5" t="s">
        <v>15</v>
      </c>
      <c r="N1" s="5" t="s">
        <v>16</v>
      </c>
      <c r="O1" s="5" t="s">
        <v>17</v>
      </c>
      <c r="P1" s="3" t="s">
        <v>18</v>
      </c>
      <c r="Q1" s="3" t="s">
        <v>19</v>
      </c>
      <c r="R1" s="5" t="s">
        <v>48</v>
      </c>
      <c r="S1" s="5" t="s">
        <v>49</v>
      </c>
      <c r="T1" s="5" t="s">
        <v>50</v>
      </c>
      <c r="U1" s="1" t="s">
        <v>1</v>
      </c>
      <c r="V1" s="5" t="s">
        <v>51</v>
      </c>
      <c r="W1" s="1" t="s">
        <v>3</v>
      </c>
      <c r="X1" s="5" t="s">
        <v>20</v>
      </c>
      <c r="Y1" s="5" t="s">
        <v>52</v>
      </c>
      <c r="Z1" s="5" t="s">
        <v>7</v>
      </c>
      <c r="AA1" s="5" t="s">
        <v>53</v>
      </c>
      <c r="AB1" s="5" t="s">
        <v>5</v>
      </c>
      <c r="AC1" s="5" t="s">
        <v>54</v>
      </c>
      <c r="AD1" s="5" t="s">
        <v>55</v>
      </c>
      <c r="AE1" s="1" t="s">
        <v>21</v>
      </c>
    </row>
    <row r="2" spans="1:31" x14ac:dyDescent="0.25">
      <c r="A2">
        <v>1</v>
      </c>
      <c r="B2">
        <v>1</v>
      </c>
      <c r="C2" t="s">
        <v>56</v>
      </c>
      <c r="D2" s="4">
        <v>0.75</v>
      </c>
      <c r="E2" s="4">
        <v>0.442</v>
      </c>
      <c r="F2" s="4">
        <v>0.33400000000000002</v>
      </c>
      <c r="G2" s="4">
        <v>0.30199999999999999</v>
      </c>
      <c r="H2" s="4">
        <v>10</v>
      </c>
      <c r="I2" s="4">
        <v>2</v>
      </c>
      <c r="J2" s="4">
        <v>1.125</v>
      </c>
      <c r="K2" s="4">
        <v>1.4375</v>
      </c>
      <c r="L2" s="4">
        <v>1.468</v>
      </c>
      <c r="M2" s="6">
        <v>0.17699999999999999</v>
      </c>
      <c r="N2" s="6">
        <v>0.32100000000000001</v>
      </c>
      <c r="O2" s="6">
        <v>0.125</v>
      </c>
      <c r="P2" s="4">
        <v>58</v>
      </c>
      <c r="Q2" s="4">
        <v>36</v>
      </c>
      <c r="R2" s="6">
        <v>0.8125</v>
      </c>
      <c r="S2" s="6">
        <v>0.875</v>
      </c>
      <c r="T2" s="6">
        <v>1</v>
      </c>
      <c r="U2" s="2" t="s">
        <v>57</v>
      </c>
      <c r="V2" s="6">
        <v>0.193</v>
      </c>
      <c r="W2" s="2" t="s">
        <v>58</v>
      </c>
      <c r="X2" s="6">
        <v>1.5</v>
      </c>
      <c r="Y2" s="6">
        <v>1</v>
      </c>
      <c r="Z2" s="6">
        <v>0.16700000000000001</v>
      </c>
      <c r="AA2" s="6">
        <v>0</v>
      </c>
      <c r="AB2" s="6">
        <v>0.75</v>
      </c>
      <c r="AC2" s="6">
        <v>1.3420000000000001</v>
      </c>
      <c r="AD2" s="6">
        <v>0.58899999999999997</v>
      </c>
      <c r="AE2" s="2" t="b">
        <v>0</v>
      </c>
    </row>
    <row r="3" spans="1:31" x14ac:dyDescent="0.25">
      <c r="A3">
        <v>4</v>
      </c>
      <c r="B3">
        <v>1</v>
      </c>
      <c r="C3" t="s">
        <v>56</v>
      </c>
      <c r="D3" s="4">
        <v>1</v>
      </c>
      <c r="E3" s="4">
        <v>0.78500000000000003</v>
      </c>
      <c r="F3" s="4">
        <v>0.60599999999999998</v>
      </c>
      <c r="G3" s="4">
        <v>0.55100000000000005</v>
      </c>
      <c r="H3" s="4">
        <v>8</v>
      </c>
      <c r="I3" s="4">
        <v>2.75</v>
      </c>
      <c r="J3" s="4">
        <v>1.375</v>
      </c>
      <c r="K3" s="4">
        <v>1.875</v>
      </c>
      <c r="L3" s="4">
        <v>2</v>
      </c>
      <c r="M3" s="6">
        <v>0.17699999999999999</v>
      </c>
      <c r="N3" s="6">
        <v>0.72</v>
      </c>
      <c r="O3" s="6">
        <v>0.221</v>
      </c>
      <c r="P3" s="4">
        <v>58</v>
      </c>
      <c r="Q3" s="4">
        <v>36</v>
      </c>
      <c r="R3" s="6">
        <v>1.0625</v>
      </c>
      <c r="S3" s="6">
        <v>1.125</v>
      </c>
      <c r="T3" s="6">
        <v>1.25</v>
      </c>
      <c r="U3" s="2" t="s">
        <v>57</v>
      </c>
      <c r="V3" s="6">
        <v>0.42499999999999999</v>
      </c>
      <c r="W3" s="2" t="s">
        <v>58</v>
      </c>
      <c r="X3" s="6">
        <v>1.75</v>
      </c>
      <c r="Y3" s="6">
        <v>1.25</v>
      </c>
      <c r="Z3" s="6">
        <v>0.374</v>
      </c>
      <c r="AA3" s="6">
        <v>0</v>
      </c>
      <c r="AB3" s="6">
        <v>1</v>
      </c>
      <c r="AC3" s="6">
        <v>2.2829999999999999</v>
      </c>
      <c r="AD3" s="6">
        <v>1.319</v>
      </c>
      <c r="AE3" s="2" t="b">
        <v>0</v>
      </c>
    </row>
    <row r="4" spans="1:31" x14ac:dyDescent="0.25">
      <c r="A4">
        <v>7</v>
      </c>
      <c r="B4">
        <v>1</v>
      </c>
      <c r="C4" t="s">
        <v>56</v>
      </c>
      <c r="D4" s="4">
        <v>1.25</v>
      </c>
      <c r="E4" s="4">
        <v>1.2270000000000001</v>
      </c>
      <c r="F4" s="4">
        <v>0.96899999999999997</v>
      </c>
      <c r="G4" s="4">
        <v>0.89</v>
      </c>
      <c r="H4" s="4">
        <v>7</v>
      </c>
      <c r="I4" s="4">
        <v>3.5</v>
      </c>
      <c r="J4" s="4">
        <v>1.625</v>
      </c>
      <c r="K4" s="4">
        <v>2.3125</v>
      </c>
      <c r="L4" s="4">
        <v>2.5</v>
      </c>
      <c r="M4" s="6">
        <v>0.17699999999999999</v>
      </c>
      <c r="N4" s="6">
        <v>1.37</v>
      </c>
      <c r="O4" s="6">
        <v>0.34399999999999997</v>
      </c>
      <c r="P4" s="4">
        <v>58</v>
      </c>
      <c r="Q4" s="4">
        <v>36</v>
      </c>
      <c r="R4" s="6">
        <v>1.3125</v>
      </c>
      <c r="S4" s="6">
        <v>1.375</v>
      </c>
      <c r="T4" s="6">
        <v>1.5625</v>
      </c>
      <c r="U4" s="2" t="s">
        <v>57</v>
      </c>
      <c r="V4" s="6">
        <v>0.78600000000000003</v>
      </c>
      <c r="W4" s="2" t="s">
        <v>58</v>
      </c>
      <c r="X4" s="6">
        <v>2</v>
      </c>
      <c r="Y4" s="6">
        <v>1.5</v>
      </c>
      <c r="Z4" s="6">
        <v>0.71199999999999997</v>
      </c>
      <c r="AA4" s="6">
        <v>0</v>
      </c>
      <c r="AB4" s="6">
        <v>1.25</v>
      </c>
      <c r="AC4" s="6">
        <v>3.4729999999999999</v>
      </c>
      <c r="AD4" s="6">
        <v>2.5110000000000001</v>
      </c>
      <c r="AE4" s="2" t="b">
        <v>0</v>
      </c>
    </row>
    <row r="5" spans="1:31" x14ac:dyDescent="0.25">
      <c r="A5">
        <v>10</v>
      </c>
      <c r="B5">
        <v>1</v>
      </c>
      <c r="C5" t="s">
        <v>56</v>
      </c>
      <c r="D5" s="4">
        <v>1.5</v>
      </c>
      <c r="E5" s="4">
        <v>1.7669999999999999</v>
      </c>
      <c r="F5" s="4">
        <v>1.41</v>
      </c>
      <c r="G5" s="4">
        <v>1.29</v>
      </c>
      <c r="H5" s="4">
        <v>6</v>
      </c>
      <c r="I5" s="4">
        <v>4</v>
      </c>
      <c r="J5" s="4">
        <v>1.75</v>
      </c>
      <c r="K5" s="4">
        <v>2.75</v>
      </c>
      <c r="L5" s="4">
        <v>3</v>
      </c>
      <c r="M5" s="6">
        <v>0.17699999999999999</v>
      </c>
      <c r="N5" s="6">
        <v>2.5499999999999998</v>
      </c>
      <c r="O5" s="6">
        <v>0.501</v>
      </c>
      <c r="P5" s="4">
        <v>58</v>
      </c>
      <c r="Q5" s="4">
        <v>36</v>
      </c>
      <c r="R5" s="6">
        <v>1.5625</v>
      </c>
      <c r="S5" s="6">
        <v>1.625</v>
      </c>
      <c r="T5" s="6">
        <v>1.8125</v>
      </c>
      <c r="U5" s="2" t="s">
        <v>57</v>
      </c>
      <c r="V5" s="6">
        <v>1.31</v>
      </c>
      <c r="W5" s="2" t="s">
        <v>58</v>
      </c>
      <c r="X5" s="6">
        <v>2.25</v>
      </c>
      <c r="Y5" s="6">
        <v>1.75</v>
      </c>
      <c r="Z5" s="6">
        <v>1.31</v>
      </c>
      <c r="AA5" s="6">
        <v>0</v>
      </c>
      <c r="AB5" s="6">
        <v>1.5</v>
      </c>
      <c r="AC5" s="6">
        <v>9.7530000000000001</v>
      </c>
      <c r="AD5" s="6">
        <v>14.776</v>
      </c>
      <c r="AE5" s="2" t="b">
        <v>0</v>
      </c>
    </row>
    <row r="6" spans="1:31" x14ac:dyDescent="0.25">
      <c r="A6">
        <v>13</v>
      </c>
      <c r="B6">
        <v>1</v>
      </c>
      <c r="C6" t="s">
        <v>56</v>
      </c>
      <c r="D6" s="4">
        <v>1.75</v>
      </c>
      <c r="E6" s="4">
        <v>2.4049999999999998</v>
      </c>
      <c r="F6" s="4">
        <v>1.9</v>
      </c>
      <c r="G6" s="4">
        <v>1.74</v>
      </c>
      <c r="H6" s="4">
        <v>5</v>
      </c>
      <c r="I6" s="4">
        <v>4.75</v>
      </c>
      <c r="J6" s="4">
        <v>2</v>
      </c>
      <c r="K6" s="4">
        <v>3.1875</v>
      </c>
      <c r="L6" s="4">
        <v>3.375</v>
      </c>
      <c r="M6" s="6">
        <v>0.28000000000000003</v>
      </c>
      <c r="N6" s="6">
        <v>3.99</v>
      </c>
      <c r="O6" s="6">
        <v>0.68100000000000005</v>
      </c>
      <c r="P6" s="4">
        <v>58</v>
      </c>
      <c r="Q6" s="4">
        <v>36</v>
      </c>
      <c r="R6" s="6">
        <v>1.8125</v>
      </c>
      <c r="S6" s="6">
        <v>1.875</v>
      </c>
      <c r="T6" s="6">
        <v>2.0625</v>
      </c>
      <c r="U6" s="2" t="s">
        <v>57</v>
      </c>
      <c r="V6" s="6">
        <v>2.04</v>
      </c>
      <c r="W6" s="2" t="s">
        <v>58</v>
      </c>
      <c r="X6" s="6">
        <v>2.5</v>
      </c>
      <c r="Y6" s="6">
        <v>2</v>
      </c>
      <c r="Z6" s="6">
        <v>2.04</v>
      </c>
      <c r="AA6" s="6">
        <v>0</v>
      </c>
      <c r="AB6" s="6">
        <v>1.75</v>
      </c>
      <c r="AC6" s="6">
        <v>13.233000000000001</v>
      </c>
      <c r="AD6" s="6">
        <v>19.89</v>
      </c>
      <c r="AE6" s="2" t="b">
        <v>0</v>
      </c>
    </row>
    <row r="7" spans="1:31" x14ac:dyDescent="0.25">
      <c r="A7">
        <v>17</v>
      </c>
      <c r="B7">
        <v>1</v>
      </c>
      <c r="C7" t="s">
        <v>56</v>
      </c>
      <c r="D7" s="4">
        <v>2</v>
      </c>
      <c r="E7" s="4">
        <v>3.1419999999999999</v>
      </c>
      <c r="F7" s="4">
        <v>2.5</v>
      </c>
      <c r="G7" s="4">
        <v>2.2999999999999998</v>
      </c>
      <c r="H7" s="4">
        <v>4.5</v>
      </c>
      <c r="I7" s="4">
        <v>5.5</v>
      </c>
      <c r="J7" s="4">
        <v>2.375</v>
      </c>
      <c r="K7" s="4">
        <v>3.625</v>
      </c>
      <c r="L7" s="4">
        <v>3.75</v>
      </c>
      <c r="M7" s="6">
        <v>0.28000000000000003</v>
      </c>
      <c r="N7" s="6">
        <v>5.79</v>
      </c>
      <c r="O7" s="6">
        <v>0.89</v>
      </c>
      <c r="P7" s="4">
        <v>58</v>
      </c>
      <c r="Q7" s="4">
        <v>36</v>
      </c>
      <c r="R7" s="6">
        <v>2.0625</v>
      </c>
      <c r="S7" s="6">
        <v>2.125</v>
      </c>
      <c r="T7" s="6">
        <v>2.375</v>
      </c>
      <c r="U7" s="2" t="s">
        <v>57</v>
      </c>
      <c r="V7" s="6">
        <v>2.99</v>
      </c>
      <c r="W7" s="2" t="s">
        <v>58</v>
      </c>
      <c r="X7" s="6">
        <v>2.75</v>
      </c>
      <c r="Y7" s="6">
        <v>2.375</v>
      </c>
      <c r="Z7" s="6">
        <v>2.99</v>
      </c>
      <c r="AA7" s="6">
        <v>0</v>
      </c>
      <c r="AB7" s="6">
        <v>2</v>
      </c>
      <c r="AC7" s="6">
        <v>16.012</v>
      </c>
      <c r="AD7" s="6">
        <v>26.026</v>
      </c>
      <c r="AE7" s="2" t="b">
        <v>0</v>
      </c>
    </row>
    <row r="8" spans="1:31" x14ac:dyDescent="0.25">
      <c r="A8">
        <v>2</v>
      </c>
      <c r="B8">
        <v>2</v>
      </c>
      <c r="C8" t="s">
        <v>59</v>
      </c>
      <c r="D8" s="4">
        <v>0.75</v>
      </c>
      <c r="E8" s="4">
        <v>0.442</v>
      </c>
      <c r="F8" s="4">
        <v>0.33400000000000002</v>
      </c>
      <c r="G8" s="4">
        <v>0.30199999999999999</v>
      </c>
      <c r="H8" s="4">
        <v>10</v>
      </c>
      <c r="I8" s="4">
        <v>2</v>
      </c>
      <c r="J8" s="4">
        <v>1.125</v>
      </c>
      <c r="K8" s="4">
        <v>1.4375</v>
      </c>
      <c r="L8" s="4">
        <v>1.468</v>
      </c>
      <c r="M8" s="6">
        <v>0.17699999999999999</v>
      </c>
      <c r="N8" s="6">
        <v>0.32100000000000001</v>
      </c>
      <c r="O8" s="6">
        <v>0.125</v>
      </c>
      <c r="P8" s="4">
        <v>58</v>
      </c>
      <c r="Q8" s="4">
        <v>36</v>
      </c>
      <c r="R8" s="6">
        <v>0.8125</v>
      </c>
      <c r="S8" s="6">
        <v>0.875</v>
      </c>
      <c r="T8" s="6">
        <v>1</v>
      </c>
      <c r="U8" s="2" t="s">
        <v>60</v>
      </c>
      <c r="V8" s="6">
        <v>0.193</v>
      </c>
      <c r="W8" s="2" t="s">
        <v>59</v>
      </c>
      <c r="X8" s="6">
        <v>1.5</v>
      </c>
      <c r="Y8" s="6">
        <v>1</v>
      </c>
      <c r="Z8" s="6">
        <v>0.16700000000000001</v>
      </c>
      <c r="AA8" s="6">
        <v>0</v>
      </c>
      <c r="AB8" s="6">
        <v>0.75</v>
      </c>
      <c r="AC8" s="6">
        <v>1.3420000000000001</v>
      </c>
      <c r="AD8" s="6">
        <v>0.58899999999999997</v>
      </c>
      <c r="AE8" s="2" t="b">
        <v>0</v>
      </c>
    </row>
    <row r="9" spans="1:31" x14ac:dyDescent="0.25">
      <c r="A9">
        <v>5</v>
      </c>
      <c r="B9">
        <v>2</v>
      </c>
      <c r="C9" t="s">
        <v>59</v>
      </c>
      <c r="D9" s="4">
        <v>1</v>
      </c>
      <c r="E9" s="4">
        <v>0.78500000000000003</v>
      </c>
      <c r="F9" s="4">
        <v>0.60599999999999998</v>
      </c>
      <c r="G9" s="4">
        <v>0.55100000000000005</v>
      </c>
      <c r="H9" s="4">
        <v>8</v>
      </c>
      <c r="I9" s="4">
        <v>2.75</v>
      </c>
      <c r="J9" s="4">
        <v>1.375</v>
      </c>
      <c r="K9" s="4">
        <v>1.875</v>
      </c>
      <c r="L9" s="4">
        <v>2</v>
      </c>
      <c r="M9" s="6">
        <v>0.17699999999999999</v>
      </c>
      <c r="N9" s="6">
        <v>0.72</v>
      </c>
      <c r="O9" s="6">
        <v>0.221</v>
      </c>
      <c r="P9" s="4">
        <v>58</v>
      </c>
      <c r="Q9" s="4">
        <v>36</v>
      </c>
      <c r="R9" s="6">
        <v>1.0625</v>
      </c>
      <c r="S9" s="6">
        <v>1.125</v>
      </c>
      <c r="T9" s="6">
        <v>1.25</v>
      </c>
      <c r="U9" s="2" t="s">
        <v>60</v>
      </c>
      <c r="V9" s="6">
        <v>0.42499999999999999</v>
      </c>
      <c r="W9" s="2" t="s">
        <v>59</v>
      </c>
      <c r="X9" s="6">
        <v>1.75</v>
      </c>
      <c r="Y9" s="6">
        <v>1.25</v>
      </c>
      <c r="Z9" s="6">
        <v>0.374</v>
      </c>
      <c r="AA9" s="6">
        <v>0</v>
      </c>
      <c r="AB9" s="6">
        <v>1</v>
      </c>
      <c r="AC9" s="6">
        <v>2.2829999999999999</v>
      </c>
      <c r="AD9" s="6">
        <v>1.319</v>
      </c>
      <c r="AE9" s="2" t="b">
        <v>0</v>
      </c>
    </row>
    <row r="10" spans="1:31" x14ac:dyDescent="0.25">
      <c r="A10">
        <v>8</v>
      </c>
      <c r="B10">
        <v>2</v>
      </c>
      <c r="C10" t="s">
        <v>59</v>
      </c>
      <c r="D10" s="4">
        <v>1.25</v>
      </c>
      <c r="E10" s="4">
        <v>1.2270000000000001</v>
      </c>
      <c r="F10" s="4">
        <v>0.96899999999999997</v>
      </c>
      <c r="G10" s="4">
        <v>0.89</v>
      </c>
      <c r="H10" s="4">
        <v>7</v>
      </c>
      <c r="I10" s="4">
        <v>3.5</v>
      </c>
      <c r="J10" s="4">
        <v>1.625</v>
      </c>
      <c r="K10" s="4">
        <v>2.3125</v>
      </c>
      <c r="L10" s="4">
        <v>2.5</v>
      </c>
      <c r="M10" s="6">
        <v>0.17699999999999999</v>
      </c>
      <c r="N10" s="6">
        <v>1.37</v>
      </c>
      <c r="O10" s="6">
        <v>0.34399999999999997</v>
      </c>
      <c r="P10" s="4">
        <v>58</v>
      </c>
      <c r="Q10" s="4">
        <v>36</v>
      </c>
      <c r="R10" s="6">
        <v>1.3125</v>
      </c>
      <c r="S10" s="6">
        <v>1.375</v>
      </c>
      <c r="T10" s="6">
        <v>1.5625</v>
      </c>
      <c r="U10" s="2" t="s">
        <v>60</v>
      </c>
      <c r="V10" s="6">
        <v>0.78600000000000003</v>
      </c>
      <c r="W10" s="2" t="s">
        <v>59</v>
      </c>
      <c r="X10" s="6">
        <v>2</v>
      </c>
      <c r="Y10" s="6">
        <v>1.5</v>
      </c>
      <c r="Z10" s="6">
        <v>0.71199999999999997</v>
      </c>
      <c r="AA10" s="6">
        <v>0</v>
      </c>
      <c r="AB10" s="6">
        <v>1.25</v>
      </c>
      <c r="AC10" s="6">
        <v>3.4729999999999999</v>
      </c>
      <c r="AD10" s="6">
        <v>2.5110000000000001</v>
      </c>
      <c r="AE10" s="2" t="b">
        <v>0</v>
      </c>
    </row>
    <row r="11" spans="1:31" x14ac:dyDescent="0.25">
      <c r="A11">
        <v>11</v>
      </c>
      <c r="B11">
        <v>2</v>
      </c>
      <c r="C11" t="s">
        <v>59</v>
      </c>
      <c r="D11" s="4">
        <v>1.5</v>
      </c>
      <c r="E11" s="4">
        <v>1.7669999999999999</v>
      </c>
      <c r="F11" s="4">
        <v>1.41</v>
      </c>
      <c r="G11" s="4">
        <v>1.29</v>
      </c>
      <c r="H11" s="4">
        <v>6</v>
      </c>
      <c r="I11" s="4">
        <v>4</v>
      </c>
      <c r="J11" s="4">
        <v>1.75</v>
      </c>
      <c r="K11" s="4">
        <v>2.75</v>
      </c>
      <c r="L11" s="4">
        <v>3</v>
      </c>
      <c r="M11" s="6">
        <v>0.17699999999999999</v>
      </c>
      <c r="N11" s="6">
        <v>2.5499999999999998</v>
      </c>
      <c r="O11" s="6">
        <v>0.501</v>
      </c>
      <c r="P11" s="4">
        <v>58</v>
      </c>
      <c r="Q11" s="4">
        <v>36</v>
      </c>
      <c r="R11" s="6">
        <v>1.5625</v>
      </c>
      <c r="S11" s="6">
        <v>1.625</v>
      </c>
      <c r="T11" s="6">
        <v>1.8125</v>
      </c>
      <c r="U11" s="2" t="s">
        <v>60</v>
      </c>
      <c r="V11" s="6">
        <v>1.31</v>
      </c>
      <c r="W11" s="2" t="s">
        <v>59</v>
      </c>
      <c r="X11" s="6">
        <v>2.25</v>
      </c>
      <c r="Y11" s="6">
        <v>1.75</v>
      </c>
      <c r="Z11" s="6">
        <v>1.31</v>
      </c>
      <c r="AA11" s="6">
        <v>0</v>
      </c>
      <c r="AB11" s="6">
        <v>1.5</v>
      </c>
      <c r="AC11" s="6">
        <v>9.7530000000000001</v>
      </c>
      <c r="AD11" s="6">
        <v>14.776</v>
      </c>
      <c r="AE11" s="2" t="b">
        <v>0</v>
      </c>
    </row>
    <row r="12" spans="1:31" x14ac:dyDescent="0.25">
      <c r="A12">
        <v>14</v>
      </c>
      <c r="B12">
        <v>2</v>
      </c>
      <c r="C12" t="s">
        <v>59</v>
      </c>
      <c r="D12" s="4">
        <v>1.75</v>
      </c>
      <c r="E12" s="4">
        <v>2.4049999999999998</v>
      </c>
      <c r="F12" s="4">
        <v>1.9</v>
      </c>
      <c r="G12" s="4">
        <v>1.74</v>
      </c>
      <c r="H12" s="4">
        <v>5</v>
      </c>
      <c r="I12" s="4">
        <v>4.75</v>
      </c>
      <c r="J12" s="4">
        <v>2</v>
      </c>
      <c r="K12" s="4">
        <v>3.1875</v>
      </c>
      <c r="L12" s="4">
        <v>3.375</v>
      </c>
      <c r="M12" s="6">
        <v>0.28000000000000003</v>
      </c>
      <c r="N12" s="6">
        <v>3.99</v>
      </c>
      <c r="O12" s="6">
        <v>0.68100000000000005</v>
      </c>
      <c r="P12" s="4">
        <v>58</v>
      </c>
      <c r="Q12" s="4">
        <v>36</v>
      </c>
      <c r="R12" s="6">
        <v>1.8125</v>
      </c>
      <c r="S12" s="6">
        <v>1.875</v>
      </c>
      <c r="T12" s="6">
        <v>2.0625</v>
      </c>
      <c r="U12" s="2" t="s">
        <v>60</v>
      </c>
      <c r="V12" s="6">
        <v>2.04</v>
      </c>
      <c r="W12" s="2" t="s">
        <v>59</v>
      </c>
      <c r="X12" s="6">
        <v>2.5</v>
      </c>
      <c r="Y12" s="6">
        <v>2</v>
      </c>
      <c r="Z12" s="6">
        <v>2.04</v>
      </c>
      <c r="AA12" s="6">
        <v>0</v>
      </c>
      <c r="AB12" s="6">
        <v>1.75</v>
      </c>
      <c r="AC12" s="6">
        <v>13.233000000000001</v>
      </c>
      <c r="AD12" s="6">
        <v>19.89</v>
      </c>
      <c r="AE12" s="2" t="b">
        <v>0</v>
      </c>
    </row>
    <row r="13" spans="1:31" x14ac:dyDescent="0.25">
      <c r="A13">
        <v>18</v>
      </c>
      <c r="B13">
        <v>2</v>
      </c>
      <c r="C13" t="s">
        <v>59</v>
      </c>
      <c r="D13" s="4">
        <v>2</v>
      </c>
      <c r="E13" s="4">
        <v>3.1419999999999999</v>
      </c>
      <c r="F13" s="4">
        <v>2.5</v>
      </c>
      <c r="G13" s="4">
        <v>2.2999999999999998</v>
      </c>
      <c r="H13" s="4">
        <v>4.5</v>
      </c>
      <c r="I13" s="4">
        <v>5.5</v>
      </c>
      <c r="J13" s="4">
        <v>2.375</v>
      </c>
      <c r="K13" s="4">
        <v>3.625</v>
      </c>
      <c r="L13" s="4">
        <v>3.75</v>
      </c>
      <c r="M13" s="6">
        <v>0.28000000000000003</v>
      </c>
      <c r="N13" s="6">
        <v>5.79</v>
      </c>
      <c r="O13" s="6">
        <v>0.89</v>
      </c>
      <c r="P13" s="4">
        <v>58</v>
      </c>
      <c r="Q13" s="4">
        <v>36</v>
      </c>
      <c r="R13" s="6">
        <v>2.0625</v>
      </c>
      <c r="S13" s="6">
        <v>2.125</v>
      </c>
      <c r="T13" s="6">
        <v>2.375</v>
      </c>
      <c r="U13" s="2" t="s">
        <v>60</v>
      </c>
      <c r="V13" s="6">
        <v>2.99</v>
      </c>
      <c r="W13" s="2" t="s">
        <v>59</v>
      </c>
      <c r="X13" s="6">
        <v>2.75</v>
      </c>
      <c r="Y13" s="6">
        <v>2.375</v>
      </c>
      <c r="Z13" s="6">
        <v>2.99</v>
      </c>
      <c r="AA13" s="6">
        <v>0</v>
      </c>
      <c r="AB13" s="6">
        <v>2</v>
      </c>
      <c r="AC13" s="6">
        <v>16.012</v>
      </c>
      <c r="AD13" s="6">
        <v>26.026</v>
      </c>
      <c r="AE13" s="2" t="b">
        <v>0</v>
      </c>
    </row>
    <row r="14" spans="1:31" x14ac:dyDescent="0.25">
      <c r="A14">
        <v>3</v>
      </c>
      <c r="B14">
        <v>3</v>
      </c>
      <c r="C14" t="s">
        <v>61</v>
      </c>
      <c r="D14" s="4">
        <v>0.75</v>
      </c>
      <c r="E14" s="4">
        <v>0.442</v>
      </c>
      <c r="F14" s="4">
        <v>0.33400000000000002</v>
      </c>
      <c r="G14" s="4">
        <v>0.30199999999999999</v>
      </c>
      <c r="H14" s="4">
        <v>10</v>
      </c>
      <c r="I14" s="4">
        <v>2</v>
      </c>
      <c r="J14" s="4">
        <v>1.125</v>
      </c>
      <c r="K14" s="4">
        <v>1.4375</v>
      </c>
      <c r="L14" s="4">
        <v>1.468</v>
      </c>
      <c r="M14" s="6">
        <v>0.17699999999999999</v>
      </c>
      <c r="N14" s="6">
        <v>0.32100000000000001</v>
      </c>
      <c r="O14" s="6">
        <v>0.125</v>
      </c>
      <c r="P14" s="4">
        <v>75</v>
      </c>
      <c r="Q14" s="4">
        <v>55</v>
      </c>
      <c r="R14" s="6">
        <v>0.8125</v>
      </c>
      <c r="S14" s="6">
        <v>0.875</v>
      </c>
      <c r="T14" s="6">
        <v>1</v>
      </c>
      <c r="U14" s="2" t="s">
        <v>62</v>
      </c>
      <c r="V14" s="6">
        <v>0.193</v>
      </c>
      <c r="W14" s="2" t="s">
        <v>61</v>
      </c>
      <c r="X14" s="6">
        <v>1.5</v>
      </c>
      <c r="Y14" s="6">
        <v>1</v>
      </c>
      <c r="Z14" s="6">
        <v>0.16700000000000001</v>
      </c>
      <c r="AA14" s="6">
        <v>0</v>
      </c>
      <c r="AB14" s="6">
        <v>0.75</v>
      </c>
      <c r="AC14" s="6">
        <v>1.3420000000000001</v>
      </c>
      <c r="AD14" s="6">
        <v>0.58899999999999997</v>
      </c>
      <c r="AE14" s="2" t="b">
        <v>0</v>
      </c>
    </row>
    <row r="15" spans="1:31" x14ac:dyDescent="0.25">
      <c r="A15">
        <v>6</v>
      </c>
      <c r="B15">
        <v>3</v>
      </c>
      <c r="C15" t="s">
        <v>61</v>
      </c>
      <c r="D15" s="4">
        <v>1</v>
      </c>
      <c r="E15" s="4">
        <v>0.78500000000000003</v>
      </c>
      <c r="F15" s="4">
        <v>0.60599999999999998</v>
      </c>
      <c r="G15" s="4">
        <v>0.55100000000000005</v>
      </c>
      <c r="H15" s="4">
        <v>8</v>
      </c>
      <c r="I15" s="4">
        <v>2.75</v>
      </c>
      <c r="J15" s="4">
        <v>1.375</v>
      </c>
      <c r="K15" s="4">
        <v>1.875</v>
      </c>
      <c r="L15" s="4">
        <v>2</v>
      </c>
      <c r="M15" s="6">
        <v>0.17699999999999999</v>
      </c>
      <c r="N15" s="6">
        <v>0.72</v>
      </c>
      <c r="O15" s="6">
        <v>0.221</v>
      </c>
      <c r="P15" s="4">
        <v>75</v>
      </c>
      <c r="Q15" s="4">
        <v>55</v>
      </c>
      <c r="R15" s="6">
        <v>1.0625</v>
      </c>
      <c r="S15" s="6">
        <v>1.125</v>
      </c>
      <c r="T15" s="6">
        <v>1.25</v>
      </c>
      <c r="U15" s="2" t="s">
        <v>62</v>
      </c>
      <c r="V15" s="6">
        <v>0.42499999999999999</v>
      </c>
      <c r="W15" s="2" t="s">
        <v>61</v>
      </c>
      <c r="X15" s="6">
        <v>1.75</v>
      </c>
      <c r="Y15" s="6">
        <v>1.25</v>
      </c>
      <c r="Z15" s="6">
        <v>0.374</v>
      </c>
      <c r="AA15" s="6">
        <v>0</v>
      </c>
      <c r="AB15" s="6">
        <v>1</v>
      </c>
      <c r="AC15" s="6">
        <v>2.2829999999999999</v>
      </c>
      <c r="AD15" s="6">
        <v>1.319</v>
      </c>
      <c r="AE15" s="2" t="b">
        <v>0</v>
      </c>
    </row>
    <row r="16" spans="1:31" x14ac:dyDescent="0.25">
      <c r="A16">
        <v>9</v>
      </c>
      <c r="B16">
        <v>3</v>
      </c>
      <c r="C16" t="s">
        <v>61</v>
      </c>
      <c r="D16" s="4">
        <v>1.25</v>
      </c>
      <c r="E16" s="4">
        <v>1.2270000000000001</v>
      </c>
      <c r="F16" s="4">
        <v>0.96899999999999997</v>
      </c>
      <c r="G16" s="4">
        <v>0.89</v>
      </c>
      <c r="H16" s="4">
        <v>7</v>
      </c>
      <c r="I16" s="4">
        <v>3.5</v>
      </c>
      <c r="J16" s="4">
        <v>1.625</v>
      </c>
      <c r="K16" s="4">
        <v>2.3125</v>
      </c>
      <c r="L16" s="4">
        <v>2.5</v>
      </c>
      <c r="M16" s="6">
        <v>0.17699999999999999</v>
      </c>
      <c r="N16" s="6">
        <v>1.37</v>
      </c>
      <c r="O16" s="6">
        <v>0.34399999999999997</v>
      </c>
      <c r="P16" s="4">
        <v>75</v>
      </c>
      <c r="Q16" s="4">
        <v>55</v>
      </c>
      <c r="R16" s="6">
        <v>1.3125</v>
      </c>
      <c r="S16" s="6">
        <v>1.375</v>
      </c>
      <c r="T16" s="6">
        <v>1.5625</v>
      </c>
      <c r="U16" s="2" t="s">
        <v>62</v>
      </c>
      <c r="V16" s="6">
        <v>0.78600000000000003</v>
      </c>
      <c r="W16" s="2" t="s">
        <v>61</v>
      </c>
      <c r="X16" s="6">
        <v>2</v>
      </c>
      <c r="Y16" s="6">
        <v>1.5</v>
      </c>
      <c r="Z16" s="6">
        <v>0.71199999999999997</v>
      </c>
      <c r="AA16" s="6">
        <v>0</v>
      </c>
      <c r="AB16" s="6">
        <v>1.25</v>
      </c>
      <c r="AC16" s="6">
        <v>3.4729999999999999</v>
      </c>
      <c r="AD16" s="6">
        <v>2.5110000000000001</v>
      </c>
      <c r="AE16" s="2" t="b">
        <v>0</v>
      </c>
    </row>
    <row r="17" spans="1:31" x14ac:dyDescent="0.25">
      <c r="A17">
        <v>12</v>
      </c>
      <c r="B17">
        <v>3</v>
      </c>
      <c r="C17" t="s">
        <v>61</v>
      </c>
      <c r="D17" s="4">
        <v>1.5</v>
      </c>
      <c r="E17" s="4">
        <v>1.7669999999999999</v>
      </c>
      <c r="F17" s="4">
        <v>1.41</v>
      </c>
      <c r="G17" s="4">
        <v>1.29</v>
      </c>
      <c r="H17" s="4">
        <v>6</v>
      </c>
      <c r="I17" s="4">
        <v>4</v>
      </c>
      <c r="J17" s="4">
        <v>1.75</v>
      </c>
      <c r="K17" s="4">
        <v>2.75</v>
      </c>
      <c r="L17" s="4">
        <v>3</v>
      </c>
      <c r="M17" s="6">
        <v>0.17699999999999999</v>
      </c>
      <c r="N17" s="6">
        <v>2.5499999999999998</v>
      </c>
      <c r="O17" s="6">
        <v>0.501</v>
      </c>
      <c r="P17" s="4">
        <v>75</v>
      </c>
      <c r="Q17" s="4">
        <v>55</v>
      </c>
      <c r="R17" s="6">
        <v>1.5625</v>
      </c>
      <c r="S17" s="6">
        <v>1.625</v>
      </c>
      <c r="T17" s="6">
        <v>1.8125</v>
      </c>
      <c r="U17" s="2" t="s">
        <v>62</v>
      </c>
      <c r="V17" s="6">
        <v>1.31</v>
      </c>
      <c r="W17" s="2" t="s">
        <v>61</v>
      </c>
      <c r="X17" s="6">
        <v>2.25</v>
      </c>
      <c r="Y17" s="6">
        <v>1.75</v>
      </c>
      <c r="Z17" s="6">
        <v>1.31</v>
      </c>
      <c r="AA17" s="6">
        <v>0</v>
      </c>
      <c r="AB17" s="6">
        <v>1.5</v>
      </c>
      <c r="AC17" s="6">
        <v>9.7530000000000001</v>
      </c>
      <c r="AD17" s="6">
        <v>14.776</v>
      </c>
      <c r="AE17" s="2" t="b">
        <v>0</v>
      </c>
    </row>
    <row r="18" spans="1:31" x14ac:dyDescent="0.25">
      <c r="A18">
        <v>15</v>
      </c>
      <c r="B18">
        <v>3</v>
      </c>
      <c r="C18" t="s">
        <v>61</v>
      </c>
      <c r="D18" s="4">
        <v>1.75</v>
      </c>
      <c r="E18" s="4">
        <v>2.4049999999999998</v>
      </c>
      <c r="F18" s="4">
        <v>1.9</v>
      </c>
      <c r="G18" s="4">
        <v>1.74</v>
      </c>
      <c r="H18" s="4">
        <v>5</v>
      </c>
      <c r="I18" s="4">
        <v>4.75</v>
      </c>
      <c r="J18" s="4">
        <v>2</v>
      </c>
      <c r="K18" s="4">
        <v>3.1875</v>
      </c>
      <c r="L18" s="4">
        <v>3.375</v>
      </c>
      <c r="M18" s="6">
        <v>0.28000000000000003</v>
      </c>
      <c r="N18" s="6">
        <v>3.99</v>
      </c>
      <c r="O18" s="6">
        <v>0.68100000000000005</v>
      </c>
      <c r="P18" s="4">
        <v>75</v>
      </c>
      <c r="Q18" s="4">
        <v>55</v>
      </c>
      <c r="R18" s="6">
        <v>1.8125</v>
      </c>
      <c r="S18" s="6">
        <v>1.875</v>
      </c>
      <c r="T18" s="6">
        <v>2.0625</v>
      </c>
      <c r="U18" s="2" t="s">
        <v>62</v>
      </c>
      <c r="V18" s="6">
        <v>2.04</v>
      </c>
      <c r="W18" s="2" t="s">
        <v>61</v>
      </c>
      <c r="X18" s="6">
        <v>2.5</v>
      </c>
      <c r="Y18" s="6">
        <v>2</v>
      </c>
      <c r="Z18" s="6">
        <v>2.04</v>
      </c>
      <c r="AA18" s="6">
        <v>0</v>
      </c>
      <c r="AB18" s="6">
        <v>1.75</v>
      </c>
      <c r="AC18" s="6">
        <v>13.233000000000001</v>
      </c>
      <c r="AD18" s="6">
        <v>19.89</v>
      </c>
      <c r="AE18" s="2" t="b">
        <v>0</v>
      </c>
    </row>
    <row r="19" spans="1:31" x14ac:dyDescent="0.25">
      <c r="A19">
        <v>19</v>
      </c>
      <c r="B19">
        <v>3</v>
      </c>
      <c r="C19" t="s">
        <v>61</v>
      </c>
      <c r="D19" s="4">
        <v>2</v>
      </c>
      <c r="E19" s="4">
        <v>3.1419999999999999</v>
      </c>
      <c r="F19" s="4">
        <v>2.5</v>
      </c>
      <c r="G19" s="4">
        <v>2.2999999999999998</v>
      </c>
      <c r="H19" s="4">
        <v>4.5</v>
      </c>
      <c r="I19" s="4">
        <v>5.5</v>
      </c>
      <c r="J19" s="4">
        <v>2.375</v>
      </c>
      <c r="K19" s="4">
        <v>3.625</v>
      </c>
      <c r="L19" s="4">
        <v>3.75</v>
      </c>
      <c r="M19" s="6">
        <v>0.28000000000000003</v>
      </c>
      <c r="N19" s="6">
        <v>5.79</v>
      </c>
      <c r="O19" s="6">
        <v>0.89</v>
      </c>
      <c r="P19" s="4">
        <v>75</v>
      </c>
      <c r="Q19" s="4">
        <v>55</v>
      </c>
      <c r="R19" s="6">
        <v>2.0625</v>
      </c>
      <c r="S19" s="6">
        <v>2.125</v>
      </c>
      <c r="T19" s="6">
        <v>2.375</v>
      </c>
      <c r="U19" s="2" t="s">
        <v>62</v>
      </c>
      <c r="V19" s="6">
        <v>2.99</v>
      </c>
      <c r="W19" s="2" t="s">
        <v>61</v>
      </c>
      <c r="X19" s="6">
        <v>2.75</v>
      </c>
      <c r="Y19" s="6">
        <v>2.375</v>
      </c>
      <c r="Z19" s="6">
        <v>2.99</v>
      </c>
      <c r="AA19" s="6">
        <v>0</v>
      </c>
      <c r="AB19" s="6">
        <v>2</v>
      </c>
      <c r="AC19" s="6">
        <v>16.012</v>
      </c>
      <c r="AD19" s="6">
        <v>26.026</v>
      </c>
      <c r="AE19" s="2" t="b">
        <v>0</v>
      </c>
    </row>
    <row r="20" spans="1:31" x14ac:dyDescent="0.25">
      <c r="A20">
        <v>16</v>
      </c>
      <c r="B20">
        <v>4</v>
      </c>
      <c r="C20" t="s">
        <v>63</v>
      </c>
      <c r="D20" s="4">
        <v>1.75</v>
      </c>
      <c r="E20" s="4">
        <v>2.4049999999999998</v>
      </c>
      <c r="F20" s="4">
        <v>1.9</v>
      </c>
      <c r="G20" s="4">
        <v>1.74</v>
      </c>
      <c r="H20" s="4">
        <v>5</v>
      </c>
      <c r="I20" s="4">
        <v>4.75</v>
      </c>
      <c r="J20" s="4">
        <v>2</v>
      </c>
      <c r="K20" s="4">
        <v>3.1875</v>
      </c>
      <c r="L20" s="4">
        <v>3.375</v>
      </c>
      <c r="M20" s="6">
        <v>0.28000000000000003</v>
      </c>
      <c r="N20" s="6">
        <v>3.99</v>
      </c>
      <c r="O20" s="6">
        <v>0.79</v>
      </c>
      <c r="P20" s="4">
        <v>100</v>
      </c>
      <c r="Q20" s="4">
        <v>75</v>
      </c>
      <c r="R20" s="6">
        <v>1.8125</v>
      </c>
      <c r="S20" s="6">
        <v>2</v>
      </c>
      <c r="T20" s="6">
        <v>2.0625</v>
      </c>
      <c r="U20" s="2" t="s">
        <v>64</v>
      </c>
      <c r="V20" s="6">
        <v>2.04</v>
      </c>
      <c r="W20" s="2" t="s">
        <v>63</v>
      </c>
      <c r="X20" s="6">
        <v>2.5</v>
      </c>
      <c r="Y20" s="6">
        <v>2</v>
      </c>
      <c r="Z20" s="6">
        <v>2.04</v>
      </c>
      <c r="AA20" s="6">
        <v>0</v>
      </c>
      <c r="AB20" s="6">
        <v>1.75</v>
      </c>
      <c r="AC20" s="6">
        <v>13.233000000000001</v>
      </c>
      <c r="AD20" s="6">
        <v>19.89</v>
      </c>
      <c r="AE20" s="2" t="b">
        <v>0</v>
      </c>
    </row>
    <row r="21" spans="1:31" x14ac:dyDescent="0.25">
      <c r="A21">
        <v>20</v>
      </c>
      <c r="B21">
        <v>4</v>
      </c>
      <c r="C21" t="s">
        <v>63</v>
      </c>
      <c r="D21" s="4">
        <v>2.25</v>
      </c>
      <c r="E21" s="4">
        <v>3.976</v>
      </c>
      <c r="F21" s="4">
        <v>3.25</v>
      </c>
      <c r="G21" s="4">
        <v>3.02</v>
      </c>
      <c r="H21" s="4">
        <v>4.5</v>
      </c>
      <c r="I21" s="4">
        <v>6</v>
      </c>
      <c r="J21" s="4">
        <v>2.625</v>
      </c>
      <c r="K21" s="4">
        <v>4.0625</v>
      </c>
      <c r="L21" s="4">
        <v>4</v>
      </c>
      <c r="M21" s="6">
        <v>0.34</v>
      </c>
      <c r="N21" s="6">
        <v>8.16</v>
      </c>
      <c r="O21" s="6">
        <v>1.2166666660000001</v>
      </c>
      <c r="P21" s="4">
        <v>100</v>
      </c>
      <c r="Q21" s="4">
        <v>75</v>
      </c>
      <c r="R21" s="6">
        <v>2.3130000000000002</v>
      </c>
      <c r="S21" s="6">
        <v>2.5499999999999998</v>
      </c>
      <c r="T21" s="6">
        <v>2.625</v>
      </c>
      <c r="U21" s="2" t="s">
        <v>65</v>
      </c>
      <c r="V21" s="6">
        <v>4.1900000000000004</v>
      </c>
      <c r="W21" s="2" t="s">
        <v>63</v>
      </c>
      <c r="X21" s="6">
        <v>3</v>
      </c>
      <c r="Y21" s="6">
        <v>2.625</v>
      </c>
      <c r="Z21" s="6">
        <v>4.1900000000000004</v>
      </c>
      <c r="AA21" s="6">
        <v>0</v>
      </c>
      <c r="AB21" s="6">
        <v>2.25</v>
      </c>
      <c r="AC21" s="6">
        <v>19.056000000000001</v>
      </c>
      <c r="AD21" s="6">
        <v>33.502000000000002</v>
      </c>
      <c r="AE21" s="2" t="b">
        <v>0</v>
      </c>
    </row>
    <row r="22" spans="1:31" x14ac:dyDescent="0.25">
      <c r="A22">
        <v>21</v>
      </c>
      <c r="B22">
        <v>5</v>
      </c>
      <c r="C22" t="s">
        <v>66</v>
      </c>
      <c r="D22" s="4">
        <v>1.75</v>
      </c>
      <c r="E22" s="4">
        <v>2.4049999999999998</v>
      </c>
      <c r="F22" s="4">
        <v>1.9</v>
      </c>
      <c r="G22" s="4">
        <v>1.74</v>
      </c>
      <c r="H22" s="4">
        <v>5</v>
      </c>
      <c r="I22" s="4">
        <v>4.75</v>
      </c>
      <c r="J22" s="4">
        <v>2</v>
      </c>
      <c r="K22" s="4">
        <v>3.1875</v>
      </c>
      <c r="L22" s="4">
        <v>3.375</v>
      </c>
      <c r="M22" s="6">
        <v>0.28000000000000003</v>
      </c>
      <c r="N22" s="6">
        <v>3.99</v>
      </c>
      <c r="O22" s="6">
        <v>0.68100000000000005</v>
      </c>
      <c r="P22" s="4">
        <v>90</v>
      </c>
      <c r="Q22" s="4">
        <v>60</v>
      </c>
      <c r="R22" s="6">
        <v>1.8125</v>
      </c>
      <c r="S22" s="6">
        <v>2</v>
      </c>
      <c r="T22" s="6">
        <v>2.0625</v>
      </c>
      <c r="U22" s="2" t="s">
        <v>67</v>
      </c>
      <c r="V22" s="6">
        <v>2.04</v>
      </c>
      <c r="W22" s="2" t="s">
        <v>66</v>
      </c>
      <c r="X22" s="6">
        <v>2.5</v>
      </c>
      <c r="Y22" s="6">
        <v>2</v>
      </c>
      <c r="Z22" s="6">
        <v>2.04</v>
      </c>
      <c r="AA22" s="6">
        <v>0</v>
      </c>
      <c r="AB22" s="6">
        <v>1.75</v>
      </c>
      <c r="AC22" s="6">
        <v>13.233000000000001</v>
      </c>
      <c r="AD22" s="6">
        <v>19.89</v>
      </c>
      <c r="AE22" s="2" t="b">
        <v>0</v>
      </c>
    </row>
    <row r="23" spans="1:31" x14ac:dyDescent="0.25">
      <c r="A23">
        <v>22</v>
      </c>
      <c r="B23">
        <v>5</v>
      </c>
      <c r="C23" t="s">
        <v>66</v>
      </c>
      <c r="D23" s="4">
        <v>2.25</v>
      </c>
      <c r="E23" s="4">
        <v>3.976</v>
      </c>
      <c r="F23" s="4">
        <v>3.25</v>
      </c>
      <c r="G23" s="4">
        <v>3.02</v>
      </c>
      <c r="H23" s="4">
        <v>4.5</v>
      </c>
      <c r="I23" s="4">
        <v>6</v>
      </c>
      <c r="J23" s="4">
        <v>2.625</v>
      </c>
      <c r="K23" s="4">
        <v>4.0625</v>
      </c>
      <c r="L23" s="4">
        <v>4</v>
      </c>
      <c r="M23" s="6">
        <v>0.34</v>
      </c>
      <c r="N23" s="6">
        <v>8.16</v>
      </c>
      <c r="O23" s="6">
        <v>1.1259999999999999</v>
      </c>
      <c r="P23" s="4">
        <v>90</v>
      </c>
      <c r="Q23" s="4">
        <v>60</v>
      </c>
      <c r="R23" s="6">
        <v>2.3130000000000002</v>
      </c>
      <c r="S23" s="6">
        <v>2.5499999999999998</v>
      </c>
      <c r="T23" s="6">
        <v>2.625</v>
      </c>
      <c r="U23" s="2" t="s">
        <v>68</v>
      </c>
      <c r="V23" s="6">
        <v>4.1900000000000004</v>
      </c>
      <c r="W23" s="2" t="s">
        <v>66</v>
      </c>
      <c r="X23" s="6">
        <v>3</v>
      </c>
      <c r="Y23" s="6">
        <v>2.625</v>
      </c>
      <c r="Z23" s="6">
        <v>4.1900000000000004</v>
      </c>
      <c r="AA23" s="6">
        <v>0</v>
      </c>
      <c r="AB23" s="6">
        <v>2.25</v>
      </c>
      <c r="AC23" s="6">
        <v>19.056000000000001</v>
      </c>
      <c r="AD23" s="6">
        <v>33.502000000000002</v>
      </c>
      <c r="AE23" s="2" t="b">
        <v>0</v>
      </c>
    </row>
    <row r="24" spans="1:31" x14ac:dyDescent="0.25">
      <c r="A24">
        <v>23</v>
      </c>
      <c r="B24">
        <v>6</v>
      </c>
      <c r="C24" t="s">
        <v>69</v>
      </c>
      <c r="D24" s="4">
        <v>0.75</v>
      </c>
      <c r="E24" s="4">
        <v>0.442</v>
      </c>
      <c r="F24" s="4">
        <v>0.33400000000000002</v>
      </c>
      <c r="G24" s="4">
        <v>0.30199999999999999</v>
      </c>
      <c r="H24" s="4">
        <v>10</v>
      </c>
      <c r="I24" s="4">
        <v>2</v>
      </c>
      <c r="J24" s="4">
        <v>1.125</v>
      </c>
      <c r="K24" s="4">
        <v>1.4375</v>
      </c>
      <c r="L24" s="4">
        <v>1.468</v>
      </c>
      <c r="M24" s="6">
        <v>0.17699999999999999</v>
      </c>
      <c r="N24" s="6">
        <v>0.32100000000000001</v>
      </c>
      <c r="O24" s="6">
        <v>0.125</v>
      </c>
      <c r="P24" s="4">
        <v>125</v>
      </c>
      <c r="Q24" s="4">
        <v>105</v>
      </c>
      <c r="R24" s="6">
        <v>0.8125</v>
      </c>
      <c r="S24" s="6">
        <v>0.875</v>
      </c>
      <c r="T24" s="6">
        <v>1</v>
      </c>
      <c r="U24" s="2" t="s">
        <v>70</v>
      </c>
      <c r="V24" s="6">
        <v>0.193</v>
      </c>
      <c r="W24" s="2" t="s">
        <v>71</v>
      </c>
      <c r="X24" s="6">
        <v>1.5</v>
      </c>
      <c r="Y24" s="6">
        <v>1</v>
      </c>
      <c r="Z24" s="6">
        <v>0.16700000000000001</v>
      </c>
      <c r="AA24" s="6">
        <v>0</v>
      </c>
      <c r="AB24" s="6">
        <v>0.75</v>
      </c>
      <c r="AC24" s="6">
        <v>1.3420000000000001</v>
      </c>
      <c r="AD24" s="6">
        <v>0.58899999999999997</v>
      </c>
      <c r="AE24" s="2" t="b">
        <v>0</v>
      </c>
    </row>
    <row r="25" spans="1:31" x14ac:dyDescent="0.25">
      <c r="A25">
        <v>24</v>
      </c>
      <c r="B25">
        <v>6</v>
      </c>
      <c r="C25" t="s">
        <v>69</v>
      </c>
      <c r="D25" s="4">
        <v>1</v>
      </c>
      <c r="E25" s="4">
        <v>0.78500000000000003</v>
      </c>
      <c r="F25" s="4">
        <v>0.60599999999999998</v>
      </c>
      <c r="G25" s="4">
        <v>0.55100000000000005</v>
      </c>
      <c r="H25" s="4">
        <v>8</v>
      </c>
      <c r="I25" s="4">
        <v>2.75</v>
      </c>
      <c r="J25" s="4">
        <v>1.375</v>
      </c>
      <c r="K25" s="4">
        <v>1.875</v>
      </c>
      <c r="L25" s="4">
        <v>2</v>
      </c>
      <c r="M25" s="6">
        <v>0.17699999999999999</v>
      </c>
      <c r="N25" s="6">
        <v>0.72</v>
      </c>
      <c r="O25" s="6">
        <v>0.221</v>
      </c>
      <c r="P25" s="4">
        <v>125</v>
      </c>
      <c r="Q25" s="4">
        <v>105</v>
      </c>
      <c r="R25" s="6">
        <v>1.0625</v>
      </c>
      <c r="S25" s="6">
        <v>1.125</v>
      </c>
      <c r="T25" s="6">
        <v>1.25</v>
      </c>
      <c r="U25" s="2" t="s">
        <v>70</v>
      </c>
      <c r="V25" s="6">
        <v>0.42499999999999999</v>
      </c>
      <c r="W25" s="2" t="s">
        <v>71</v>
      </c>
      <c r="X25" s="6">
        <v>1.75</v>
      </c>
      <c r="Y25" s="6">
        <v>1.25</v>
      </c>
      <c r="Z25" s="6">
        <v>0.374</v>
      </c>
      <c r="AA25" s="6">
        <v>0</v>
      </c>
      <c r="AB25" s="6">
        <v>1</v>
      </c>
      <c r="AC25" s="6">
        <v>2.2829999999999999</v>
      </c>
      <c r="AD25" s="6">
        <v>1.319</v>
      </c>
      <c r="AE25" s="2" t="b">
        <v>0</v>
      </c>
    </row>
    <row r="26" spans="1:31" x14ac:dyDescent="0.25">
      <c r="A26">
        <v>25</v>
      </c>
      <c r="B26">
        <v>6</v>
      </c>
      <c r="C26" t="s">
        <v>69</v>
      </c>
      <c r="D26" s="4">
        <v>1.25</v>
      </c>
      <c r="E26" s="4">
        <v>1.2270000000000001</v>
      </c>
      <c r="F26" s="4">
        <v>0.96899999999999997</v>
      </c>
      <c r="G26" s="4">
        <v>0.89</v>
      </c>
      <c r="H26" s="4">
        <v>7</v>
      </c>
      <c r="I26" s="4">
        <v>3.5</v>
      </c>
      <c r="J26" s="4">
        <v>1.625</v>
      </c>
      <c r="K26" s="4">
        <v>2.3125</v>
      </c>
      <c r="L26" s="4">
        <v>2.5</v>
      </c>
      <c r="M26" s="6">
        <v>0.17699999999999999</v>
      </c>
      <c r="N26" s="6">
        <v>1.37</v>
      </c>
      <c r="O26" s="6">
        <v>0.34399999999999997</v>
      </c>
      <c r="P26" s="4">
        <v>125</v>
      </c>
      <c r="Q26" s="4">
        <v>105</v>
      </c>
      <c r="R26" s="6">
        <v>1.3125</v>
      </c>
      <c r="S26" s="6">
        <v>1.375</v>
      </c>
      <c r="T26" s="6">
        <v>1.5625</v>
      </c>
      <c r="U26" s="2" t="s">
        <v>70</v>
      </c>
      <c r="V26" s="6">
        <v>0.78600000000000003</v>
      </c>
      <c r="W26" s="2" t="s">
        <v>71</v>
      </c>
      <c r="X26" s="6">
        <v>2</v>
      </c>
      <c r="Y26" s="6">
        <v>1.5</v>
      </c>
      <c r="Z26" s="6">
        <v>0.71199999999999997</v>
      </c>
      <c r="AA26" s="6">
        <v>0</v>
      </c>
      <c r="AB26" s="6">
        <v>1.25</v>
      </c>
      <c r="AC26" s="6">
        <v>3.4729999999999999</v>
      </c>
      <c r="AD26" s="6">
        <v>2.5110000000000001</v>
      </c>
      <c r="AE26" s="2" t="b">
        <v>0</v>
      </c>
    </row>
    <row r="27" spans="1:31" x14ac:dyDescent="0.25">
      <c r="A27">
        <v>26</v>
      </c>
      <c r="B27">
        <v>6</v>
      </c>
      <c r="C27" t="s">
        <v>69</v>
      </c>
      <c r="D27" s="4">
        <v>1.5</v>
      </c>
      <c r="E27" s="4">
        <v>1.7669999999999999</v>
      </c>
      <c r="F27" s="4">
        <v>1.41</v>
      </c>
      <c r="G27" s="4">
        <v>1.29</v>
      </c>
      <c r="H27" s="4">
        <v>6</v>
      </c>
      <c r="I27" s="4">
        <v>4</v>
      </c>
      <c r="J27" s="4">
        <v>1.75</v>
      </c>
      <c r="K27" s="4">
        <v>2.75</v>
      </c>
      <c r="L27" s="4">
        <v>3</v>
      </c>
      <c r="M27" s="6">
        <v>0.17699999999999999</v>
      </c>
      <c r="N27" s="6">
        <v>2.5499999999999998</v>
      </c>
      <c r="O27" s="6">
        <v>0.501</v>
      </c>
      <c r="P27" s="4">
        <v>125</v>
      </c>
      <c r="Q27" s="4">
        <v>105</v>
      </c>
      <c r="R27" s="6">
        <v>1.5625</v>
      </c>
      <c r="S27" s="6">
        <v>1.625</v>
      </c>
      <c r="T27" s="6">
        <v>1.8125</v>
      </c>
      <c r="U27" s="2" t="s">
        <v>70</v>
      </c>
      <c r="V27" s="6">
        <v>1.31</v>
      </c>
      <c r="W27" s="2" t="s">
        <v>71</v>
      </c>
      <c r="X27" s="6">
        <v>2.25</v>
      </c>
      <c r="Y27" s="6">
        <v>1.75</v>
      </c>
      <c r="Z27" s="6">
        <v>1.31</v>
      </c>
      <c r="AA27" s="6">
        <v>0</v>
      </c>
      <c r="AB27" s="6">
        <v>1.5</v>
      </c>
      <c r="AC27" s="6">
        <v>9.7530000000000001</v>
      </c>
      <c r="AD27" s="6">
        <v>14.776</v>
      </c>
      <c r="AE27" s="2" t="b">
        <v>0</v>
      </c>
    </row>
    <row r="28" spans="1:31" x14ac:dyDescent="0.25">
      <c r="A28">
        <v>27</v>
      </c>
      <c r="B28">
        <v>6</v>
      </c>
      <c r="C28" t="s">
        <v>69</v>
      </c>
      <c r="D28" s="4">
        <v>1.75</v>
      </c>
      <c r="E28" s="4">
        <v>2.4049999999999998</v>
      </c>
      <c r="F28" s="4">
        <v>1.9</v>
      </c>
      <c r="G28" s="4">
        <v>1.74</v>
      </c>
      <c r="H28" s="4">
        <v>5</v>
      </c>
      <c r="I28" s="4">
        <v>4.75</v>
      </c>
      <c r="J28" s="4">
        <v>2</v>
      </c>
      <c r="K28" s="4">
        <v>3.1875</v>
      </c>
      <c r="L28" s="4">
        <v>3.375</v>
      </c>
      <c r="M28" s="6">
        <v>0.28000000000000003</v>
      </c>
      <c r="N28" s="6">
        <v>3.99</v>
      </c>
      <c r="O28" s="6">
        <v>0.68100000000000005</v>
      </c>
      <c r="P28" s="4">
        <v>125</v>
      </c>
      <c r="Q28" s="4">
        <v>105</v>
      </c>
      <c r="R28" s="6">
        <v>1.8125</v>
      </c>
      <c r="S28" s="6">
        <v>1.875</v>
      </c>
      <c r="T28" s="6">
        <v>2.0625</v>
      </c>
      <c r="U28" s="2" t="s">
        <v>70</v>
      </c>
      <c r="V28" s="6">
        <v>2.04</v>
      </c>
      <c r="W28" s="2" t="s">
        <v>71</v>
      </c>
      <c r="X28" s="6">
        <v>2.5</v>
      </c>
      <c r="Y28" s="6">
        <v>2</v>
      </c>
      <c r="Z28" s="6">
        <v>2.04</v>
      </c>
      <c r="AA28" s="6">
        <v>0</v>
      </c>
      <c r="AB28" s="6">
        <v>1.75</v>
      </c>
      <c r="AC28" s="6">
        <v>13.233000000000001</v>
      </c>
      <c r="AD28" s="6">
        <v>19.89</v>
      </c>
      <c r="AE28" s="2" t="b">
        <v>0</v>
      </c>
    </row>
    <row r="29" spans="1:31" x14ac:dyDescent="0.25">
      <c r="A29">
        <v>28</v>
      </c>
      <c r="B29">
        <v>6</v>
      </c>
      <c r="C29" t="s">
        <v>69</v>
      </c>
      <c r="D29" s="4">
        <v>2</v>
      </c>
      <c r="E29" s="4">
        <v>3.1419999999999999</v>
      </c>
      <c r="F29" s="4">
        <v>2.5</v>
      </c>
      <c r="G29" s="4">
        <v>2.2999999999999998</v>
      </c>
      <c r="H29" s="4">
        <v>4.5</v>
      </c>
      <c r="I29" s="4">
        <v>5.5</v>
      </c>
      <c r="J29" s="4">
        <v>2.375</v>
      </c>
      <c r="K29" s="4">
        <v>3.625</v>
      </c>
      <c r="L29" s="4">
        <v>3.75</v>
      </c>
      <c r="M29" s="6">
        <v>0.28000000000000003</v>
      </c>
      <c r="N29" s="6">
        <v>5.79</v>
      </c>
      <c r="O29" s="6">
        <v>0.89</v>
      </c>
      <c r="P29" s="4">
        <v>125</v>
      </c>
      <c r="Q29" s="4">
        <v>105</v>
      </c>
      <c r="R29" s="6">
        <v>2.0625</v>
      </c>
      <c r="S29" s="6">
        <v>2.125</v>
      </c>
      <c r="T29" s="6">
        <v>2.375</v>
      </c>
      <c r="U29" s="2" t="s">
        <v>70</v>
      </c>
      <c r="V29" s="6">
        <v>2.99</v>
      </c>
      <c r="W29" s="2" t="s">
        <v>71</v>
      </c>
      <c r="X29" s="6">
        <v>2.75</v>
      </c>
      <c r="Y29" s="6">
        <v>2.375</v>
      </c>
      <c r="Z29" s="6">
        <v>2.99</v>
      </c>
      <c r="AA29" s="6">
        <v>0</v>
      </c>
      <c r="AB29" s="6">
        <v>2</v>
      </c>
      <c r="AC29" s="6">
        <v>16.012</v>
      </c>
      <c r="AD29" s="6">
        <v>26.026</v>
      </c>
      <c r="AE29" s="2" t="b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49"/>
  <sheetViews>
    <sheetView topLeftCell="C1" workbookViewId="0">
      <pane ySplit="1" topLeftCell="A2" activePane="bottomLeft" state="frozen"/>
      <selection pane="bottomLeft" activeCell="L4" sqref="L4"/>
    </sheetView>
  </sheetViews>
  <sheetFormatPr defaultRowHeight="15" x14ac:dyDescent="0.25"/>
  <cols>
    <col min="1" max="1" width="18.42578125" style="2" bestFit="1" customWidth="1"/>
    <col min="2" max="2" width="12.140625" style="2" bestFit="1" customWidth="1"/>
    <col min="3" max="3" width="10.5703125" style="2" customWidth="1"/>
    <col min="4" max="11" width="9.140625" style="8"/>
    <col min="12" max="12" width="9.140625" style="10"/>
    <col min="13" max="20" width="9.140625" style="8"/>
    <col min="21" max="21" width="9.140625" style="2"/>
    <col min="22" max="25" width="9.140625" style="17"/>
    <col min="26" max="16384" width="9.140625" style="2"/>
  </cols>
  <sheetData>
    <row r="1" spans="1:25" s="1" customFormat="1" ht="45" x14ac:dyDescent="0.25">
      <c r="A1" s="1" t="s">
        <v>1</v>
      </c>
      <c r="B1" s="1" t="s">
        <v>2</v>
      </c>
      <c r="C1" s="1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  <c r="J1" s="7" t="s">
        <v>10</v>
      </c>
      <c r="K1" s="7" t="s">
        <v>11</v>
      </c>
      <c r="L1" s="9" t="s">
        <v>12</v>
      </c>
      <c r="M1" s="7" t="s">
        <v>13</v>
      </c>
      <c r="N1" s="7" t="s">
        <v>14</v>
      </c>
      <c r="O1" s="7" t="s">
        <v>15</v>
      </c>
      <c r="P1" s="7" t="s">
        <v>16</v>
      </c>
      <c r="Q1" s="7" t="s">
        <v>17</v>
      </c>
      <c r="R1" s="7" t="s">
        <v>18</v>
      </c>
      <c r="S1" s="7" t="s">
        <v>19</v>
      </c>
      <c r="T1" s="7" t="s">
        <v>20</v>
      </c>
      <c r="U1" s="1" t="s">
        <v>21</v>
      </c>
      <c r="V1" s="16" t="s">
        <v>82</v>
      </c>
      <c r="W1" s="16" t="s">
        <v>83</v>
      </c>
      <c r="X1" s="16" t="s">
        <v>85</v>
      </c>
      <c r="Y1" s="16" t="s">
        <v>84</v>
      </c>
    </row>
    <row r="2" spans="1:25" x14ac:dyDescent="0.25">
      <c r="A2" s="2" t="s">
        <v>22</v>
      </c>
      <c r="B2" s="2" t="s">
        <v>23</v>
      </c>
      <c r="C2" s="2" t="s">
        <v>0</v>
      </c>
      <c r="D2" s="8">
        <v>0.625</v>
      </c>
      <c r="E2" s="8">
        <v>0.625</v>
      </c>
      <c r="F2" s="8">
        <v>1.25</v>
      </c>
      <c r="G2" s="8">
        <v>0.11899999999999999</v>
      </c>
      <c r="H2" s="8">
        <v>0.307</v>
      </c>
      <c r="I2" s="8">
        <v>0.22600000000000001</v>
      </c>
      <c r="J2" s="8">
        <v>0.20200000000000001</v>
      </c>
      <c r="K2" s="8">
        <v>11</v>
      </c>
      <c r="L2" s="10">
        <f>D2*(2+2/3)</f>
        <v>1.6666666666666665</v>
      </c>
      <c r="M2" s="8">
        <v>1.5</v>
      </c>
      <c r="N2" s="8">
        <v>1.3125</v>
      </c>
      <c r="O2" s="8">
        <v>0.17699999999999999</v>
      </c>
      <c r="P2" s="8">
        <v>0.2</v>
      </c>
      <c r="Q2" s="8">
        <v>8.6999999999999994E-2</v>
      </c>
      <c r="R2" s="8">
        <v>120</v>
      </c>
      <c r="S2" s="8">
        <v>92</v>
      </c>
      <c r="T2" s="8">
        <v>1.375</v>
      </c>
      <c r="U2" s="2" t="b">
        <v>0</v>
      </c>
      <c r="V2" s="17">
        <f t="shared" ref="V2:V49" si="0">VLOOKUP($E2,BktBoltProps,2)</f>
        <v>1.25</v>
      </c>
      <c r="W2" s="17">
        <f t="shared" ref="W2:W49" si="1">VLOOKUP($E2,BktBoltProps,3)</f>
        <v>2</v>
      </c>
      <c r="X2" s="17">
        <f t="shared" ref="X2:X49" si="2">IF(VLOOKUP($E2,BktBoltProps,8)=99, $E2+1,VLOOKUP($E2,BktBoltProps,8))</f>
        <v>1.25</v>
      </c>
      <c r="Y2" s="17">
        <f t="shared" ref="Y2:Y49" si="3">VLOOKUP($E2,BktBoltProps,10)</f>
        <v>3</v>
      </c>
    </row>
    <row r="3" spans="1:25" x14ac:dyDescent="0.25">
      <c r="A3" s="2" t="s">
        <v>22</v>
      </c>
      <c r="B3" s="2" t="s">
        <v>23</v>
      </c>
      <c r="C3" s="2" t="s">
        <v>0</v>
      </c>
      <c r="D3" s="8">
        <v>0.75</v>
      </c>
      <c r="E3" s="8">
        <v>0.75</v>
      </c>
      <c r="F3" s="8">
        <v>1.4375</v>
      </c>
      <c r="G3" s="8">
        <v>0.193</v>
      </c>
      <c r="H3" s="8">
        <v>0.442</v>
      </c>
      <c r="I3" s="8">
        <v>0.33400000000000002</v>
      </c>
      <c r="J3" s="8">
        <v>0.30199999999999999</v>
      </c>
      <c r="K3" s="8">
        <v>10</v>
      </c>
      <c r="L3" s="10">
        <f t="shared" ref="L3:L49" si="4">D3*(2+2/3)</f>
        <v>2</v>
      </c>
      <c r="M3" s="8">
        <v>1.5</v>
      </c>
      <c r="N3" s="8">
        <v>1.468</v>
      </c>
      <c r="O3" s="8">
        <v>0.17699999999999999</v>
      </c>
      <c r="P3" s="8">
        <v>0.32100000000000001</v>
      </c>
      <c r="Q3" s="8">
        <v>0.125</v>
      </c>
      <c r="R3" s="8">
        <v>120</v>
      </c>
      <c r="S3" s="8">
        <v>92</v>
      </c>
      <c r="T3" s="8">
        <v>1.5</v>
      </c>
      <c r="U3" s="2" t="b">
        <v>0</v>
      </c>
      <c r="V3" s="17">
        <f t="shared" si="0"/>
        <v>1.5</v>
      </c>
      <c r="W3" s="17">
        <f t="shared" si="1"/>
        <v>3</v>
      </c>
      <c r="X3" s="17">
        <f t="shared" si="2"/>
        <v>1.375</v>
      </c>
      <c r="Y3" s="17">
        <f t="shared" si="3"/>
        <v>3</v>
      </c>
    </row>
    <row r="4" spans="1:25" x14ac:dyDescent="0.25">
      <c r="A4" s="2" t="s">
        <v>22</v>
      </c>
      <c r="B4" s="2" t="s">
        <v>23</v>
      </c>
      <c r="C4" s="2" t="s">
        <v>0</v>
      </c>
      <c r="D4" s="8">
        <v>1</v>
      </c>
      <c r="E4" s="8">
        <v>1</v>
      </c>
      <c r="F4" s="8">
        <v>1.875</v>
      </c>
      <c r="G4" s="8">
        <v>0.42499999999999999</v>
      </c>
      <c r="H4" s="8">
        <v>0.78500000000000003</v>
      </c>
      <c r="I4" s="8">
        <v>0.60599999999999998</v>
      </c>
      <c r="J4" s="8">
        <v>0.55100000000000005</v>
      </c>
      <c r="K4" s="8">
        <v>8</v>
      </c>
      <c r="L4" s="10">
        <f t="shared" si="4"/>
        <v>2.6666666666666665</v>
      </c>
      <c r="M4" s="8">
        <v>1.5</v>
      </c>
      <c r="N4" s="8">
        <v>2</v>
      </c>
      <c r="O4" s="8">
        <v>0.17699999999999999</v>
      </c>
      <c r="P4" s="8">
        <v>0.72</v>
      </c>
      <c r="Q4" s="8">
        <v>0.221</v>
      </c>
      <c r="R4" s="8">
        <v>120</v>
      </c>
      <c r="S4" s="8">
        <v>92</v>
      </c>
      <c r="T4" s="8">
        <v>1.75</v>
      </c>
      <c r="U4" s="2" t="b">
        <v>0</v>
      </c>
      <c r="V4" s="17">
        <f t="shared" si="0"/>
        <v>1.5</v>
      </c>
      <c r="W4" s="17">
        <f t="shared" si="1"/>
        <v>3</v>
      </c>
      <c r="X4" s="17">
        <f t="shared" si="2"/>
        <v>1.75</v>
      </c>
      <c r="Y4" s="17">
        <f t="shared" si="3"/>
        <v>3</v>
      </c>
    </row>
    <row r="5" spans="1:25" x14ac:dyDescent="0.25">
      <c r="A5" s="2" t="s">
        <v>24</v>
      </c>
      <c r="B5" s="2" t="s">
        <v>25</v>
      </c>
      <c r="C5" s="2" t="s">
        <v>0</v>
      </c>
      <c r="D5" s="8">
        <v>1.25</v>
      </c>
      <c r="E5" s="8">
        <v>1.25</v>
      </c>
      <c r="F5" s="8">
        <v>2.3125</v>
      </c>
      <c r="G5" s="8">
        <v>0.78600000000000003</v>
      </c>
      <c r="H5" s="8">
        <v>1.2270000000000001</v>
      </c>
      <c r="I5" s="8">
        <v>0.96899999999999997</v>
      </c>
      <c r="J5" s="8">
        <v>0.89</v>
      </c>
      <c r="K5" s="8">
        <v>7</v>
      </c>
      <c r="L5" s="10">
        <f t="shared" si="4"/>
        <v>3.333333333333333</v>
      </c>
      <c r="M5" s="8">
        <v>1.75</v>
      </c>
      <c r="N5" s="8">
        <v>2.5</v>
      </c>
      <c r="O5" s="8">
        <v>0.17699999999999999</v>
      </c>
      <c r="P5" s="8">
        <v>1.37</v>
      </c>
      <c r="Q5" s="8">
        <v>0.34399999999999997</v>
      </c>
      <c r="R5" s="8">
        <v>105</v>
      </c>
      <c r="S5" s="8">
        <v>81</v>
      </c>
      <c r="T5" s="8">
        <v>2</v>
      </c>
      <c r="U5" s="2" t="b">
        <v>0</v>
      </c>
      <c r="V5" s="17">
        <f t="shared" si="0"/>
        <v>1.75</v>
      </c>
      <c r="W5" s="17">
        <f t="shared" si="1"/>
        <v>3.5</v>
      </c>
      <c r="X5" s="17">
        <f t="shared" si="2"/>
        <v>2</v>
      </c>
      <c r="Y5" s="17">
        <f t="shared" si="3"/>
        <v>3</v>
      </c>
    </row>
    <row r="6" spans="1:25" x14ac:dyDescent="0.25">
      <c r="A6" s="2" t="s">
        <v>24</v>
      </c>
      <c r="B6" s="2" t="s">
        <v>25</v>
      </c>
      <c r="C6" s="2" t="s">
        <v>0</v>
      </c>
      <c r="D6" s="8">
        <v>1.5</v>
      </c>
      <c r="E6" s="8">
        <v>1.5</v>
      </c>
      <c r="F6" s="8">
        <v>2.75</v>
      </c>
      <c r="G6" s="8">
        <v>1.31</v>
      </c>
      <c r="H6" s="8">
        <v>1.7669999999999999</v>
      </c>
      <c r="I6" s="8">
        <v>1.41</v>
      </c>
      <c r="J6" s="8">
        <v>1.29</v>
      </c>
      <c r="K6" s="8">
        <v>6</v>
      </c>
      <c r="L6" s="10">
        <f t="shared" si="4"/>
        <v>4</v>
      </c>
      <c r="M6" s="8">
        <v>2</v>
      </c>
      <c r="N6" s="8">
        <v>3</v>
      </c>
      <c r="O6" s="8">
        <v>0.17699999999999999</v>
      </c>
      <c r="P6" s="8">
        <v>2.5499999999999998</v>
      </c>
      <c r="Q6" s="8">
        <v>0.501</v>
      </c>
      <c r="R6" s="8">
        <v>105</v>
      </c>
      <c r="S6" s="8">
        <v>81</v>
      </c>
      <c r="T6" s="8">
        <v>2.25</v>
      </c>
      <c r="U6" s="2" t="b">
        <v>0</v>
      </c>
      <c r="V6" s="17">
        <f t="shared" si="0"/>
        <v>2</v>
      </c>
      <c r="W6" s="17">
        <f t="shared" si="1"/>
        <v>4</v>
      </c>
      <c r="X6" s="17">
        <f t="shared" si="2"/>
        <v>2.25</v>
      </c>
      <c r="Y6" s="17">
        <f t="shared" si="3"/>
        <v>3</v>
      </c>
    </row>
    <row r="7" spans="1:25" x14ac:dyDescent="0.25">
      <c r="A7" s="2" t="s">
        <v>26</v>
      </c>
      <c r="B7" s="2" t="s">
        <v>27</v>
      </c>
      <c r="C7" s="2" t="s">
        <v>28</v>
      </c>
      <c r="D7" s="8">
        <v>0.625</v>
      </c>
      <c r="E7" s="8">
        <v>0.625</v>
      </c>
      <c r="F7" s="8">
        <v>1.25</v>
      </c>
      <c r="G7" s="8">
        <v>0.11899999999999999</v>
      </c>
      <c r="H7" s="8">
        <v>0.307</v>
      </c>
      <c r="I7" s="8">
        <v>0.22600000000000001</v>
      </c>
      <c r="J7" s="8">
        <v>0.20200000000000001</v>
      </c>
      <c r="K7" s="8">
        <v>11</v>
      </c>
      <c r="L7" s="10">
        <f t="shared" si="4"/>
        <v>1.6666666666666665</v>
      </c>
      <c r="M7" s="8">
        <v>1.5</v>
      </c>
      <c r="N7" s="8">
        <v>1.3125</v>
      </c>
      <c r="O7" s="8">
        <v>0.17699999999999999</v>
      </c>
      <c r="P7" s="8">
        <v>0.2</v>
      </c>
      <c r="Q7" s="8">
        <v>8.6999999999999994E-2</v>
      </c>
      <c r="R7" s="8">
        <v>125</v>
      </c>
      <c r="S7" s="8">
        <v>105</v>
      </c>
      <c r="T7" s="8">
        <v>1.375</v>
      </c>
      <c r="U7" s="2" t="b">
        <v>1</v>
      </c>
      <c r="V7" s="17">
        <f t="shared" si="0"/>
        <v>1.25</v>
      </c>
      <c r="W7" s="17">
        <f t="shared" si="1"/>
        <v>2</v>
      </c>
      <c r="X7" s="17">
        <f t="shared" si="2"/>
        <v>1.25</v>
      </c>
      <c r="Y7" s="17">
        <f t="shared" si="3"/>
        <v>3</v>
      </c>
    </row>
    <row r="8" spans="1:25" x14ac:dyDescent="0.25">
      <c r="A8" s="2" t="s">
        <v>26</v>
      </c>
      <c r="B8" s="2" t="s">
        <v>27</v>
      </c>
      <c r="C8" s="2" t="s">
        <v>28</v>
      </c>
      <c r="D8" s="8">
        <v>0.75</v>
      </c>
      <c r="E8" s="8">
        <v>0.75</v>
      </c>
      <c r="F8" s="8">
        <v>1.4375</v>
      </c>
      <c r="G8" s="8">
        <v>0.193</v>
      </c>
      <c r="H8" s="8">
        <v>0.442</v>
      </c>
      <c r="I8" s="8">
        <v>0.33400000000000002</v>
      </c>
      <c r="J8" s="8">
        <v>0.30199999999999999</v>
      </c>
      <c r="K8" s="8">
        <v>10</v>
      </c>
      <c r="L8" s="10">
        <f t="shared" si="4"/>
        <v>2</v>
      </c>
      <c r="M8" s="8">
        <v>1.5</v>
      </c>
      <c r="N8" s="8">
        <v>1.468</v>
      </c>
      <c r="O8" s="8">
        <v>0.17699999999999999</v>
      </c>
      <c r="P8" s="8">
        <v>0.32100000000000001</v>
      </c>
      <c r="Q8" s="8">
        <v>0.125</v>
      </c>
      <c r="R8" s="8">
        <v>125</v>
      </c>
      <c r="S8" s="8">
        <v>105</v>
      </c>
      <c r="T8" s="8">
        <v>1.5</v>
      </c>
      <c r="U8" s="2" t="b">
        <v>0</v>
      </c>
      <c r="V8" s="17">
        <f t="shared" si="0"/>
        <v>1.5</v>
      </c>
      <c r="W8" s="17">
        <f t="shared" si="1"/>
        <v>3</v>
      </c>
      <c r="X8" s="17">
        <f t="shared" si="2"/>
        <v>1.375</v>
      </c>
      <c r="Y8" s="17">
        <f t="shared" si="3"/>
        <v>3</v>
      </c>
    </row>
    <row r="9" spans="1:25" x14ac:dyDescent="0.25">
      <c r="A9" s="2" t="s">
        <v>26</v>
      </c>
      <c r="B9" s="2" t="s">
        <v>27</v>
      </c>
      <c r="C9" s="2" t="s">
        <v>28</v>
      </c>
      <c r="D9" s="8">
        <v>1</v>
      </c>
      <c r="E9" s="8">
        <v>1</v>
      </c>
      <c r="F9" s="8">
        <v>1.875</v>
      </c>
      <c r="G9" s="8">
        <v>0.42499999999999999</v>
      </c>
      <c r="H9" s="8">
        <v>0.78500000000000003</v>
      </c>
      <c r="I9" s="8">
        <v>0.60599999999999998</v>
      </c>
      <c r="J9" s="8">
        <v>0.55100000000000005</v>
      </c>
      <c r="K9" s="8">
        <v>8</v>
      </c>
      <c r="L9" s="10">
        <f t="shared" si="4"/>
        <v>2.6666666666666665</v>
      </c>
      <c r="M9" s="8">
        <v>1.5</v>
      </c>
      <c r="N9" s="8">
        <v>2</v>
      </c>
      <c r="O9" s="8">
        <v>0.17699999999999999</v>
      </c>
      <c r="P9" s="8">
        <v>0.72</v>
      </c>
      <c r="Q9" s="8">
        <v>0.221</v>
      </c>
      <c r="R9" s="8">
        <v>125</v>
      </c>
      <c r="S9" s="8">
        <v>105</v>
      </c>
      <c r="T9" s="8">
        <v>1.75</v>
      </c>
      <c r="U9" s="2" t="b">
        <v>0</v>
      </c>
      <c r="V9" s="17">
        <f t="shared" si="0"/>
        <v>1.5</v>
      </c>
      <c r="W9" s="17">
        <f t="shared" si="1"/>
        <v>3</v>
      </c>
      <c r="X9" s="17">
        <f t="shared" si="2"/>
        <v>1.75</v>
      </c>
      <c r="Y9" s="17">
        <f t="shared" si="3"/>
        <v>3</v>
      </c>
    </row>
    <row r="10" spans="1:25" x14ac:dyDescent="0.25">
      <c r="A10" s="2" t="s">
        <v>26</v>
      </c>
      <c r="B10" s="2" t="s">
        <v>27</v>
      </c>
      <c r="C10" s="2" t="s">
        <v>28</v>
      </c>
      <c r="D10" s="8">
        <v>1.25</v>
      </c>
      <c r="E10" s="8">
        <v>1.25</v>
      </c>
      <c r="F10" s="8">
        <v>2.3125</v>
      </c>
      <c r="G10" s="8">
        <v>0.78600000000000003</v>
      </c>
      <c r="H10" s="8">
        <v>1.2270000000000001</v>
      </c>
      <c r="I10" s="8">
        <v>0.96899999999999997</v>
      </c>
      <c r="J10" s="8">
        <v>0.89</v>
      </c>
      <c r="K10" s="8">
        <v>7</v>
      </c>
      <c r="L10" s="10">
        <f t="shared" si="4"/>
        <v>3.333333333333333</v>
      </c>
      <c r="M10" s="8">
        <v>1.75</v>
      </c>
      <c r="N10" s="8">
        <v>2.5</v>
      </c>
      <c r="O10" s="8">
        <v>0.17699999999999999</v>
      </c>
      <c r="P10" s="8">
        <v>1.37</v>
      </c>
      <c r="Q10" s="8">
        <v>0.34399999999999997</v>
      </c>
      <c r="R10" s="8">
        <v>125</v>
      </c>
      <c r="S10" s="8">
        <v>105</v>
      </c>
      <c r="T10" s="8">
        <v>2</v>
      </c>
      <c r="U10" s="2" t="b">
        <v>0</v>
      </c>
      <c r="V10" s="17">
        <f t="shared" si="0"/>
        <v>1.75</v>
      </c>
      <c r="W10" s="17">
        <f t="shared" si="1"/>
        <v>3.5</v>
      </c>
      <c r="X10" s="17">
        <f t="shared" si="2"/>
        <v>2</v>
      </c>
      <c r="Y10" s="17">
        <f t="shared" si="3"/>
        <v>3</v>
      </c>
    </row>
    <row r="11" spans="1:25" x14ac:dyDescent="0.25">
      <c r="A11" s="2" t="s">
        <v>26</v>
      </c>
      <c r="B11" s="2" t="s">
        <v>27</v>
      </c>
      <c r="C11" s="2" t="s">
        <v>28</v>
      </c>
      <c r="D11" s="8">
        <v>1.5</v>
      </c>
      <c r="E11" s="8">
        <v>1.5</v>
      </c>
      <c r="F11" s="8">
        <v>2.75</v>
      </c>
      <c r="G11" s="8">
        <v>1.31</v>
      </c>
      <c r="H11" s="8">
        <v>1.7669999999999999</v>
      </c>
      <c r="I11" s="8">
        <v>1.41</v>
      </c>
      <c r="J11" s="8">
        <v>1.29</v>
      </c>
      <c r="K11" s="8">
        <v>6</v>
      </c>
      <c r="L11" s="10">
        <f t="shared" si="4"/>
        <v>4</v>
      </c>
      <c r="M11" s="8">
        <v>2</v>
      </c>
      <c r="N11" s="8">
        <v>3</v>
      </c>
      <c r="O11" s="8">
        <v>0.17699999999999999</v>
      </c>
      <c r="P11" s="8">
        <v>2.5499999999999998</v>
      </c>
      <c r="Q11" s="8">
        <v>0.501</v>
      </c>
      <c r="R11" s="8">
        <v>125</v>
      </c>
      <c r="S11" s="8">
        <v>105</v>
      </c>
      <c r="T11" s="8">
        <v>2.25</v>
      </c>
      <c r="U11" s="2" t="b">
        <v>0</v>
      </c>
      <c r="V11" s="17">
        <f t="shared" si="0"/>
        <v>2</v>
      </c>
      <c r="W11" s="17">
        <f t="shared" si="1"/>
        <v>4</v>
      </c>
      <c r="X11" s="17">
        <f t="shared" si="2"/>
        <v>2.25</v>
      </c>
      <c r="Y11" s="17">
        <f t="shared" si="3"/>
        <v>3</v>
      </c>
    </row>
    <row r="12" spans="1:25" x14ac:dyDescent="0.25">
      <c r="A12" s="2" t="s">
        <v>26</v>
      </c>
      <c r="B12" s="2" t="s">
        <v>27</v>
      </c>
      <c r="C12" s="2" t="s">
        <v>28</v>
      </c>
      <c r="D12" s="8">
        <v>1.75</v>
      </c>
      <c r="E12" s="8">
        <v>1.75</v>
      </c>
      <c r="F12" s="8">
        <v>3.1875</v>
      </c>
      <c r="G12" s="8">
        <v>2.04</v>
      </c>
      <c r="H12" s="8">
        <v>2.4049999999999998</v>
      </c>
      <c r="I12" s="8">
        <v>1.9</v>
      </c>
      <c r="J12" s="8">
        <v>1.74</v>
      </c>
      <c r="K12" s="8">
        <v>5</v>
      </c>
      <c r="L12" s="10">
        <f t="shared" si="4"/>
        <v>4.6666666666666661</v>
      </c>
      <c r="M12" s="8">
        <v>2.5</v>
      </c>
      <c r="N12" s="8">
        <v>3.375</v>
      </c>
      <c r="O12" s="8">
        <v>0.28000000000000003</v>
      </c>
      <c r="P12" s="8">
        <v>3.99</v>
      </c>
      <c r="Q12" s="8">
        <v>0.68100000000000005</v>
      </c>
      <c r="R12" s="8">
        <v>125</v>
      </c>
      <c r="S12" s="8">
        <v>105</v>
      </c>
      <c r="T12" s="8">
        <v>2.5</v>
      </c>
      <c r="U12" s="2" t="b">
        <v>0</v>
      </c>
      <c r="V12" s="17">
        <f t="shared" si="0"/>
        <v>2.5</v>
      </c>
      <c r="W12" s="17">
        <f t="shared" si="1"/>
        <v>4.75</v>
      </c>
      <c r="X12" s="17">
        <f t="shared" si="2"/>
        <v>2.75</v>
      </c>
      <c r="Y12" s="17">
        <f t="shared" si="3"/>
        <v>4</v>
      </c>
    </row>
    <row r="13" spans="1:25" x14ac:dyDescent="0.25">
      <c r="A13" s="2" t="s">
        <v>26</v>
      </c>
      <c r="B13" s="2" t="s">
        <v>27</v>
      </c>
      <c r="C13" s="2" t="s">
        <v>28</v>
      </c>
      <c r="D13" s="8">
        <v>2</v>
      </c>
      <c r="E13" s="8">
        <v>2</v>
      </c>
      <c r="F13" s="8">
        <v>3.625</v>
      </c>
      <c r="G13" s="8">
        <v>2.99</v>
      </c>
      <c r="H13" s="8">
        <v>3.1419999999999999</v>
      </c>
      <c r="I13" s="8">
        <v>2.5</v>
      </c>
      <c r="J13" s="8">
        <v>2.2999999999999998</v>
      </c>
      <c r="K13" s="8">
        <v>4.5</v>
      </c>
      <c r="L13" s="10">
        <f t="shared" si="4"/>
        <v>5.333333333333333</v>
      </c>
      <c r="M13" s="8">
        <v>2.75</v>
      </c>
      <c r="N13" s="8">
        <v>3.75</v>
      </c>
      <c r="O13" s="8">
        <v>0.28000000000000003</v>
      </c>
      <c r="P13" s="8">
        <v>5.79</v>
      </c>
      <c r="Q13" s="8">
        <v>0.89</v>
      </c>
      <c r="R13" s="8">
        <v>125</v>
      </c>
      <c r="S13" s="8">
        <v>105</v>
      </c>
      <c r="T13" s="8">
        <v>2.75</v>
      </c>
      <c r="U13" s="2" t="b">
        <v>0</v>
      </c>
      <c r="V13" s="17">
        <f t="shared" si="0"/>
        <v>2.75</v>
      </c>
      <c r="W13" s="17">
        <f t="shared" si="1"/>
        <v>5.5</v>
      </c>
      <c r="X13" s="17">
        <f t="shared" si="2"/>
        <v>3</v>
      </c>
      <c r="Y13" s="17">
        <f t="shared" si="3"/>
        <v>4</v>
      </c>
    </row>
    <row r="14" spans="1:25" x14ac:dyDescent="0.25">
      <c r="A14" s="2" t="s">
        <v>26</v>
      </c>
      <c r="B14" s="2" t="s">
        <v>27</v>
      </c>
      <c r="C14" s="2" t="s">
        <v>28</v>
      </c>
      <c r="D14" s="8">
        <v>2.25</v>
      </c>
      <c r="E14" s="8">
        <v>2.25</v>
      </c>
      <c r="F14" s="8">
        <v>4.0625</v>
      </c>
      <c r="G14" s="8">
        <v>4.1900000000000004</v>
      </c>
      <c r="H14" s="8">
        <v>3.976</v>
      </c>
      <c r="I14" s="8">
        <v>3.25</v>
      </c>
      <c r="J14" s="8">
        <v>3.02</v>
      </c>
      <c r="K14" s="8">
        <v>4.5</v>
      </c>
      <c r="L14" s="10">
        <f t="shared" si="4"/>
        <v>6</v>
      </c>
      <c r="M14" s="8">
        <v>3</v>
      </c>
      <c r="N14" s="8">
        <v>4</v>
      </c>
      <c r="O14" s="8">
        <v>0.34</v>
      </c>
      <c r="P14" s="8">
        <v>8.16</v>
      </c>
      <c r="Q14" s="8">
        <v>1.1259999999999999</v>
      </c>
      <c r="R14" s="8">
        <v>125</v>
      </c>
      <c r="S14" s="8">
        <v>105</v>
      </c>
      <c r="T14" s="8">
        <v>3</v>
      </c>
      <c r="U14" s="2" t="b">
        <v>0</v>
      </c>
      <c r="V14" s="17">
        <f t="shared" si="0"/>
        <v>3</v>
      </c>
      <c r="W14" s="17">
        <f t="shared" si="1"/>
        <v>6</v>
      </c>
      <c r="X14" s="17">
        <f t="shared" si="2"/>
        <v>3.25</v>
      </c>
      <c r="Y14" s="17">
        <f t="shared" si="3"/>
        <v>4</v>
      </c>
    </row>
    <row r="15" spans="1:25" x14ac:dyDescent="0.25">
      <c r="A15" s="2" t="s">
        <v>26</v>
      </c>
      <c r="B15" s="2" t="s">
        <v>27</v>
      </c>
      <c r="C15" s="2" t="s">
        <v>28</v>
      </c>
      <c r="D15" s="8">
        <v>2.5</v>
      </c>
      <c r="E15" s="8">
        <v>2.5</v>
      </c>
      <c r="F15" s="8">
        <v>4.5</v>
      </c>
      <c r="G15" s="8">
        <v>5.64</v>
      </c>
      <c r="H15" s="8">
        <v>4.9089999999999998</v>
      </c>
      <c r="I15" s="8">
        <v>4</v>
      </c>
      <c r="J15" s="8">
        <v>3.72</v>
      </c>
      <c r="K15" s="8">
        <v>4</v>
      </c>
      <c r="L15" s="10">
        <f t="shared" si="4"/>
        <v>6.6666666666666661</v>
      </c>
      <c r="M15" s="8">
        <v>3.5</v>
      </c>
      <c r="N15" s="8">
        <v>4.5</v>
      </c>
      <c r="O15" s="8">
        <v>0.34</v>
      </c>
      <c r="P15" s="8">
        <v>11.05</v>
      </c>
      <c r="Q15" s="8">
        <v>1.391</v>
      </c>
      <c r="R15" s="8">
        <v>125</v>
      </c>
      <c r="S15" s="8">
        <v>105</v>
      </c>
      <c r="T15" s="8">
        <v>3.25</v>
      </c>
      <c r="U15" s="2" t="b">
        <v>0</v>
      </c>
      <c r="V15" s="17">
        <f t="shared" si="0"/>
        <v>3.5</v>
      </c>
      <c r="W15" s="17">
        <f t="shared" si="1"/>
        <v>6.75</v>
      </c>
      <c r="X15" s="17">
        <f t="shared" si="2"/>
        <v>3.5</v>
      </c>
      <c r="Y15" s="17">
        <f t="shared" si="3"/>
        <v>5</v>
      </c>
    </row>
    <row r="16" spans="1:25" x14ac:dyDescent="0.25">
      <c r="A16" s="2" t="s">
        <v>29</v>
      </c>
      <c r="B16" s="2" t="s">
        <v>30</v>
      </c>
      <c r="C16" s="2" t="s">
        <v>28</v>
      </c>
      <c r="D16" s="8">
        <v>2.75</v>
      </c>
      <c r="E16" s="8">
        <v>2.75</v>
      </c>
      <c r="F16" s="8">
        <v>4.9375</v>
      </c>
      <c r="G16" s="8">
        <v>7.38</v>
      </c>
      <c r="H16" s="8">
        <v>5.94</v>
      </c>
      <c r="I16" s="8">
        <v>4.93</v>
      </c>
      <c r="J16" s="8">
        <v>4.62</v>
      </c>
      <c r="K16" s="8">
        <v>4</v>
      </c>
      <c r="L16" s="10">
        <f t="shared" si="4"/>
        <v>7.333333333333333</v>
      </c>
      <c r="M16" s="8">
        <v>3.75</v>
      </c>
      <c r="N16" s="8">
        <v>5</v>
      </c>
      <c r="O16" s="8">
        <v>0.34</v>
      </c>
      <c r="P16" s="8">
        <v>14.58</v>
      </c>
      <c r="Q16" s="8">
        <v>1.6830000000000001</v>
      </c>
      <c r="R16" s="8">
        <v>115</v>
      </c>
      <c r="S16" s="8">
        <v>95</v>
      </c>
      <c r="T16" s="8">
        <v>3.5</v>
      </c>
      <c r="U16" s="2" t="b">
        <v>0</v>
      </c>
      <c r="V16" s="17">
        <f t="shared" si="0"/>
        <v>3.75</v>
      </c>
      <c r="W16" s="17">
        <f t="shared" si="1"/>
        <v>7.5</v>
      </c>
      <c r="X16" s="17">
        <f t="shared" si="2"/>
        <v>3.75</v>
      </c>
      <c r="Y16" s="17">
        <f t="shared" si="3"/>
        <v>5</v>
      </c>
    </row>
    <row r="17" spans="1:25" x14ac:dyDescent="0.25">
      <c r="A17" s="2" t="s">
        <v>29</v>
      </c>
      <c r="B17" s="2" t="s">
        <v>30</v>
      </c>
      <c r="C17" s="2" t="s">
        <v>28</v>
      </c>
      <c r="D17" s="8">
        <v>3</v>
      </c>
      <c r="E17" s="8">
        <v>3</v>
      </c>
      <c r="F17" s="8">
        <v>5.3125</v>
      </c>
      <c r="G17" s="8">
        <v>9.5</v>
      </c>
      <c r="H17" s="8">
        <v>7.069</v>
      </c>
      <c r="I17" s="8">
        <v>5.97</v>
      </c>
      <c r="J17" s="8">
        <v>5.62</v>
      </c>
      <c r="K17" s="8">
        <v>4</v>
      </c>
      <c r="L17" s="10">
        <f t="shared" si="4"/>
        <v>8</v>
      </c>
      <c r="M17" s="8">
        <v>4</v>
      </c>
      <c r="N17" s="8">
        <v>5.5</v>
      </c>
      <c r="O17" s="8">
        <v>0.34</v>
      </c>
      <c r="P17" s="8">
        <v>19</v>
      </c>
      <c r="Q17" s="8">
        <v>2.0019999999999998</v>
      </c>
      <c r="R17" s="8">
        <v>115</v>
      </c>
      <c r="S17" s="8">
        <v>95</v>
      </c>
      <c r="T17" s="8">
        <v>3.75</v>
      </c>
      <c r="U17" s="2" t="b">
        <v>0</v>
      </c>
      <c r="V17" s="17">
        <f t="shared" si="0"/>
        <v>4</v>
      </c>
      <c r="W17" s="17">
        <f t="shared" si="1"/>
        <v>8</v>
      </c>
      <c r="X17" s="17">
        <f t="shared" si="2"/>
        <v>4</v>
      </c>
      <c r="Y17" s="17">
        <f t="shared" si="3"/>
        <v>5</v>
      </c>
    </row>
    <row r="18" spans="1:25" x14ac:dyDescent="0.25">
      <c r="A18" s="2" t="s">
        <v>31</v>
      </c>
      <c r="B18" s="2" t="s">
        <v>32</v>
      </c>
      <c r="C18" s="2" t="s">
        <v>33</v>
      </c>
      <c r="D18" s="8">
        <v>1.25</v>
      </c>
      <c r="E18" s="8">
        <v>1.25</v>
      </c>
      <c r="F18" s="8">
        <v>2.3125</v>
      </c>
      <c r="G18" s="8">
        <v>0.78600000000000003</v>
      </c>
      <c r="H18" s="8">
        <v>1.2270000000000001</v>
      </c>
      <c r="I18" s="8">
        <v>0.96899999999999997</v>
      </c>
      <c r="J18" s="8">
        <v>0.89</v>
      </c>
      <c r="K18" s="8">
        <v>7</v>
      </c>
      <c r="L18" s="10">
        <f t="shared" si="4"/>
        <v>3.333333333333333</v>
      </c>
      <c r="M18" s="8">
        <v>1.75</v>
      </c>
      <c r="N18" s="8">
        <v>2.5</v>
      </c>
      <c r="O18" s="8">
        <v>0.17699999999999999</v>
      </c>
      <c r="P18" s="8">
        <v>1.37</v>
      </c>
      <c r="Q18" s="8">
        <v>0.34399999999999997</v>
      </c>
      <c r="R18" s="8">
        <v>105</v>
      </c>
      <c r="S18" s="8">
        <v>81</v>
      </c>
      <c r="T18" s="8">
        <v>2</v>
      </c>
      <c r="U18" s="2" t="b">
        <v>0</v>
      </c>
      <c r="V18" s="17">
        <f t="shared" si="0"/>
        <v>1.75</v>
      </c>
      <c r="W18" s="17">
        <f t="shared" si="1"/>
        <v>3.5</v>
      </c>
      <c r="X18" s="17">
        <f t="shared" si="2"/>
        <v>2</v>
      </c>
      <c r="Y18" s="17">
        <f t="shared" si="3"/>
        <v>3</v>
      </c>
    </row>
    <row r="19" spans="1:25" x14ac:dyDescent="0.25">
      <c r="A19" s="2" t="s">
        <v>31</v>
      </c>
      <c r="B19" s="2" t="s">
        <v>32</v>
      </c>
      <c r="C19" s="2" t="s">
        <v>33</v>
      </c>
      <c r="D19" s="8">
        <v>1.5</v>
      </c>
      <c r="E19" s="8">
        <v>1.5</v>
      </c>
      <c r="F19" s="8">
        <v>2.75</v>
      </c>
      <c r="G19" s="8">
        <v>1.31</v>
      </c>
      <c r="H19" s="8">
        <v>1.7669999999999999</v>
      </c>
      <c r="I19" s="8">
        <v>1.41</v>
      </c>
      <c r="J19" s="8">
        <v>1.29</v>
      </c>
      <c r="K19" s="8">
        <v>6</v>
      </c>
      <c r="L19" s="10">
        <f t="shared" si="4"/>
        <v>4</v>
      </c>
      <c r="M19" s="8">
        <v>2</v>
      </c>
      <c r="N19" s="8">
        <v>3</v>
      </c>
      <c r="O19" s="8">
        <v>0.17699999999999999</v>
      </c>
      <c r="P19" s="8">
        <v>2.5499999999999998</v>
      </c>
      <c r="Q19" s="8">
        <v>0.501</v>
      </c>
      <c r="R19" s="8">
        <v>105</v>
      </c>
      <c r="S19" s="8">
        <v>81</v>
      </c>
      <c r="T19" s="8">
        <v>2.25</v>
      </c>
      <c r="U19" s="2" t="b">
        <v>0</v>
      </c>
      <c r="V19" s="17">
        <f t="shared" si="0"/>
        <v>2</v>
      </c>
      <c r="W19" s="17">
        <f t="shared" si="1"/>
        <v>4</v>
      </c>
      <c r="X19" s="17">
        <f t="shared" si="2"/>
        <v>2.25</v>
      </c>
      <c r="Y19" s="17">
        <f t="shared" si="3"/>
        <v>3</v>
      </c>
    </row>
    <row r="20" spans="1:25" x14ac:dyDescent="0.25">
      <c r="A20" s="2" t="s">
        <v>34</v>
      </c>
      <c r="B20" s="2" t="s">
        <v>35</v>
      </c>
      <c r="C20" s="2" t="s">
        <v>33</v>
      </c>
      <c r="D20" s="8">
        <v>0.625</v>
      </c>
      <c r="E20" s="8">
        <v>0.625</v>
      </c>
      <c r="F20" s="8">
        <v>1.25</v>
      </c>
      <c r="G20" s="8">
        <v>0.11899999999999999</v>
      </c>
      <c r="H20" s="8">
        <v>0.307</v>
      </c>
      <c r="I20" s="8">
        <v>0.22600000000000001</v>
      </c>
      <c r="J20" s="8">
        <v>0.20200000000000001</v>
      </c>
      <c r="K20" s="8">
        <v>11</v>
      </c>
      <c r="L20" s="10">
        <f t="shared" si="4"/>
        <v>1.6666666666666665</v>
      </c>
      <c r="M20" s="8">
        <v>1.5</v>
      </c>
      <c r="N20" s="8">
        <v>1.3125</v>
      </c>
      <c r="O20" s="8">
        <v>0.17699999999999999</v>
      </c>
      <c r="P20" s="8">
        <v>0.2</v>
      </c>
      <c r="Q20" s="8">
        <v>8.6999999999999994E-2</v>
      </c>
      <c r="R20" s="8">
        <v>120</v>
      </c>
      <c r="S20" s="8">
        <v>92</v>
      </c>
      <c r="T20" s="8">
        <v>1.375</v>
      </c>
      <c r="U20" s="2" t="b">
        <v>0</v>
      </c>
      <c r="V20" s="17">
        <f t="shared" si="0"/>
        <v>1.25</v>
      </c>
      <c r="W20" s="17">
        <f t="shared" si="1"/>
        <v>2</v>
      </c>
      <c r="X20" s="17">
        <f t="shared" si="2"/>
        <v>1.25</v>
      </c>
      <c r="Y20" s="17">
        <f t="shared" si="3"/>
        <v>3</v>
      </c>
    </row>
    <row r="21" spans="1:25" x14ac:dyDescent="0.25">
      <c r="A21" s="2" t="s">
        <v>34</v>
      </c>
      <c r="B21" s="2" t="s">
        <v>35</v>
      </c>
      <c r="C21" s="2" t="s">
        <v>33</v>
      </c>
      <c r="D21" s="8">
        <v>0.75</v>
      </c>
      <c r="E21" s="8">
        <v>0.75</v>
      </c>
      <c r="F21" s="8">
        <v>1.4375</v>
      </c>
      <c r="G21" s="8">
        <v>0.193</v>
      </c>
      <c r="H21" s="8">
        <v>0.442</v>
      </c>
      <c r="I21" s="8">
        <v>0.33400000000000002</v>
      </c>
      <c r="J21" s="8">
        <v>0.30199999999999999</v>
      </c>
      <c r="K21" s="8">
        <v>10</v>
      </c>
      <c r="L21" s="10">
        <f t="shared" si="4"/>
        <v>2</v>
      </c>
      <c r="M21" s="8">
        <v>1.5</v>
      </c>
      <c r="N21" s="8">
        <v>1.468</v>
      </c>
      <c r="O21" s="8">
        <v>0.17699999999999999</v>
      </c>
      <c r="P21" s="8">
        <v>0.32100000000000001</v>
      </c>
      <c r="Q21" s="8">
        <v>0.125</v>
      </c>
      <c r="R21" s="8">
        <v>120</v>
      </c>
      <c r="S21" s="8">
        <v>92</v>
      </c>
      <c r="T21" s="8">
        <v>1.5</v>
      </c>
      <c r="U21" s="2" t="b">
        <v>0</v>
      </c>
      <c r="V21" s="17">
        <f t="shared" si="0"/>
        <v>1.5</v>
      </c>
      <c r="W21" s="17">
        <f t="shared" si="1"/>
        <v>3</v>
      </c>
      <c r="X21" s="17">
        <f t="shared" si="2"/>
        <v>1.375</v>
      </c>
      <c r="Y21" s="17">
        <f t="shared" si="3"/>
        <v>3</v>
      </c>
    </row>
    <row r="22" spans="1:25" x14ac:dyDescent="0.25">
      <c r="A22" s="2" t="s">
        <v>34</v>
      </c>
      <c r="B22" s="2" t="s">
        <v>35</v>
      </c>
      <c r="C22" s="2" t="s">
        <v>33</v>
      </c>
      <c r="D22" s="8">
        <v>1</v>
      </c>
      <c r="E22" s="8">
        <v>1</v>
      </c>
      <c r="F22" s="8">
        <v>1.875</v>
      </c>
      <c r="G22" s="8">
        <v>0.42499999999999999</v>
      </c>
      <c r="H22" s="8">
        <v>0.78500000000000003</v>
      </c>
      <c r="I22" s="8">
        <v>0.60599999999999998</v>
      </c>
      <c r="J22" s="8">
        <v>0.55100000000000005</v>
      </c>
      <c r="K22" s="8">
        <v>8</v>
      </c>
      <c r="L22" s="10">
        <f t="shared" si="4"/>
        <v>2.6666666666666665</v>
      </c>
      <c r="M22" s="8">
        <v>1.5</v>
      </c>
      <c r="N22" s="8">
        <v>2</v>
      </c>
      <c r="O22" s="8">
        <v>0.17699999999999999</v>
      </c>
      <c r="P22" s="8">
        <v>0.72</v>
      </c>
      <c r="Q22" s="8">
        <v>0.221</v>
      </c>
      <c r="R22" s="8">
        <v>120</v>
      </c>
      <c r="S22" s="8">
        <v>92</v>
      </c>
      <c r="T22" s="8">
        <v>1.75</v>
      </c>
      <c r="U22" s="2" t="b">
        <v>0</v>
      </c>
      <c r="V22" s="17">
        <f t="shared" si="0"/>
        <v>1.5</v>
      </c>
      <c r="W22" s="17">
        <f t="shared" si="1"/>
        <v>3</v>
      </c>
      <c r="X22" s="17">
        <f t="shared" si="2"/>
        <v>1.75</v>
      </c>
      <c r="Y22" s="17">
        <f t="shared" si="3"/>
        <v>3</v>
      </c>
    </row>
    <row r="23" spans="1:25" x14ac:dyDescent="0.25">
      <c r="A23" s="2" t="s">
        <v>36</v>
      </c>
      <c r="B23" s="2" t="s">
        <v>37</v>
      </c>
      <c r="C23" s="2" t="s">
        <v>38</v>
      </c>
      <c r="D23" s="8">
        <v>0.625</v>
      </c>
      <c r="E23" s="8">
        <v>0.625</v>
      </c>
      <c r="F23" s="8">
        <v>1.25</v>
      </c>
      <c r="G23" s="8">
        <v>0.11899999999999999</v>
      </c>
      <c r="H23" s="8">
        <v>0.307</v>
      </c>
      <c r="I23" s="8">
        <v>0.22600000000000001</v>
      </c>
      <c r="J23" s="8">
        <v>0.20200000000000001</v>
      </c>
      <c r="K23" s="8">
        <v>11</v>
      </c>
      <c r="L23" s="10">
        <f t="shared" si="4"/>
        <v>1.6666666666666665</v>
      </c>
      <c r="M23" s="8">
        <v>1.5</v>
      </c>
      <c r="N23" s="8">
        <v>1.3125</v>
      </c>
      <c r="O23" s="8">
        <v>0.17699999999999999</v>
      </c>
      <c r="P23" s="8">
        <v>0.2</v>
      </c>
      <c r="Q23" s="8">
        <v>8.6999999999999994E-2</v>
      </c>
      <c r="R23" s="8">
        <v>150</v>
      </c>
      <c r="S23" s="8">
        <v>120</v>
      </c>
      <c r="T23" s="8">
        <v>1.375</v>
      </c>
      <c r="U23" s="2" t="b">
        <v>1</v>
      </c>
      <c r="V23" s="17">
        <f t="shared" si="0"/>
        <v>1.25</v>
      </c>
      <c r="W23" s="17">
        <f t="shared" si="1"/>
        <v>2</v>
      </c>
      <c r="X23" s="17">
        <f t="shared" si="2"/>
        <v>1.25</v>
      </c>
      <c r="Y23" s="17">
        <f t="shared" si="3"/>
        <v>3</v>
      </c>
    </row>
    <row r="24" spans="1:25" x14ac:dyDescent="0.25">
      <c r="A24" s="2" t="s">
        <v>36</v>
      </c>
      <c r="B24" s="2" t="s">
        <v>37</v>
      </c>
      <c r="C24" s="2" t="s">
        <v>38</v>
      </c>
      <c r="D24" s="8">
        <v>0.75</v>
      </c>
      <c r="E24" s="8">
        <v>0.75</v>
      </c>
      <c r="F24" s="8">
        <v>1.4375</v>
      </c>
      <c r="G24" s="8">
        <v>0.193</v>
      </c>
      <c r="H24" s="8">
        <v>0.442</v>
      </c>
      <c r="I24" s="8">
        <v>0.33400000000000002</v>
      </c>
      <c r="J24" s="8">
        <v>0.30199999999999999</v>
      </c>
      <c r="K24" s="8">
        <v>10</v>
      </c>
      <c r="L24" s="10">
        <f t="shared" si="4"/>
        <v>2</v>
      </c>
      <c r="M24" s="8">
        <v>1.5</v>
      </c>
      <c r="N24" s="8">
        <v>1.468</v>
      </c>
      <c r="O24" s="8">
        <v>0.17699999999999999</v>
      </c>
      <c r="P24" s="8">
        <v>0.32100000000000001</v>
      </c>
      <c r="Q24" s="8">
        <v>0.125</v>
      </c>
      <c r="R24" s="8">
        <v>150</v>
      </c>
      <c r="S24" s="8">
        <v>120</v>
      </c>
      <c r="T24" s="8">
        <v>1.5</v>
      </c>
      <c r="U24" s="2" t="b">
        <v>1</v>
      </c>
      <c r="V24" s="17">
        <f t="shared" si="0"/>
        <v>1.5</v>
      </c>
      <c r="W24" s="17">
        <f t="shared" si="1"/>
        <v>3</v>
      </c>
      <c r="X24" s="17">
        <f t="shared" si="2"/>
        <v>1.375</v>
      </c>
      <c r="Y24" s="17">
        <f t="shared" si="3"/>
        <v>3</v>
      </c>
    </row>
    <row r="25" spans="1:25" x14ac:dyDescent="0.25">
      <c r="A25" s="2" t="s">
        <v>36</v>
      </c>
      <c r="B25" s="2" t="s">
        <v>37</v>
      </c>
      <c r="C25" s="2" t="s">
        <v>38</v>
      </c>
      <c r="D25" s="8">
        <v>1</v>
      </c>
      <c r="E25" s="8">
        <v>1</v>
      </c>
      <c r="F25" s="8">
        <v>1.875</v>
      </c>
      <c r="G25" s="8">
        <v>0.42499999999999999</v>
      </c>
      <c r="H25" s="8">
        <v>0.78500000000000003</v>
      </c>
      <c r="I25" s="8">
        <v>0.60599999999999998</v>
      </c>
      <c r="J25" s="8">
        <v>0.55100000000000005</v>
      </c>
      <c r="K25" s="8">
        <v>8</v>
      </c>
      <c r="L25" s="10">
        <f t="shared" si="4"/>
        <v>2.6666666666666665</v>
      </c>
      <c r="M25" s="8">
        <v>1.5</v>
      </c>
      <c r="N25" s="8">
        <v>2</v>
      </c>
      <c r="O25" s="8">
        <v>0.17699999999999999</v>
      </c>
      <c r="P25" s="8">
        <v>0.72</v>
      </c>
      <c r="Q25" s="8">
        <v>0.221</v>
      </c>
      <c r="R25" s="8">
        <v>150</v>
      </c>
      <c r="S25" s="8">
        <v>120</v>
      </c>
      <c r="T25" s="8">
        <v>1.75</v>
      </c>
      <c r="U25" s="2" t="b">
        <v>1</v>
      </c>
      <c r="V25" s="17">
        <f t="shared" si="0"/>
        <v>1.5</v>
      </c>
      <c r="W25" s="17">
        <f t="shared" si="1"/>
        <v>3</v>
      </c>
      <c r="X25" s="17">
        <f t="shared" si="2"/>
        <v>1.75</v>
      </c>
      <c r="Y25" s="17">
        <f t="shared" si="3"/>
        <v>3</v>
      </c>
    </row>
    <row r="26" spans="1:25" x14ac:dyDescent="0.25">
      <c r="A26" s="2" t="s">
        <v>36</v>
      </c>
      <c r="B26" s="2" t="s">
        <v>37</v>
      </c>
      <c r="C26" s="2" t="s">
        <v>38</v>
      </c>
      <c r="D26" s="8">
        <v>1.25</v>
      </c>
      <c r="E26" s="8">
        <v>1.25</v>
      </c>
      <c r="F26" s="8">
        <v>2.3125</v>
      </c>
      <c r="G26" s="8">
        <v>0.78600000000000003</v>
      </c>
      <c r="H26" s="8">
        <v>1.2270000000000001</v>
      </c>
      <c r="I26" s="8">
        <v>0.96899999999999997</v>
      </c>
      <c r="J26" s="8">
        <v>0.89</v>
      </c>
      <c r="K26" s="8">
        <v>7</v>
      </c>
      <c r="L26" s="10">
        <f t="shared" si="4"/>
        <v>3.333333333333333</v>
      </c>
      <c r="M26" s="8">
        <v>1.75</v>
      </c>
      <c r="N26" s="8">
        <v>2.5</v>
      </c>
      <c r="O26" s="8">
        <v>0.17699999999999999</v>
      </c>
      <c r="P26" s="8">
        <v>1.37</v>
      </c>
      <c r="Q26" s="8">
        <v>0.34399999999999997</v>
      </c>
      <c r="R26" s="8">
        <v>150</v>
      </c>
      <c r="S26" s="8">
        <v>120</v>
      </c>
      <c r="T26" s="8">
        <v>2</v>
      </c>
      <c r="U26" s="2" t="b">
        <v>1</v>
      </c>
      <c r="V26" s="17">
        <f t="shared" si="0"/>
        <v>1.75</v>
      </c>
      <c r="W26" s="17">
        <f t="shared" si="1"/>
        <v>3.5</v>
      </c>
      <c r="X26" s="17">
        <f t="shared" si="2"/>
        <v>2</v>
      </c>
      <c r="Y26" s="17">
        <f t="shared" si="3"/>
        <v>3</v>
      </c>
    </row>
    <row r="27" spans="1:25" x14ac:dyDescent="0.25">
      <c r="A27" s="2" t="s">
        <v>36</v>
      </c>
      <c r="B27" s="2" t="s">
        <v>37</v>
      </c>
      <c r="C27" s="2" t="s">
        <v>38</v>
      </c>
      <c r="D27" s="8">
        <v>1.5</v>
      </c>
      <c r="E27" s="8">
        <v>1.5</v>
      </c>
      <c r="F27" s="8">
        <v>2.75</v>
      </c>
      <c r="G27" s="8">
        <v>1.31</v>
      </c>
      <c r="H27" s="8">
        <v>1.7669999999999999</v>
      </c>
      <c r="I27" s="8">
        <v>1.41</v>
      </c>
      <c r="J27" s="8">
        <v>1.29</v>
      </c>
      <c r="K27" s="8">
        <v>6</v>
      </c>
      <c r="L27" s="10">
        <f t="shared" si="4"/>
        <v>4</v>
      </c>
      <c r="M27" s="8">
        <v>2</v>
      </c>
      <c r="N27" s="8">
        <v>3</v>
      </c>
      <c r="O27" s="8">
        <v>0.17699999999999999</v>
      </c>
      <c r="P27" s="8">
        <v>2.5499999999999998</v>
      </c>
      <c r="Q27" s="8">
        <v>0.501</v>
      </c>
      <c r="R27" s="8">
        <v>150</v>
      </c>
      <c r="S27" s="8">
        <v>120</v>
      </c>
      <c r="T27" s="8">
        <v>2.25</v>
      </c>
      <c r="U27" s="2" t="b">
        <v>1</v>
      </c>
      <c r="V27" s="17">
        <f t="shared" si="0"/>
        <v>2</v>
      </c>
      <c r="W27" s="17">
        <f t="shared" si="1"/>
        <v>4</v>
      </c>
      <c r="X27" s="17">
        <f t="shared" si="2"/>
        <v>2.25</v>
      </c>
      <c r="Y27" s="17">
        <f t="shared" si="3"/>
        <v>3</v>
      </c>
    </row>
    <row r="28" spans="1:25" x14ac:dyDescent="0.25">
      <c r="A28" s="2" t="s">
        <v>36</v>
      </c>
      <c r="B28" s="2" t="s">
        <v>37</v>
      </c>
      <c r="C28" s="2" t="s">
        <v>38</v>
      </c>
      <c r="D28" s="8">
        <v>1.75</v>
      </c>
      <c r="E28" s="8">
        <v>1.75</v>
      </c>
      <c r="F28" s="8">
        <v>3.1875</v>
      </c>
      <c r="G28" s="8">
        <v>2.04</v>
      </c>
      <c r="H28" s="8">
        <v>2.4049999999999998</v>
      </c>
      <c r="I28" s="8">
        <v>1.9</v>
      </c>
      <c r="J28" s="8">
        <v>1.74</v>
      </c>
      <c r="K28" s="8">
        <v>5</v>
      </c>
      <c r="L28" s="10">
        <f t="shared" si="4"/>
        <v>4.6666666666666661</v>
      </c>
      <c r="M28" s="8">
        <v>2.5</v>
      </c>
      <c r="N28" s="8">
        <v>3.375</v>
      </c>
      <c r="O28" s="8">
        <v>0.28000000000000003</v>
      </c>
      <c r="P28" s="8">
        <v>3.99</v>
      </c>
      <c r="Q28" s="8">
        <v>0.68100000000000005</v>
      </c>
      <c r="R28" s="8">
        <v>150</v>
      </c>
      <c r="S28" s="8">
        <v>120</v>
      </c>
      <c r="T28" s="8">
        <v>2.5</v>
      </c>
      <c r="U28" s="2" t="b">
        <v>0</v>
      </c>
      <c r="V28" s="17">
        <f t="shared" si="0"/>
        <v>2.5</v>
      </c>
      <c r="W28" s="17">
        <f t="shared" si="1"/>
        <v>4.75</v>
      </c>
      <c r="X28" s="17">
        <f t="shared" si="2"/>
        <v>2.75</v>
      </c>
      <c r="Y28" s="17">
        <f t="shared" si="3"/>
        <v>4</v>
      </c>
    </row>
    <row r="29" spans="1:25" x14ac:dyDescent="0.25">
      <c r="A29" s="2" t="s">
        <v>36</v>
      </c>
      <c r="B29" s="2" t="s">
        <v>37</v>
      </c>
      <c r="C29" s="2" t="s">
        <v>38</v>
      </c>
      <c r="D29" s="8">
        <v>2</v>
      </c>
      <c r="E29" s="8">
        <v>2</v>
      </c>
      <c r="F29" s="8">
        <v>3.625</v>
      </c>
      <c r="G29" s="8">
        <v>2.99</v>
      </c>
      <c r="H29" s="8">
        <v>3.1419999999999999</v>
      </c>
      <c r="I29" s="8">
        <v>2.5</v>
      </c>
      <c r="J29" s="8">
        <v>2.2999999999999998</v>
      </c>
      <c r="K29" s="8">
        <v>4.5</v>
      </c>
      <c r="L29" s="10">
        <f t="shared" si="4"/>
        <v>5.333333333333333</v>
      </c>
      <c r="M29" s="8">
        <v>2.75</v>
      </c>
      <c r="N29" s="8">
        <v>3.75</v>
      </c>
      <c r="O29" s="8">
        <v>0.28000000000000003</v>
      </c>
      <c r="P29" s="8">
        <v>5.79</v>
      </c>
      <c r="Q29" s="8">
        <v>0.89</v>
      </c>
      <c r="R29" s="8">
        <v>150</v>
      </c>
      <c r="S29" s="8">
        <v>120</v>
      </c>
      <c r="T29" s="8">
        <v>2.75</v>
      </c>
      <c r="U29" s="2" t="b">
        <v>0</v>
      </c>
      <c r="V29" s="17">
        <f t="shared" si="0"/>
        <v>2.75</v>
      </c>
      <c r="W29" s="17">
        <f t="shared" si="1"/>
        <v>5.5</v>
      </c>
      <c r="X29" s="17">
        <f t="shared" si="2"/>
        <v>3</v>
      </c>
      <c r="Y29" s="17">
        <f t="shared" si="3"/>
        <v>4</v>
      </c>
    </row>
    <row r="30" spans="1:25" x14ac:dyDescent="0.25">
      <c r="A30" s="2" t="s">
        <v>36</v>
      </c>
      <c r="B30" s="2" t="s">
        <v>37</v>
      </c>
      <c r="C30" s="2" t="s">
        <v>38</v>
      </c>
      <c r="D30" s="8">
        <v>2.25</v>
      </c>
      <c r="E30" s="8">
        <v>2.25</v>
      </c>
      <c r="F30" s="8">
        <v>4.0625</v>
      </c>
      <c r="G30" s="8">
        <v>4.1900000000000004</v>
      </c>
      <c r="H30" s="8">
        <v>3.976</v>
      </c>
      <c r="I30" s="8">
        <v>3.25</v>
      </c>
      <c r="J30" s="8">
        <v>3.02</v>
      </c>
      <c r="K30" s="8">
        <v>4.5</v>
      </c>
      <c r="L30" s="10">
        <f t="shared" si="4"/>
        <v>6</v>
      </c>
      <c r="M30" s="8">
        <v>3</v>
      </c>
      <c r="N30" s="8">
        <v>4</v>
      </c>
      <c r="O30" s="8">
        <v>0.34</v>
      </c>
      <c r="P30" s="8">
        <v>8.16</v>
      </c>
      <c r="Q30" s="8">
        <v>1.1259999999999999</v>
      </c>
      <c r="R30" s="8">
        <v>150</v>
      </c>
      <c r="S30" s="8">
        <v>120</v>
      </c>
      <c r="T30" s="8">
        <v>3</v>
      </c>
      <c r="U30" s="2" t="b">
        <v>0</v>
      </c>
      <c r="V30" s="17">
        <f t="shared" si="0"/>
        <v>3</v>
      </c>
      <c r="W30" s="17">
        <f t="shared" si="1"/>
        <v>6</v>
      </c>
      <c r="X30" s="17">
        <f t="shared" si="2"/>
        <v>3.25</v>
      </c>
      <c r="Y30" s="17">
        <f t="shared" si="3"/>
        <v>4</v>
      </c>
    </row>
    <row r="31" spans="1:25" x14ac:dyDescent="0.25">
      <c r="A31" s="2" t="s">
        <v>36</v>
      </c>
      <c r="B31" s="2" t="s">
        <v>37</v>
      </c>
      <c r="C31" s="2" t="s">
        <v>38</v>
      </c>
      <c r="D31" s="8">
        <v>2.5</v>
      </c>
      <c r="E31" s="8">
        <v>2.5</v>
      </c>
      <c r="F31" s="8">
        <v>4.5</v>
      </c>
      <c r="G31" s="8">
        <v>5.64</v>
      </c>
      <c r="H31" s="8">
        <v>4.9089999999999998</v>
      </c>
      <c r="I31" s="8">
        <v>4</v>
      </c>
      <c r="J31" s="8">
        <v>3.72</v>
      </c>
      <c r="K31" s="8">
        <v>4</v>
      </c>
      <c r="L31" s="10">
        <f t="shared" si="4"/>
        <v>6.6666666666666661</v>
      </c>
      <c r="M31" s="8">
        <v>3.5</v>
      </c>
      <c r="N31" s="8">
        <v>4.5</v>
      </c>
      <c r="O31" s="8">
        <v>0.34</v>
      </c>
      <c r="P31" s="8">
        <v>11.05</v>
      </c>
      <c r="Q31" s="8">
        <v>1.391</v>
      </c>
      <c r="R31" s="8">
        <v>150</v>
      </c>
      <c r="S31" s="8">
        <v>120</v>
      </c>
      <c r="T31" s="8">
        <v>3.25</v>
      </c>
      <c r="U31" s="2" t="b">
        <v>0</v>
      </c>
      <c r="V31" s="17">
        <f t="shared" si="0"/>
        <v>3.5</v>
      </c>
      <c r="W31" s="17">
        <f t="shared" si="1"/>
        <v>6.75</v>
      </c>
      <c r="X31" s="17">
        <f t="shared" si="2"/>
        <v>3.5</v>
      </c>
      <c r="Y31" s="17">
        <f t="shared" si="3"/>
        <v>5</v>
      </c>
    </row>
    <row r="32" spans="1:25" x14ac:dyDescent="0.25">
      <c r="A32" s="2" t="s">
        <v>39</v>
      </c>
      <c r="B32" s="2" t="s">
        <v>40</v>
      </c>
      <c r="C32" s="2" t="s">
        <v>38</v>
      </c>
      <c r="D32" s="8">
        <v>2.75</v>
      </c>
      <c r="E32" s="8">
        <v>2.75</v>
      </c>
      <c r="F32" s="8">
        <v>4.9375</v>
      </c>
      <c r="G32" s="8">
        <v>7.38</v>
      </c>
      <c r="H32" s="8">
        <v>5.94</v>
      </c>
      <c r="I32" s="8">
        <v>4.93</v>
      </c>
      <c r="J32" s="8">
        <v>4.62</v>
      </c>
      <c r="K32" s="8">
        <v>4</v>
      </c>
      <c r="L32" s="10">
        <f t="shared" si="4"/>
        <v>7.333333333333333</v>
      </c>
      <c r="M32" s="8">
        <v>3.75</v>
      </c>
      <c r="N32" s="8">
        <v>5</v>
      </c>
      <c r="O32" s="8">
        <v>0.34</v>
      </c>
      <c r="P32" s="8">
        <v>14.58</v>
      </c>
      <c r="Q32" s="8">
        <v>1.6830000000000001</v>
      </c>
      <c r="R32" s="8">
        <v>140</v>
      </c>
      <c r="S32" s="8">
        <v>105</v>
      </c>
      <c r="T32" s="8">
        <v>3.5</v>
      </c>
      <c r="U32" s="2" t="b">
        <v>0</v>
      </c>
      <c r="V32" s="17">
        <f t="shared" si="0"/>
        <v>3.75</v>
      </c>
      <c r="W32" s="17">
        <f t="shared" si="1"/>
        <v>7.5</v>
      </c>
      <c r="X32" s="17">
        <f t="shared" si="2"/>
        <v>3.75</v>
      </c>
      <c r="Y32" s="17">
        <f t="shared" si="3"/>
        <v>5</v>
      </c>
    </row>
    <row r="33" spans="1:25" x14ac:dyDescent="0.25">
      <c r="A33" s="2" t="s">
        <v>39</v>
      </c>
      <c r="B33" s="2" t="s">
        <v>40</v>
      </c>
      <c r="C33" s="2" t="s">
        <v>38</v>
      </c>
      <c r="D33" s="8">
        <v>3</v>
      </c>
      <c r="E33" s="8">
        <v>3</v>
      </c>
      <c r="F33" s="8">
        <v>5.3125</v>
      </c>
      <c r="G33" s="8">
        <v>9.5</v>
      </c>
      <c r="H33" s="8">
        <v>7.069</v>
      </c>
      <c r="I33" s="8">
        <v>5.97</v>
      </c>
      <c r="J33" s="8">
        <v>5.62</v>
      </c>
      <c r="K33" s="8">
        <v>4</v>
      </c>
      <c r="L33" s="10">
        <f t="shared" si="4"/>
        <v>8</v>
      </c>
      <c r="M33" s="8">
        <v>4</v>
      </c>
      <c r="N33" s="8">
        <v>5.5</v>
      </c>
      <c r="O33" s="8">
        <v>0.34</v>
      </c>
      <c r="P33" s="8">
        <v>19</v>
      </c>
      <c r="Q33" s="8">
        <v>2.0019999999999998</v>
      </c>
      <c r="R33" s="8">
        <v>140</v>
      </c>
      <c r="S33" s="8">
        <v>105</v>
      </c>
      <c r="T33" s="8">
        <v>3.75</v>
      </c>
      <c r="U33" s="2" t="b">
        <v>0</v>
      </c>
      <c r="V33" s="17">
        <f t="shared" si="0"/>
        <v>4</v>
      </c>
      <c r="W33" s="17">
        <f t="shared" si="1"/>
        <v>8</v>
      </c>
      <c r="X33" s="17">
        <f t="shared" si="2"/>
        <v>4</v>
      </c>
      <c r="Y33" s="17">
        <f t="shared" si="3"/>
        <v>5</v>
      </c>
    </row>
    <row r="34" spans="1:25" x14ac:dyDescent="0.25">
      <c r="A34" s="2" t="s">
        <v>41</v>
      </c>
      <c r="B34" s="2" t="s">
        <v>41</v>
      </c>
      <c r="C34" s="2" t="s">
        <v>42</v>
      </c>
      <c r="D34" s="8">
        <v>0.625</v>
      </c>
      <c r="E34" s="8">
        <v>0.625</v>
      </c>
      <c r="F34" s="8">
        <v>1.25</v>
      </c>
      <c r="G34" s="8">
        <v>0.11899999999999999</v>
      </c>
      <c r="H34" s="8">
        <v>0.307</v>
      </c>
      <c r="I34" s="8">
        <v>0.22600000000000001</v>
      </c>
      <c r="J34" s="8">
        <v>0.20200000000000001</v>
      </c>
      <c r="K34" s="8">
        <v>11</v>
      </c>
      <c r="L34" s="10">
        <f t="shared" si="4"/>
        <v>1.6666666666666665</v>
      </c>
      <c r="M34" s="8">
        <v>1.5</v>
      </c>
      <c r="N34" s="8">
        <v>1.3125</v>
      </c>
      <c r="O34" s="8">
        <v>0.17699999999999999</v>
      </c>
      <c r="P34" s="8">
        <v>0.2</v>
      </c>
      <c r="Q34" s="8">
        <v>8.6999999999999994E-2</v>
      </c>
      <c r="R34" s="8">
        <v>150</v>
      </c>
      <c r="S34" s="8">
        <v>120</v>
      </c>
      <c r="T34" s="8">
        <v>1.375</v>
      </c>
      <c r="U34" s="2" t="b">
        <v>0</v>
      </c>
      <c r="V34" s="17">
        <f t="shared" si="0"/>
        <v>1.25</v>
      </c>
      <c r="W34" s="17">
        <f t="shared" si="1"/>
        <v>2</v>
      </c>
      <c r="X34" s="17">
        <f t="shared" si="2"/>
        <v>1.25</v>
      </c>
      <c r="Y34" s="17">
        <f t="shared" si="3"/>
        <v>3</v>
      </c>
    </row>
    <row r="35" spans="1:25" x14ac:dyDescent="0.25">
      <c r="A35" s="2" t="s">
        <v>41</v>
      </c>
      <c r="B35" s="2" t="s">
        <v>41</v>
      </c>
      <c r="C35" s="2" t="s">
        <v>42</v>
      </c>
      <c r="D35" s="8">
        <v>0.75</v>
      </c>
      <c r="E35" s="8">
        <v>0.75</v>
      </c>
      <c r="F35" s="8">
        <v>1.4375</v>
      </c>
      <c r="G35" s="8">
        <v>0.193</v>
      </c>
      <c r="H35" s="8">
        <v>0.442</v>
      </c>
      <c r="I35" s="8">
        <v>0.33400000000000002</v>
      </c>
      <c r="J35" s="8">
        <v>0.30199999999999999</v>
      </c>
      <c r="K35" s="8">
        <v>10</v>
      </c>
      <c r="L35" s="10">
        <f t="shared" si="4"/>
        <v>2</v>
      </c>
      <c r="M35" s="8">
        <v>1.5</v>
      </c>
      <c r="N35" s="8">
        <v>1.468</v>
      </c>
      <c r="O35" s="8">
        <v>0.17699999999999999</v>
      </c>
      <c r="P35" s="8">
        <v>0.32100000000000001</v>
      </c>
      <c r="Q35" s="8">
        <v>0.125</v>
      </c>
      <c r="R35" s="8">
        <v>150</v>
      </c>
      <c r="S35" s="8">
        <v>120</v>
      </c>
      <c r="T35" s="8">
        <v>1.5</v>
      </c>
      <c r="U35" s="2" t="b">
        <v>0</v>
      </c>
      <c r="V35" s="17">
        <f t="shared" si="0"/>
        <v>1.5</v>
      </c>
      <c r="W35" s="17">
        <f t="shared" si="1"/>
        <v>3</v>
      </c>
      <c r="X35" s="17">
        <f t="shared" si="2"/>
        <v>1.375</v>
      </c>
      <c r="Y35" s="17">
        <f t="shared" si="3"/>
        <v>3</v>
      </c>
    </row>
    <row r="36" spans="1:25" x14ac:dyDescent="0.25">
      <c r="A36" s="2" t="s">
        <v>41</v>
      </c>
      <c r="B36" s="2" t="s">
        <v>41</v>
      </c>
      <c r="C36" s="2" t="s">
        <v>42</v>
      </c>
      <c r="D36" s="8">
        <v>1</v>
      </c>
      <c r="E36" s="8">
        <v>1</v>
      </c>
      <c r="F36" s="8">
        <v>1.875</v>
      </c>
      <c r="G36" s="8">
        <v>0.42499999999999999</v>
      </c>
      <c r="H36" s="8">
        <v>0.78500000000000003</v>
      </c>
      <c r="I36" s="8">
        <v>0.60599999999999998</v>
      </c>
      <c r="J36" s="8">
        <v>0.55100000000000005</v>
      </c>
      <c r="K36" s="8">
        <v>8</v>
      </c>
      <c r="L36" s="10">
        <f t="shared" si="4"/>
        <v>2.6666666666666665</v>
      </c>
      <c r="M36" s="8">
        <v>1.5</v>
      </c>
      <c r="N36" s="8">
        <v>2</v>
      </c>
      <c r="O36" s="8">
        <v>0.17699999999999999</v>
      </c>
      <c r="P36" s="8">
        <v>0.72</v>
      </c>
      <c r="Q36" s="8">
        <v>0.221</v>
      </c>
      <c r="R36" s="8">
        <v>150</v>
      </c>
      <c r="S36" s="8">
        <v>120</v>
      </c>
      <c r="T36" s="8">
        <v>1.75</v>
      </c>
      <c r="U36" s="2" t="b">
        <v>0</v>
      </c>
      <c r="V36" s="17">
        <f t="shared" si="0"/>
        <v>1.5</v>
      </c>
      <c r="W36" s="17">
        <f t="shared" si="1"/>
        <v>3</v>
      </c>
      <c r="X36" s="17">
        <f t="shared" si="2"/>
        <v>1.75</v>
      </c>
      <c r="Y36" s="17">
        <f t="shared" si="3"/>
        <v>3</v>
      </c>
    </row>
    <row r="37" spans="1:25" x14ac:dyDescent="0.25">
      <c r="A37" s="2" t="s">
        <v>41</v>
      </c>
      <c r="B37" s="2" t="s">
        <v>41</v>
      </c>
      <c r="C37" s="2" t="s">
        <v>42</v>
      </c>
      <c r="D37" s="8">
        <v>1.25</v>
      </c>
      <c r="E37" s="8">
        <v>1.25</v>
      </c>
      <c r="F37" s="8">
        <v>2.3125</v>
      </c>
      <c r="G37" s="8">
        <v>0.78600000000000003</v>
      </c>
      <c r="H37" s="8">
        <v>1.2270000000000001</v>
      </c>
      <c r="I37" s="8">
        <v>0.96899999999999997</v>
      </c>
      <c r="J37" s="8">
        <v>0.89</v>
      </c>
      <c r="K37" s="8">
        <v>7</v>
      </c>
      <c r="L37" s="10">
        <f t="shared" si="4"/>
        <v>3.333333333333333</v>
      </c>
      <c r="M37" s="8">
        <v>1.75</v>
      </c>
      <c r="N37" s="8">
        <v>2.5</v>
      </c>
      <c r="O37" s="8">
        <v>0.17699999999999999</v>
      </c>
      <c r="P37" s="8">
        <v>1.37</v>
      </c>
      <c r="Q37" s="8">
        <v>0.34399999999999997</v>
      </c>
      <c r="R37" s="8">
        <v>150</v>
      </c>
      <c r="S37" s="8">
        <v>120</v>
      </c>
      <c r="T37" s="8">
        <v>2</v>
      </c>
      <c r="U37" s="2" t="b">
        <v>0</v>
      </c>
      <c r="V37" s="17">
        <f t="shared" si="0"/>
        <v>1.75</v>
      </c>
      <c r="W37" s="17">
        <f t="shared" si="1"/>
        <v>3.5</v>
      </c>
      <c r="X37" s="17">
        <f t="shared" si="2"/>
        <v>2</v>
      </c>
      <c r="Y37" s="17">
        <f t="shared" si="3"/>
        <v>3</v>
      </c>
    </row>
    <row r="38" spans="1:25" x14ac:dyDescent="0.25">
      <c r="A38" s="2" t="s">
        <v>41</v>
      </c>
      <c r="B38" s="2" t="s">
        <v>41</v>
      </c>
      <c r="C38" s="2" t="s">
        <v>42</v>
      </c>
      <c r="D38" s="8">
        <v>1.5</v>
      </c>
      <c r="E38" s="8">
        <v>1.5</v>
      </c>
      <c r="F38" s="8">
        <v>2.75</v>
      </c>
      <c r="G38" s="8">
        <v>1.31</v>
      </c>
      <c r="H38" s="8">
        <v>1.7669999999999999</v>
      </c>
      <c r="I38" s="8">
        <v>1.41</v>
      </c>
      <c r="J38" s="8">
        <v>1.29</v>
      </c>
      <c r="K38" s="8">
        <v>6</v>
      </c>
      <c r="L38" s="10">
        <f t="shared" si="4"/>
        <v>4</v>
      </c>
      <c r="M38" s="8">
        <v>2</v>
      </c>
      <c r="N38" s="8">
        <v>3</v>
      </c>
      <c r="O38" s="8">
        <v>0.17699999999999999</v>
      </c>
      <c r="P38" s="8">
        <v>2.5499999999999998</v>
      </c>
      <c r="Q38" s="8">
        <v>0.501</v>
      </c>
      <c r="R38" s="8">
        <v>150</v>
      </c>
      <c r="S38" s="8">
        <v>120</v>
      </c>
      <c r="T38" s="8">
        <v>2.25</v>
      </c>
      <c r="U38" s="2" t="b">
        <v>0</v>
      </c>
      <c r="V38" s="17">
        <f t="shared" si="0"/>
        <v>2</v>
      </c>
      <c r="W38" s="17">
        <f t="shared" si="1"/>
        <v>4</v>
      </c>
      <c r="X38" s="17">
        <f t="shared" si="2"/>
        <v>2.25</v>
      </c>
      <c r="Y38" s="17">
        <f t="shared" si="3"/>
        <v>3</v>
      </c>
    </row>
    <row r="39" spans="1:25" x14ac:dyDescent="0.25">
      <c r="A39" s="2" t="s">
        <v>43</v>
      </c>
      <c r="B39" s="2" t="s">
        <v>43</v>
      </c>
      <c r="C39" s="2" t="s">
        <v>44</v>
      </c>
      <c r="D39" s="8">
        <v>0.625</v>
      </c>
      <c r="E39" s="8">
        <v>0.625</v>
      </c>
      <c r="F39" s="8">
        <v>1.25</v>
      </c>
      <c r="G39" s="8">
        <v>0.11899999999999999</v>
      </c>
      <c r="H39" s="8">
        <v>0.307</v>
      </c>
      <c r="I39" s="8">
        <v>0.22600000000000001</v>
      </c>
      <c r="J39" s="8">
        <v>0.20200000000000001</v>
      </c>
      <c r="K39" s="8">
        <v>11</v>
      </c>
      <c r="L39" s="10">
        <f t="shared" si="4"/>
        <v>1.6666666666666665</v>
      </c>
      <c r="M39" s="8">
        <v>1.5</v>
      </c>
      <c r="N39" s="8">
        <v>1.3125</v>
      </c>
      <c r="O39" s="8">
        <v>0.17699999999999999</v>
      </c>
      <c r="P39" s="8">
        <v>0.2</v>
      </c>
      <c r="Q39" s="8">
        <v>8.6999999999999994E-2</v>
      </c>
      <c r="R39" s="8">
        <v>125</v>
      </c>
      <c r="S39" s="8">
        <v>105</v>
      </c>
      <c r="T39" s="8">
        <v>1.375</v>
      </c>
      <c r="U39" s="2" t="b">
        <v>0</v>
      </c>
      <c r="V39" s="17">
        <f t="shared" si="0"/>
        <v>1.25</v>
      </c>
      <c r="W39" s="17">
        <f t="shared" si="1"/>
        <v>2</v>
      </c>
      <c r="X39" s="17">
        <f t="shared" si="2"/>
        <v>1.25</v>
      </c>
      <c r="Y39" s="17">
        <f t="shared" si="3"/>
        <v>3</v>
      </c>
    </row>
    <row r="40" spans="1:25" x14ac:dyDescent="0.25">
      <c r="A40" s="2" t="s">
        <v>43</v>
      </c>
      <c r="B40" s="2" t="s">
        <v>43</v>
      </c>
      <c r="C40" s="2" t="s">
        <v>44</v>
      </c>
      <c r="D40" s="8">
        <v>0.75</v>
      </c>
      <c r="E40" s="8">
        <v>0.75</v>
      </c>
      <c r="F40" s="8">
        <v>1.4375</v>
      </c>
      <c r="G40" s="8">
        <v>0.193</v>
      </c>
      <c r="H40" s="8">
        <v>0.442</v>
      </c>
      <c r="I40" s="8">
        <v>0.33400000000000002</v>
      </c>
      <c r="J40" s="8">
        <v>0.30199999999999999</v>
      </c>
      <c r="K40" s="8">
        <v>10</v>
      </c>
      <c r="L40" s="10">
        <f t="shared" si="4"/>
        <v>2</v>
      </c>
      <c r="M40" s="8">
        <v>1.5</v>
      </c>
      <c r="N40" s="8">
        <v>1.468</v>
      </c>
      <c r="O40" s="8">
        <v>0.17699999999999999</v>
      </c>
      <c r="P40" s="8">
        <v>0.32100000000000001</v>
      </c>
      <c r="Q40" s="8">
        <v>0.125</v>
      </c>
      <c r="R40" s="8">
        <v>125</v>
      </c>
      <c r="S40" s="8">
        <v>105</v>
      </c>
      <c r="T40" s="8">
        <v>1.5</v>
      </c>
      <c r="U40" s="2" t="b">
        <v>0</v>
      </c>
      <c r="V40" s="17">
        <f t="shared" si="0"/>
        <v>1.5</v>
      </c>
      <c r="W40" s="17">
        <f t="shared" si="1"/>
        <v>3</v>
      </c>
      <c r="X40" s="17">
        <f t="shared" si="2"/>
        <v>1.375</v>
      </c>
      <c r="Y40" s="17">
        <f t="shared" si="3"/>
        <v>3</v>
      </c>
    </row>
    <row r="41" spans="1:25" x14ac:dyDescent="0.25">
      <c r="A41" s="2" t="s">
        <v>43</v>
      </c>
      <c r="B41" s="2" t="s">
        <v>43</v>
      </c>
      <c r="C41" s="2" t="s">
        <v>44</v>
      </c>
      <c r="D41" s="8">
        <v>1</v>
      </c>
      <c r="E41" s="8">
        <v>1</v>
      </c>
      <c r="F41" s="8">
        <v>1.875</v>
      </c>
      <c r="G41" s="8">
        <v>0.42499999999999999</v>
      </c>
      <c r="H41" s="8">
        <v>0.78500000000000003</v>
      </c>
      <c r="I41" s="8">
        <v>0.60599999999999998</v>
      </c>
      <c r="J41" s="8">
        <v>0.55100000000000005</v>
      </c>
      <c r="K41" s="8">
        <v>8</v>
      </c>
      <c r="L41" s="10">
        <f t="shared" si="4"/>
        <v>2.6666666666666665</v>
      </c>
      <c r="M41" s="8">
        <v>1.5</v>
      </c>
      <c r="N41" s="8">
        <v>2</v>
      </c>
      <c r="O41" s="8">
        <v>0.17699999999999999</v>
      </c>
      <c r="P41" s="8">
        <v>0.72</v>
      </c>
      <c r="Q41" s="8">
        <v>0.221</v>
      </c>
      <c r="R41" s="8">
        <v>125</v>
      </c>
      <c r="S41" s="8">
        <v>105</v>
      </c>
      <c r="T41" s="8">
        <v>1.75</v>
      </c>
      <c r="U41" s="2" t="b">
        <v>0</v>
      </c>
      <c r="V41" s="17">
        <f t="shared" si="0"/>
        <v>1.5</v>
      </c>
      <c r="W41" s="17">
        <f t="shared" si="1"/>
        <v>3</v>
      </c>
      <c r="X41" s="17">
        <f t="shared" si="2"/>
        <v>1.75</v>
      </c>
      <c r="Y41" s="17">
        <f t="shared" si="3"/>
        <v>3</v>
      </c>
    </row>
    <row r="42" spans="1:25" x14ac:dyDescent="0.25">
      <c r="A42" s="2" t="s">
        <v>43</v>
      </c>
      <c r="B42" s="2" t="s">
        <v>43</v>
      </c>
      <c r="C42" s="2" t="s">
        <v>44</v>
      </c>
      <c r="D42" s="8">
        <v>1.25</v>
      </c>
      <c r="E42" s="8">
        <v>1.25</v>
      </c>
      <c r="F42" s="8">
        <v>2.3125</v>
      </c>
      <c r="G42" s="8">
        <v>0.78600000000000003</v>
      </c>
      <c r="H42" s="8">
        <v>1.2270000000000001</v>
      </c>
      <c r="I42" s="8">
        <v>0.96899999999999997</v>
      </c>
      <c r="J42" s="8">
        <v>0.89</v>
      </c>
      <c r="K42" s="8">
        <v>7</v>
      </c>
      <c r="L42" s="10">
        <f t="shared" si="4"/>
        <v>3.333333333333333</v>
      </c>
      <c r="M42" s="8">
        <v>1.75</v>
      </c>
      <c r="N42" s="8">
        <v>2.5</v>
      </c>
      <c r="O42" s="8">
        <v>0.17699999999999999</v>
      </c>
      <c r="P42" s="8">
        <v>1.37</v>
      </c>
      <c r="Q42" s="8">
        <v>0.34399999999999997</v>
      </c>
      <c r="R42" s="8">
        <v>125</v>
      </c>
      <c r="S42" s="8">
        <v>105</v>
      </c>
      <c r="T42" s="8">
        <v>2</v>
      </c>
      <c r="U42" s="2" t="b">
        <v>0</v>
      </c>
      <c r="V42" s="17">
        <f t="shared" si="0"/>
        <v>1.75</v>
      </c>
      <c r="W42" s="17">
        <f t="shared" si="1"/>
        <v>3.5</v>
      </c>
      <c r="X42" s="17">
        <f t="shared" si="2"/>
        <v>2</v>
      </c>
      <c r="Y42" s="17">
        <f t="shared" si="3"/>
        <v>3</v>
      </c>
    </row>
    <row r="43" spans="1:25" x14ac:dyDescent="0.25">
      <c r="A43" s="2" t="s">
        <v>43</v>
      </c>
      <c r="B43" s="2" t="s">
        <v>43</v>
      </c>
      <c r="C43" s="2" t="s">
        <v>44</v>
      </c>
      <c r="D43" s="8">
        <v>1.5</v>
      </c>
      <c r="E43" s="8">
        <v>1.5</v>
      </c>
      <c r="F43" s="8">
        <v>2.75</v>
      </c>
      <c r="G43" s="8">
        <v>1.31</v>
      </c>
      <c r="H43" s="8">
        <v>1.7669999999999999</v>
      </c>
      <c r="I43" s="8">
        <v>1.41</v>
      </c>
      <c r="J43" s="8">
        <v>1.29</v>
      </c>
      <c r="K43" s="8">
        <v>6</v>
      </c>
      <c r="L43" s="10">
        <f t="shared" si="4"/>
        <v>4</v>
      </c>
      <c r="M43" s="8">
        <v>2</v>
      </c>
      <c r="N43" s="8">
        <v>3</v>
      </c>
      <c r="O43" s="8">
        <v>0.17699999999999999</v>
      </c>
      <c r="P43" s="8">
        <v>2.5499999999999998</v>
      </c>
      <c r="Q43" s="8">
        <v>0.501</v>
      </c>
      <c r="R43" s="8">
        <v>125</v>
      </c>
      <c r="S43" s="8">
        <v>105</v>
      </c>
      <c r="T43" s="8">
        <v>2.25</v>
      </c>
      <c r="U43" s="2" t="b">
        <v>0</v>
      </c>
      <c r="V43" s="17">
        <f t="shared" si="0"/>
        <v>2</v>
      </c>
      <c r="W43" s="17">
        <f t="shared" si="1"/>
        <v>4</v>
      </c>
      <c r="X43" s="17">
        <f t="shared" si="2"/>
        <v>2.25</v>
      </c>
      <c r="Y43" s="17">
        <f t="shared" si="3"/>
        <v>3</v>
      </c>
    </row>
    <row r="44" spans="1:25" x14ac:dyDescent="0.25">
      <c r="A44" s="2" t="s">
        <v>43</v>
      </c>
      <c r="B44" s="2" t="s">
        <v>43</v>
      </c>
      <c r="C44" s="2" t="s">
        <v>44</v>
      </c>
      <c r="D44" s="8">
        <v>1.75</v>
      </c>
      <c r="E44" s="8">
        <v>1.75</v>
      </c>
      <c r="F44" s="8">
        <v>3.1875</v>
      </c>
      <c r="G44" s="8">
        <v>2.04</v>
      </c>
      <c r="H44" s="8">
        <v>2.4049999999999998</v>
      </c>
      <c r="I44" s="8">
        <v>1.9</v>
      </c>
      <c r="J44" s="8">
        <v>1.74</v>
      </c>
      <c r="K44" s="8">
        <v>5</v>
      </c>
      <c r="L44" s="10">
        <f t="shared" si="4"/>
        <v>4.6666666666666661</v>
      </c>
      <c r="M44" s="8">
        <v>2.5</v>
      </c>
      <c r="N44" s="8">
        <v>3.375</v>
      </c>
      <c r="O44" s="8">
        <v>0.28000000000000003</v>
      </c>
      <c r="P44" s="8">
        <v>3.99</v>
      </c>
      <c r="Q44" s="8">
        <v>0.68100000000000005</v>
      </c>
      <c r="R44" s="8">
        <v>125</v>
      </c>
      <c r="S44" s="8">
        <v>105</v>
      </c>
      <c r="T44" s="8">
        <v>2.5</v>
      </c>
      <c r="U44" s="2" t="b">
        <v>0</v>
      </c>
      <c r="V44" s="17">
        <f t="shared" si="0"/>
        <v>2.5</v>
      </c>
      <c r="W44" s="17">
        <f t="shared" si="1"/>
        <v>4.75</v>
      </c>
      <c r="X44" s="17">
        <f t="shared" si="2"/>
        <v>2.75</v>
      </c>
      <c r="Y44" s="17">
        <f t="shared" si="3"/>
        <v>4</v>
      </c>
    </row>
    <row r="45" spans="1:25" x14ac:dyDescent="0.25">
      <c r="A45" s="2" t="s">
        <v>43</v>
      </c>
      <c r="B45" s="2" t="s">
        <v>43</v>
      </c>
      <c r="C45" s="2" t="s">
        <v>44</v>
      </c>
      <c r="D45" s="8">
        <v>2</v>
      </c>
      <c r="E45" s="8">
        <v>2</v>
      </c>
      <c r="F45" s="8">
        <v>3.625</v>
      </c>
      <c r="G45" s="8">
        <v>2.99</v>
      </c>
      <c r="H45" s="8">
        <v>3.1419999999999999</v>
      </c>
      <c r="I45" s="8">
        <v>2.5</v>
      </c>
      <c r="J45" s="8">
        <v>2.2999999999999998</v>
      </c>
      <c r="K45" s="8">
        <v>4.5</v>
      </c>
      <c r="L45" s="10">
        <f t="shared" si="4"/>
        <v>5.333333333333333</v>
      </c>
      <c r="M45" s="8">
        <v>2.75</v>
      </c>
      <c r="N45" s="8">
        <v>3.75</v>
      </c>
      <c r="O45" s="8">
        <v>0.28000000000000003</v>
      </c>
      <c r="P45" s="8">
        <v>5.79</v>
      </c>
      <c r="Q45" s="8">
        <v>0.89</v>
      </c>
      <c r="R45" s="8">
        <v>125</v>
      </c>
      <c r="S45" s="8">
        <v>105</v>
      </c>
      <c r="T45" s="8">
        <v>2.75</v>
      </c>
      <c r="U45" s="2" t="b">
        <v>0</v>
      </c>
      <c r="V45" s="17">
        <f t="shared" si="0"/>
        <v>2.75</v>
      </c>
      <c r="W45" s="17">
        <f t="shared" si="1"/>
        <v>5.5</v>
      </c>
      <c r="X45" s="17">
        <f t="shared" si="2"/>
        <v>3</v>
      </c>
      <c r="Y45" s="17">
        <f t="shared" si="3"/>
        <v>4</v>
      </c>
    </row>
    <row r="46" spans="1:25" x14ac:dyDescent="0.25">
      <c r="A46" s="2" t="s">
        <v>43</v>
      </c>
      <c r="B46" s="2" t="s">
        <v>43</v>
      </c>
      <c r="C46" s="2" t="s">
        <v>44</v>
      </c>
      <c r="D46" s="8">
        <v>2.25</v>
      </c>
      <c r="E46" s="8">
        <v>2.25</v>
      </c>
      <c r="F46" s="8">
        <v>4.0625</v>
      </c>
      <c r="G46" s="8">
        <v>4.1900000000000004</v>
      </c>
      <c r="H46" s="8">
        <v>3.976</v>
      </c>
      <c r="I46" s="8">
        <v>3.25</v>
      </c>
      <c r="J46" s="8">
        <v>3.02</v>
      </c>
      <c r="K46" s="8">
        <v>4.5</v>
      </c>
      <c r="L46" s="10">
        <f t="shared" si="4"/>
        <v>6</v>
      </c>
      <c r="M46" s="8">
        <v>3</v>
      </c>
      <c r="N46" s="8">
        <v>4</v>
      </c>
      <c r="O46" s="8">
        <v>0.34</v>
      </c>
      <c r="P46" s="8">
        <v>8.16</v>
      </c>
      <c r="Q46" s="8">
        <v>1.1259999999999999</v>
      </c>
      <c r="R46" s="8">
        <v>125</v>
      </c>
      <c r="S46" s="8">
        <v>105</v>
      </c>
      <c r="T46" s="8">
        <v>3</v>
      </c>
      <c r="U46" s="2" t="b">
        <v>0</v>
      </c>
      <c r="V46" s="17">
        <f t="shared" si="0"/>
        <v>3</v>
      </c>
      <c r="W46" s="17">
        <f t="shared" si="1"/>
        <v>6</v>
      </c>
      <c r="X46" s="17">
        <f t="shared" si="2"/>
        <v>3.25</v>
      </c>
      <c r="Y46" s="17">
        <f t="shared" si="3"/>
        <v>4</v>
      </c>
    </row>
    <row r="47" spans="1:25" x14ac:dyDescent="0.25">
      <c r="A47" s="2" t="s">
        <v>43</v>
      </c>
      <c r="B47" s="2" t="s">
        <v>43</v>
      </c>
      <c r="C47" s="2" t="s">
        <v>44</v>
      </c>
      <c r="D47" s="8">
        <v>2.5</v>
      </c>
      <c r="E47" s="8">
        <v>2.5</v>
      </c>
      <c r="F47" s="8">
        <v>4.5</v>
      </c>
      <c r="G47" s="8">
        <v>5.64</v>
      </c>
      <c r="H47" s="8">
        <v>4.9089999999999998</v>
      </c>
      <c r="I47" s="8">
        <v>4</v>
      </c>
      <c r="J47" s="8">
        <v>3.72</v>
      </c>
      <c r="K47" s="8">
        <v>4</v>
      </c>
      <c r="L47" s="10">
        <f t="shared" si="4"/>
        <v>6.6666666666666661</v>
      </c>
      <c r="M47" s="8">
        <v>3.5</v>
      </c>
      <c r="N47" s="8">
        <v>4.5</v>
      </c>
      <c r="O47" s="8">
        <v>0.34</v>
      </c>
      <c r="P47" s="8">
        <v>11.05</v>
      </c>
      <c r="Q47" s="8">
        <v>1.391</v>
      </c>
      <c r="R47" s="8">
        <v>125</v>
      </c>
      <c r="S47" s="8">
        <v>105</v>
      </c>
      <c r="T47" s="8">
        <v>3.25</v>
      </c>
      <c r="U47" s="2" t="b">
        <v>0</v>
      </c>
      <c r="V47" s="17">
        <f t="shared" si="0"/>
        <v>3.5</v>
      </c>
      <c r="W47" s="17">
        <f t="shared" si="1"/>
        <v>6.75</v>
      </c>
      <c r="X47" s="17">
        <f t="shared" si="2"/>
        <v>3.5</v>
      </c>
      <c r="Y47" s="17">
        <f t="shared" si="3"/>
        <v>5</v>
      </c>
    </row>
    <row r="48" spans="1:25" x14ac:dyDescent="0.25">
      <c r="A48" s="2" t="s">
        <v>45</v>
      </c>
      <c r="B48" s="2" t="s">
        <v>45</v>
      </c>
      <c r="C48" s="2" t="s">
        <v>44</v>
      </c>
      <c r="D48" s="8">
        <v>2.75</v>
      </c>
      <c r="E48" s="8">
        <v>2.75</v>
      </c>
      <c r="F48" s="8">
        <v>4.9375</v>
      </c>
      <c r="G48" s="8">
        <v>7.38</v>
      </c>
      <c r="H48" s="8">
        <v>5.94</v>
      </c>
      <c r="I48" s="8">
        <v>4.93</v>
      </c>
      <c r="J48" s="8">
        <v>4.62</v>
      </c>
      <c r="K48" s="8">
        <v>4</v>
      </c>
      <c r="L48" s="10">
        <f t="shared" si="4"/>
        <v>7.333333333333333</v>
      </c>
      <c r="M48" s="8">
        <v>3.75</v>
      </c>
      <c r="N48" s="8">
        <v>5</v>
      </c>
      <c r="O48" s="8">
        <v>0.34</v>
      </c>
      <c r="P48" s="8">
        <v>14.58</v>
      </c>
      <c r="Q48" s="8">
        <v>1.6830000000000001</v>
      </c>
      <c r="R48" s="8">
        <v>115</v>
      </c>
      <c r="S48" s="8">
        <v>95</v>
      </c>
      <c r="T48" s="8">
        <v>3.5</v>
      </c>
      <c r="U48" s="2" t="b">
        <v>0</v>
      </c>
      <c r="V48" s="17">
        <f t="shared" si="0"/>
        <v>3.75</v>
      </c>
      <c r="W48" s="17">
        <f t="shared" si="1"/>
        <v>7.5</v>
      </c>
      <c r="X48" s="17">
        <f t="shared" si="2"/>
        <v>3.75</v>
      </c>
      <c r="Y48" s="17">
        <f t="shared" si="3"/>
        <v>5</v>
      </c>
    </row>
    <row r="49" spans="1:25" x14ac:dyDescent="0.25">
      <c r="A49" s="2" t="s">
        <v>45</v>
      </c>
      <c r="B49" s="2" t="s">
        <v>45</v>
      </c>
      <c r="C49" s="2" t="s">
        <v>44</v>
      </c>
      <c r="D49" s="8">
        <v>3</v>
      </c>
      <c r="E49" s="8">
        <v>3</v>
      </c>
      <c r="F49" s="8">
        <v>5.3125</v>
      </c>
      <c r="G49" s="8">
        <v>9.5</v>
      </c>
      <c r="H49" s="8">
        <v>7.069</v>
      </c>
      <c r="I49" s="8">
        <v>5.97</v>
      </c>
      <c r="J49" s="8">
        <v>5.62</v>
      </c>
      <c r="K49" s="8">
        <v>4</v>
      </c>
      <c r="L49" s="10">
        <f t="shared" si="4"/>
        <v>8</v>
      </c>
      <c r="M49" s="8">
        <v>4</v>
      </c>
      <c r="N49" s="8">
        <v>5.5</v>
      </c>
      <c r="O49" s="8">
        <v>0.34</v>
      </c>
      <c r="P49" s="8">
        <v>19</v>
      </c>
      <c r="Q49" s="8">
        <v>2.0019999999999998</v>
      </c>
      <c r="R49" s="8">
        <v>115</v>
      </c>
      <c r="S49" s="8">
        <v>95</v>
      </c>
      <c r="T49" s="8">
        <v>3.75</v>
      </c>
      <c r="U49" s="2" t="b">
        <v>0</v>
      </c>
      <c r="V49" s="17">
        <f t="shared" si="0"/>
        <v>4</v>
      </c>
      <c r="W49" s="17">
        <f t="shared" si="1"/>
        <v>8</v>
      </c>
      <c r="X49" s="17">
        <f t="shared" si="2"/>
        <v>4</v>
      </c>
      <c r="Y49" s="17">
        <f t="shared" si="3"/>
        <v>5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Y49"/>
  <sheetViews>
    <sheetView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18.42578125" style="2" bestFit="1" customWidth="1"/>
    <col min="2" max="2" width="12.140625" style="2" bestFit="1" customWidth="1"/>
    <col min="3" max="3" width="10.5703125" style="2" customWidth="1"/>
    <col min="4" max="11" width="9.140625" style="8"/>
    <col min="12" max="12" width="9.140625" style="10"/>
    <col min="13" max="20" width="9.140625" style="8"/>
    <col min="21" max="21" width="9.140625" style="2"/>
    <col min="22" max="25" width="9.140625" style="17"/>
    <col min="26" max="16384" width="9.140625" style="2"/>
  </cols>
  <sheetData>
    <row r="1" spans="1:25" s="1" customFormat="1" ht="45" x14ac:dyDescent="0.25">
      <c r="A1" s="1" t="s">
        <v>1</v>
      </c>
      <c r="B1" s="1" t="s">
        <v>2</v>
      </c>
      <c r="C1" s="1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  <c r="J1" s="7" t="s">
        <v>10</v>
      </c>
      <c r="K1" s="7" t="s">
        <v>11</v>
      </c>
      <c r="L1" s="9" t="s">
        <v>12</v>
      </c>
      <c r="M1" s="7" t="s">
        <v>13</v>
      </c>
      <c r="N1" s="7" t="s">
        <v>14</v>
      </c>
      <c r="O1" s="7" t="s">
        <v>15</v>
      </c>
      <c r="P1" s="7" t="s">
        <v>16</v>
      </c>
      <c r="Q1" s="7" t="s">
        <v>17</v>
      </c>
      <c r="R1" s="7" t="s">
        <v>18</v>
      </c>
      <c r="S1" s="7" t="s">
        <v>19</v>
      </c>
      <c r="T1" s="7" t="s">
        <v>20</v>
      </c>
      <c r="U1" s="1" t="s">
        <v>21</v>
      </c>
      <c r="V1" s="16" t="s">
        <v>82</v>
      </c>
      <c r="W1" s="16" t="s">
        <v>83</v>
      </c>
      <c r="X1" s="16" t="s">
        <v>85</v>
      </c>
      <c r="Y1" s="16" t="s">
        <v>84</v>
      </c>
    </row>
    <row r="2" spans="1:25" x14ac:dyDescent="0.25">
      <c r="A2" s="2" t="s">
        <v>43</v>
      </c>
      <c r="B2" s="2" t="s">
        <v>43</v>
      </c>
      <c r="C2" s="2" t="s">
        <v>44</v>
      </c>
      <c r="D2" s="8">
        <v>0.625</v>
      </c>
      <c r="E2" s="8">
        <v>0.625</v>
      </c>
      <c r="F2" s="8">
        <v>1.25</v>
      </c>
      <c r="G2" s="8">
        <v>0.11899999999999999</v>
      </c>
      <c r="H2" s="8">
        <v>0.307</v>
      </c>
      <c r="I2" s="8">
        <v>0.22600000000000001</v>
      </c>
      <c r="J2" s="8">
        <v>0.20200000000000001</v>
      </c>
      <c r="K2" s="8">
        <v>11</v>
      </c>
      <c r="L2" s="10">
        <f>IF(D2 &gt; 1, D2*(2+2/3), RoundItUp(D2*(2+2/3),0.25))</f>
        <v>1.75</v>
      </c>
      <c r="M2" s="8">
        <v>1.5</v>
      </c>
      <c r="N2" s="8">
        <v>1.3125</v>
      </c>
      <c r="O2" s="8">
        <v>0.17699999999999999</v>
      </c>
      <c r="P2" s="8">
        <v>0.2</v>
      </c>
      <c r="Q2" s="8">
        <v>8.6999999999999994E-2</v>
      </c>
      <c r="R2" s="8">
        <v>125</v>
      </c>
      <c r="S2" s="8">
        <v>105</v>
      </c>
      <c r="T2" s="8">
        <v>1.375</v>
      </c>
      <c r="U2" s="2" t="b">
        <v>0</v>
      </c>
      <c r="V2" s="17">
        <f t="shared" ref="V2:V49" si="0">VLOOKUP($E2,BktBoltProps,2)</f>
        <v>1.25</v>
      </c>
      <c r="W2" s="17">
        <f t="shared" ref="W2:W49" si="1">VLOOKUP($E2,BktBoltProps,3)</f>
        <v>2</v>
      </c>
      <c r="X2" s="17">
        <f t="shared" ref="X2:X49" si="2">IF(VLOOKUP($E2,BktBoltProps,8)=99, $E2+1,VLOOKUP($E2,BktBoltProps,8))</f>
        <v>1.25</v>
      </c>
      <c r="Y2" s="17">
        <f t="shared" ref="Y2:Y49" si="3">VLOOKUP($E2,BktBoltProps,10)</f>
        <v>3</v>
      </c>
    </row>
    <row r="3" spans="1:25" x14ac:dyDescent="0.25">
      <c r="A3" s="2" t="s">
        <v>43</v>
      </c>
      <c r="B3" s="2" t="s">
        <v>43</v>
      </c>
      <c r="C3" s="2" t="s">
        <v>44</v>
      </c>
      <c r="D3" s="8">
        <v>0.75</v>
      </c>
      <c r="E3" s="8">
        <v>0.75</v>
      </c>
      <c r="F3" s="8">
        <v>1.4375</v>
      </c>
      <c r="G3" s="8">
        <v>0.193</v>
      </c>
      <c r="H3" s="8">
        <v>0.442</v>
      </c>
      <c r="I3" s="8">
        <v>0.33400000000000002</v>
      </c>
      <c r="J3" s="8">
        <v>0.30199999999999999</v>
      </c>
      <c r="K3" s="8">
        <v>10</v>
      </c>
      <c r="L3" s="10">
        <f>IF(D3 &gt; 1, D3*(2+2/3), RoundItUp(D3*(2+2/3),0.25))</f>
        <v>2</v>
      </c>
      <c r="M3" s="8">
        <v>1.5</v>
      </c>
      <c r="N3" s="8">
        <v>1.468</v>
      </c>
      <c r="O3" s="8">
        <v>0.17699999999999999</v>
      </c>
      <c r="P3" s="8">
        <v>0.32100000000000001</v>
      </c>
      <c r="Q3" s="8">
        <v>0.125</v>
      </c>
      <c r="R3" s="8">
        <v>125</v>
      </c>
      <c r="S3" s="8">
        <v>105</v>
      </c>
      <c r="T3" s="8">
        <v>1.5</v>
      </c>
      <c r="U3" s="2" t="b">
        <v>0</v>
      </c>
      <c r="V3" s="17">
        <f t="shared" si="0"/>
        <v>1.5</v>
      </c>
      <c r="W3" s="17">
        <f t="shared" si="1"/>
        <v>3</v>
      </c>
      <c r="X3" s="17">
        <f t="shared" si="2"/>
        <v>1.375</v>
      </c>
      <c r="Y3" s="17">
        <f t="shared" si="3"/>
        <v>3</v>
      </c>
    </row>
    <row r="4" spans="1:25" x14ac:dyDescent="0.25">
      <c r="A4" s="2" t="s">
        <v>43</v>
      </c>
      <c r="B4" s="2" t="s">
        <v>43</v>
      </c>
      <c r="C4" s="2" t="s">
        <v>44</v>
      </c>
      <c r="D4" s="8">
        <v>1</v>
      </c>
      <c r="E4" s="8">
        <v>1</v>
      </c>
      <c r="F4" s="8">
        <v>1.875</v>
      </c>
      <c r="G4" s="8">
        <v>0.42499999999999999</v>
      </c>
      <c r="H4" s="8">
        <v>0.78500000000000003</v>
      </c>
      <c r="I4" s="8">
        <v>0.60599999999999998</v>
      </c>
      <c r="J4" s="8">
        <v>0.55100000000000005</v>
      </c>
      <c r="K4" s="8">
        <v>8</v>
      </c>
      <c r="L4" s="10">
        <f>IF(D4 &gt; 1, D4*(2+2/3), RoundItUp(D4*(2+2/3),0.25))</f>
        <v>2.75</v>
      </c>
      <c r="M4" s="8">
        <v>1.5</v>
      </c>
      <c r="N4" s="8">
        <v>2</v>
      </c>
      <c r="O4" s="8">
        <v>0.17699999999999999</v>
      </c>
      <c r="P4" s="8">
        <v>0.72</v>
      </c>
      <c r="Q4" s="8">
        <v>0.221</v>
      </c>
      <c r="R4" s="8">
        <v>125</v>
      </c>
      <c r="S4" s="8">
        <v>105</v>
      </c>
      <c r="T4" s="8">
        <v>1.75</v>
      </c>
      <c r="U4" s="2" t="b">
        <v>0</v>
      </c>
      <c r="V4" s="17">
        <f t="shared" si="0"/>
        <v>1.5</v>
      </c>
      <c r="W4" s="17">
        <f t="shared" si="1"/>
        <v>3</v>
      </c>
      <c r="X4" s="17">
        <f t="shared" si="2"/>
        <v>1.75</v>
      </c>
      <c r="Y4" s="17">
        <f t="shared" si="3"/>
        <v>3</v>
      </c>
    </row>
    <row r="5" spans="1:25" x14ac:dyDescent="0.25">
      <c r="A5" s="2" t="s">
        <v>43</v>
      </c>
      <c r="B5" s="2" t="s">
        <v>43</v>
      </c>
      <c r="C5" s="2" t="s">
        <v>44</v>
      </c>
      <c r="D5" s="8">
        <v>1.25</v>
      </c>
      <c r="E5" s="8">
        <v>1.25</v>
      </c>
      <c r="F5" s="8">
        <v>2.3125</v>
      </c>
      <c r="G5" s="8">
        <v>0.78600000000000003</v>
      </c>
      <c r="H5" s="8">
        <v>1.2270000000000001</v>
      </c>
      <c r="I5" s="8">
        <v>0.96899999999999997</v>
      </c>
      <c r="J5" s="8">
        <v>0.89</v>
      </c>
      <c r="K5" s="8">
        <v>7</v>
      </c>
      <c r="L5" s="10">
        <f>IF(D5 &gt; 1, D5*(2+2/3), RoundItUp(D5*(2+2/3),0.25))</f>
        <v>3.333333333333333</v>
      </c>
      <c r="M5" s="8">
        <v>1.75</v>
      </c>
      <c r="N5" s="8">
        <v>2.5</v>
      </c>
      <c r="O5" s="8">
        <v>0.17699999999999999</v>
      </c>
      <c r="P5" s="8">
        <v>1.37</v>
      </c>
      <c r="Q5" s="8">
        <v>0.34399999999999997</v>
      </c>
      <c r="R5" s="8">
        <v>125</v>
      </c>
      <c r="S5" s="8">
        <v>105</v>
      </c>
      <c r="T5" s="8">
        <v>2</v>
      </c>
      <c r="U5" s="2" t="b">
        <v>0</v>
      </c>
      <c r="V5" s="17">
        <f t="shared" si="0"/>
        <v>1.75</v>
      </c>
      <c r="W5" s="17">
        <f t="shared" si="1"/>
        <v>3.5</v>
      </c>
      <c r="X5" s="17">
        <f t="shared" si="2"/>
        <v>2</v>
      </c>
      <c r="Y5" s="17">
        <f t="shared" si="3"/>
        <v>3</v>
      </c>
    </row>
    <row r="6" spans="1:25" x14ac:dyDescent="0.25">
      <c r="A6" s="2" t="s">
        <v>43</v>
      </c>
      <c r="B6" s="2" t="s">
        <v>43</v>
      </c>
      <c r="C6" s="2" t="s">
        <v>44</v>
      </c>
      <c r="D6" s="8">
        <v>1.5</v>
      </c>
      <c r="E6" s="8">
        <v>1.5</v>
      </c>
      <c r="F6" s="8">
        <v>2.75</v>
      </c>
      <c r="G6" s="8">
        <v>1.31</v>
      </c>
      <c r="H6" s="8">
        <v>1.7669999999999999</v>
      </c>
      <c r="I6" s="8">
        <v>1.41</v>
      </c>
      <c r="J6" s="8">
        <v>1.29</v>
      </c>
      <c r="K6" s="8">
        <v>6</v>
      </c>
      <c r="L6" s="10">
        <f>IF(D6 &gt; 1, D6*(2+2/3), RoundItUp(D6*(2+2/3),0.25))</f>
        <v>4</v>
      </c>
      <c r="M6" s="8">
        <v>2</v>
      </c>
      <c r="N6" s="8">
        <v>3</v>
      </c>
      <c r="O6" s="8">
        <v>0.17699999999999999</v>
      </c>
      <c r="P6" s="8">
        <v>2.5499999999999998</v>
      </c>
      <c r="Q6" s="8">
        <v>0.501</v>
      </c>
      <c r="R6" s="8">
        <v>125</v>
      </c>
      <c r="S6" s="8">
        <v>105</v>
      </c>
      <c r="T6" s="8">
        <v>2.25</v>
      </c>
      <c r="U6" s="2" t="b">
        <v>0</v>
      </c>
      <c r="V6" s="17">
        <f t="shared" si="0"/>
        <v>2</v>
      </c>
      <c r="W6" s="17">
        <f t="shared" si="1"/>
        <v>4</v>
      </c>
      <c r="X6" s="17">
        <f t="shared" si="2"/>
        <v>2.25</v>
      </c>
      <c r="Y6" s="17">
        <f t="shared" si="3"/>
        <v>3</v>
      </c>
    </row>
    <row r="7" spans="1:25" x14ac:dyDescent="0.25">
      <c r="A7" s="2" t="s">
        <v>43</v>
      </c>
      <c r="B7" s="2" t="s">
        <v>43</v>
      </c>
      <c r="C7" s="2" t="s">
        <v>44</v>
      </c>
      <c r="D7" s="8">
        <v>1.75</v>
      </c>
      <c r="E7" s="8">
        <v>1.75</v>
      </c>
      <c r="F7" s="8">
        <v>3.1875</v>
      </c>
      <c r="G7" s="8">
        <v>2.04</v>
      </c>
      <c r="H7" s="8">
        <v>2.4049999999999998</v>
      </c>
      <c r="I7" s="8">
        <v>1.9</v>
      </c>
      <c r="J7" s="8">
        <v>1.74</v>
      </c>
      <c r="K7" s="8">
        <v>5</v>
      </c>
      <c r="L7" s="10">
        <f>IF(D7 &gt; 1, D7*(2+2/3), RoundItUp(D7*(2+2/3),0.25))</f>
        <v>4.6666666666666661</v>
      </c>
      <c r="M7" s="8">
        <v>2.5</v>
      </c>
      <c r="N7" s="8">
        <v>3.375</v>
      </c>
      <c r="O7" s="8">
        <v>0.28000000000000003</v>
      </c>
      <c r="P7" s="8">
        <v>3.99</v>
      </c>
      <c r="Q7" s="8">
        <v>0.68100000000000005</v>
      </c>
      <c r="R7" s="8">
        <v>125</v>
      </c>
      <c r="S7" s="8">
        <v>105</v>
      </c>
      <c r="T7" s="8">
        <v>2.5</v>
      </c>
      <c r="U7" s="2" t="b">
        <v>0</v>
      </c>
      <c r="V7" s="17">
        <f t="shared" si="0"/>
        <v>2.5</v>
      </c>
      <c r="W7" s="17">
        <f t="shared" si="1"/>
        <v>4.75</v>
      </c>
      <c r="X7" s="17">
        <f t="shared" si="2"/>
        <v>2.75</v>
      </c>
      <c r="Y7" s="17">
        <f t="shared" si="3"/>
        <v>4</v>
      </c>
    </row>
    <row r="8" spans="1:25" x14ac:dyDescent="0.25">
      <c r="A8" s="2" t="s">
        <v>43</v>
      </c>
      <c r="B8" s="2" t="s">
        <v>43</v>
      </c>
      <c r="C8" s="2" t="s">
        <v>44</v>
      </c>
      <c r="D8" s="8">
        <v>2</v>
      </c>
      <c r="E8" s="8">
        <v>2</v>
      </c>
      <c r="F8" s="8">
        <v>3.625</v>
      </c>
      <c r="G8" s="8">
        <v>2.99</v>
      </c>
      <c r="H8" s="8">
        <v>3.1419999999999999</v>
      </c>
      <c r="I8" s="8">
        <v>2.5</v>
      </c>
      <c r="J8" s="8">
        <v>2.2999999999999998</v>
      </c>
      <c r="K8" s="8">
        <v>4.5</v>
      </c>
      <c r="L8" s="10">
        <f>IF(D8 &gt; 1, D8*(2+2/3), RoundItUp(D8*(2+2/3),0.25))</f>
        <v>5.333333333333333</v>
      </c>
      <c r="M8" s="8">
        <v>2.75</v>
      </c>
      <c r="N8" s="8">
        <v>3.75</v>
      </c>
      <c r="O8" s="8">
        <v>0.28000000000000003</v>
      </c>
      <c r="P8" s="8">
        <v>5.79</v>
      </c>
      <c r="Q8" s="8">
        <v>0.89</v>
      </c>
      <c r="R8" s="8">
        <v>125</v>
      </c>
      <c r="S8" s="8">
        <v>105</v>
      </c>
      <c r="T8" s="8">
        <v>2.75</v>
      </c>
      <c r="U8" s="2" t="b">
        <v>0</v>
      </c>
      <c r="V8" s="17">
        <f t="shared" si="0"/>
        <v>2.75</v>
      </c>
      <c r="W8" s="17">
        <f t="shared" si="1"/>
        <v>5.5</v>
      </c>
      <c r="X8" s="17">
        <f t="shared" si="2"/>
        <v>3</v>
      </c>
      <c r="Y8" s="17">
        <f t="shared" si="3"/>
        <v>4</v>
      </c>
    </row>
    <row r="9" spans="1:25" x14ac:dyDescent="0.25">
      <c r="A9" s="2" t="s">
        <v>43</v>
      </c>
      <c r="B9" s="2" t="s">
        <v>43</v>
      </c>
      <c r="C9" s="2" t="s">
        <v>44</v>
      </c>
      <c r="D9" s="8">
        <v>2.25</v>
      </c>
      <c r="E9" s="8">
        <v>2.25</v>
      </c>
      <c r="F9" s="8">
        <v>4.0625</v>
      </c>
      <c r="G9" s="8">
        <v>4.1900000000000004</v>
      </c>
      <c r="H9" s="8">
        <v>3.976</v>
      </c>
      <c r="I9" s="8">
        <v>3.25</v>
      </c>
      <c r="J9" s="8">
        <v>3.02</v>
      </c>
      <c r="K9" s="8">
        <v>4.5</v>
      </c>
      <c r="L9" s="10">
        <f>IF(D9 &gt; 1, D9*(2+2/3), RoundItUp(D9*(2+2/3),0.25))</f>
        <v>6</v>
      </c>
      <c r="M9" s="8">
        <v>3</v>
      </c>
      <c r="N9" s="8">
        <v>4</v>
      </c>
      <c r="O9" s="8">
        <v>0.34</v>
      </c>
      <c r="P9" s="8">
        <v>8.16</v>
      </c>
      <c r="Q9" s="8">
        <v>1.1259999999999999</v>
      </c>
      <c r="R9" s="8">
        <v>125</v>
      </c>
      <c r="S9" s="8">
        <v>105</v>
      </c>
      <c r="T9" s="8">
        <v>3</v>
      </c>
      <c r="U9" s="2" t="b">
        <v>0</v>
      </c>
      <c r="V9" s="17">
        <f t="shared" si="0"/>
        <v>3</v>
      </c>
      <c r="W9" s="17">
        <f t="shared" si="1"/>
        <v>6</v>
      </c>
      <c r="X9" s="17">
        <f t="shared" si="2"/>
        <v>3.25</v>
      </c>
      <c r="Y9" s="17">
        <f t="shared" si="3"/>
        <v>4</v>
      </c>
    </row>
    <row r="10" spans="1:25" x14ac:dyDescent="0.25">
      <c r="A10" s="2" t="s">
        <v>43</v>
      </c>
      <c r="B10" s="2" t="s">
        <v>43</v>
      </c>
      <c r="C10" s="2" t="s">
        <v>44</v>
      </c>
      <c r="D10" s="8">
        <v>2.5</v>
      </c>
      <c r="E10" s="8">
        <v>2.5</v>
      </c>
      <c r="F10" s="8">
        <v>4.5</v>
      </c>
      <c r="G10" s="8">
        <v>5.64</v>
      </c>
      <c r="H10" s="8">
        <v>4.9089999999999998</v>
      </c>
      <c r="I10" s="8">
        <v>4</v>
      </c>
      <c r="J10" s="8">
        <v>3.72</v>
      </c>
      <c r="K10" s="8">
        <v>4</v>
      </c>
      <c r="L10" s="10">
        <f>IF(D10 &gt; 1, D10*(2+2/3), RoundItUp(D10*(2+2/3),0.25))</f>
        <v>6.6666666666666661</v>
      </c>
      <c r="M10" s="8">
        <v>3.5</v>
      </c>
      <c r="N10" s="8">
        <v>4.5</v>
      </c>
      <c r="O10" s="8">
        <v>0.34</v>
      </c>
      <c r="P10" s="8">
        <v>11.05</v>
      </c>
      <c r="Q10" s="8">
        <v>1.391</v>
      </c>
      <c r="R10" s="8">
        <v>125</v>
      </c>
      <c r="S10" s="8">
        <v>105</v>
      </c>
      <c r="T10" s="8">
        <v>3.25</v>
      </c>
      <c r="U10" s="2" t="b">
        <v>0</v>
      </c>
      <c r="V10" s="17">
        <f t="shared" si="0"/>
        <v>3.5</v>
      </c>
      <c r="W10" s="17">
        <f t="shared" si="1"/>
        <v>6.75</v>
      </c>
      <c r="X10" s="17">
        <f t="shared" si="2"/>
        <v>3.5</v>
      </c>
      <c r="Y10" s="17">
        <f t="shared" si="3"/>
        <v>5</v>
      </c>
    </row>
    <row r="11" spans="1:25" x14ac:dyDescent="0.25">
      <c r="A11" s="2" t="s">
        <v>45</v>
      </c>
      <c r="B11" s="2" t="s">
        <v>45</v>
      </c>
      <c r="C11" s="2" t="s">
        <v>44</v>
      </c>
      <c r="D11" s="8">
        <v>2.75</v>
      </c>
      <c r="E11" s="8">
        <v>2.75</v>
      </c>
      <c r="F11" s="8">
        <v>4.9375</v>
      </c>
      <c r="G11" s="8">
        <v>7.38</v>
      </c>
      <c r="H11" s="8">
        <v>5.94</v>
      </c>
      <c r="I11" s="8">
        <v>4.93</v>
      </c>
      <c r="J11" s="8">
        <v>4.62</v>
      </c>
      <c r="K11" s="8">
        <v>4</v>
      </c>
      <c r="L11" s="10">
        <f>IF(D11 &gt; 1, D11*(2+2/3), RoundItUp(D11*(2+2/3),0.25))</f>
        <v>7.333333333333333</v>
      </c>
      <c r="M11" s="8">
        <v>3.75</v>
      </c>
      <c r="N11" s="8">
        <v>5</v>
      </c>
      <c r="O11" s="8">
        <v>0.34</v>
      </c>
      <c r="P11" s="8">
        <v>14.58</v>
      </c>
      <c r="Q11" s="8">
        <v>1.6830000000000001</v>
      </c>
      <c r="R11" s="8">
        <v>115</v>
      </c>
      <c r="S11" s="8">
        <v>95</v>
      </c>
      <c r="T11" s="8">
        <v>3.5</v>
      </c>
      <c r="U11" s="2" t="b">
        <v>0</v>
      </c>
      <c r="V11" s="17">
        <f t="shared" si="0"/>
        <v>3.75</v>
      </c>
      <c r="W11" s="17">
        <f t="shared" si="1"/>
        <v>7.5</v>
      </c>
      <c r="X11" s="17">
        <f t="shared" si="2"/>
        <v>3.75</v>
      </c>
      <c r="Y11" s="17">
        <f t="shared" si="3"/>
        <v>5</v>
      </c>
    </row>
    <row r="12" spans="1:25" x14ac:dyDescent="0.25">
      <c r="A12" s="2" t="s">
        <v>45</v>
      </c>
      <c r="B12" s="2" t="s">
        <v>45</v>
      </c>
      <c r="C12" s="2" t="s">
        <v>44</v>
      </c>
      <c r="D12" s="8">
        <v>3</v>
      </c>
      <c r="E12" s="8">
        <v>3</v>
      </c>
      <c r="F12" s="8">
        <v>5.3125</v>
      </c>
      <c r="G12" s="8">
        <v>9.5</v>
      </c>
      <c r="H12" s="8">
        <v>7.069</v>
      </c>
      <c r="I12" s="8">
        <v>5.97</v>
      </c>
      <c r="J12" s="8">
        <v>5.62</v>
      </c>
      <c r="K12" s="8">
        <v>4</v>
      </c>
      <c r="L12" s="10">
        <f>IF(D12 &gt; 1, D12*(2+2/3), RoundItUp(D12*(2+2/3),0.25))</f>
        <v>8</v>
      </c>
      <c r="M12" s="8">
        <v>4</v>
      </c>
      <c r="N12" s="8">
        <v>5.5</v>
      </c>
      <c r="O12" s="8">
        <v>0.34</v>
      </c>
      <c r="P12" s="8">
        <v>19</v>
      </c>
      <c r="Q12" s="8">
        <v>2.0019999999999998</v>
      </c>
      <c r="R12" s="8">
        <v>115</v>
      </c>
      <c r="S12" s="8">
        <v>95</v>
      </c>
      <c r="T12" s="8">
        <v>3.75</v>
      </c>
      <c r="U12" s="2" t="b">
        <v>0</v>
      </c>
      <c r="V12" s="17">
        <f t="shared" si="0"/>
        <v>4</v>
      </c>
      <c r="W12" s="17">
        <f t="shared" si="1"/>
        <v>8</v>
      </c>
      <c r="X12" s="17">
        <f t="shared" si="2"/>
        <v>4</v>
      </c>
      <c r="Y12" s="17">
        <f t="shared" si="3"/>
        <v>5</v>
      </c>
    </row>
    <row r="13" spans="1:25" x14ac:dyDescent="0.25">
      <c r="A13" s="2" t="s">
        <v>24</v>
      </c>
      <c r="B13" s="2" t="s">
        <v>25</v>
      </c>
      <c r="C13" s="2" t="s">
        <v>0</v>
      </c>
      <c r="D13" s="8">
        <v>1.25</v>
      </c>
      <c r="E13" s="8">
        <v>1.25</v>
      </c>
      <c r="F13" s="8">
        <v>2.3125</v>
      </c>
      <c r="G13" s="8">
        <v>0.78600000000000003</v>
      </c>
      <c r="H13" s="8">
        <v>1.2270000000000001</v>
      </c>
      <c r="I13" s="8">
        <v>0.96899999999999997</v>
      </c>
      <c r="J13" s="8">
        <v>0.89</v>
      </c>
      <c r="K13" s="8">
        <v>7</v>
      </c>
      <c r="L13" s="10">
        <f>IF(D13 &gt; 1, D13*(2+2/3), RoundItUp(D13*(2+2/3),0.25))</f>
        <v>3.333333333333333</v>
      </c>
      <c r="M13" s="8">
        <v>1.75</v>
      </c>
      <c r="N13" s="8">
        <v>2.5</v>
      </c>
      <c r="O13" s="8">
        <v>0.17699999999999999</v>
      </c>
      <c r="P13" s="8">
        <v>1.37</v>
      </c>
      <c r="Q13" s="8">
        <v>0.34399999999999997</v>
      </c>
      <c r="R13" s="8">
        <v>105</v>
      </c>
      <c r="S13" s="8">
        <v>81</v>
      </c>
      <c r="T13" s="8">
        <v>2</v>
      </c>
      <c r="U13" s="2" t="b">
        <v>0</v>
      </c>
      <c r="V13" s="17">
        <f t="shared" si="0"/>
        <v>1.75</v>
      </c>
      <c r="W13" s="17">
        <f t="shared" si="1"/>
        <v>3.5</v>
      </c>
      <c r="X13" s="17">
        <f t="shared" si="2"/>
        <v>2</v>
      </c>
      <c r="Y13" s="17">
        <f t="shared" si="3"/>
        <v>3</v>
      </c>
    </row>
    <row r="14" spans="1:25" x14ac:dyDescent="0.25">
      <c r="A14" s="2" t="s">
        <v>24</v>
      </c>
      <c r="B14" s="2" t="s">
        <v>25</v>
      </c>
      <c r="C14" s="2" t="s">
        <v>0</v>
      </c>
      <c r="D14" s="8">
        <v>1.5</v>
      </c>
      <c r="E14" s="8">
        <v>1.5</v>
      </c>
      <c r="F14" s="8">
        <v>2.75</v>
      </c>
      <c r="G14" s="8">
        <v>1.31</v>
      </c>
      <c r="H14" s="8">
        <v>1.7669999999999999</v>
      </c>
      <c r="I14" s="8">
        <v>1.41</v>
      </c>
      <c r="J14" s="8">
        <v>1.29</v>
      </c>
      <c r="K14" s="8">
        <v>6</v>
      </c>
      <c r="L14" s="10">
        <f>IF(D14 &gt; 1, D14*(2+2/3), RoundItUp(D14*(2+2/3),0.25))</f>
        <v>4</v>
      </c>
      <c r="M14" s="8">
        <v>2</v>
      </c>
      <c r="N14" s="8">
        <v>3</v>
      </c>
      <c r="O14" s="8">
        <v>0.17699999999999999</v>
      </c>
      <c r="P14" s="8">
        <v>2.5499999999999998</v>
      </c>
      <c r="Q14" s="8">
        <v>0.501</v>
      </c>
      <c r="R14" s="8">
        <v>105</v>
      </c>
      <c r="S14" s="8">
        <v>81</v>
      </c>
      <c r="T14" s="8">
        <v>2.25</v>
      </c>
      <c r="U14" s="2" t="b">
        <v>0</v>
      </c>
      <c r="V14" s="17">
        <f t="shared" si="0"/>
        <v>2</v>
      </c>
      <c r="W14" s="17">
        <f t="shared" si="1"/>
        <v>4</v>
      </c>
      <c r="X14" s="17">
        <f t="shared" si="2"/>
        <v>2.25</v>
      </c>
      <c r="Y14" s="17">
        <f t="shared" si="3"/>
        <v>3</v>
      </c>
    </row>
    <row r="15" spans="1:25" x14ac:dyDescent="0.25">
      <c r="A15" s="2" t="s">
        <v>22</v>
      </c>
      <c r="B15" s="2" t="s">
        <v>23</v>
      </c>
      <c r="C15" s="2" t="s">
        <v>0</v>
      </c>
      <c r="D15" s="8">
        <v>0.625</v>
      </c>
      <c r="E15" s="8">
        <v>0.625</v>
      </c>
      <c r="F15" s="8">
        <v>1.25</v>
      </c>
      <c r="G15" s="8">
        <v>0.11899999999999999</v>
      </c>
      <c r="H15" s="8">
        <v>0.307</v>
      </c>
      <c r="I15" s="8">
        <v>0.22600000000000001</v>
      </c>
      <c r="J15" s="8">
        <v>0.20200000000000001</v>
      </c>
      <c r="K15" s="8">
        <v>11</v>
      </c>
      <c r="L15" s="10">
        <f>IF(D15 &gt; 1, D15*(2+2/3), RoundItUp(D15*(2+2/3),0.25))</f>
        <v>1.75</v>
      </c>
      <c r="M15" s="8">
        <v>1.5</v>
      </c>
      <c r="N15" s="8">
        <v>1.3125</v>
      </c>
      <c r="O15" s="8">
        <v>0.17699999999999999</v>
      </c>
      <c r="P15" s="8">
        <v>0.2</v>
      </c>
      <c r="Q15" s="8">
        <v>8.6999999999999994E-2</v>
      </c>
      <c r="R15" s="8">
        <v>120</v>
      </c>
      <c r="S15" s="8">
        <v>92</v>
      </c>
      <c r="T15" s="8">
        <v>1.375</v>
      </c>
      <c r="U15" s="2" t="b">
        <v>0</v>
      </c>
      <c r="V15" s="17">
        <f t="shared" si="0"/>
        <v>1.25</v>
      </c>
      <c r="W15" s="17">
        <f t="shared" si="1"/>
        <v>2</v>
      </c>
      <c r="X15" s="17">
        <f t="shared" si="2"/>
        <v>1.25</v>
      </c>
      <c r="Y15" s="17">
        <f t="shared" si="3"/>
        <v>3</v>
      </c>
    </row>
    <row r="16" spans="1:25" x14ac:dyDescent="0.25">
      <c r="A16" s="2" t="s">
        <v>22</v>
      </c>
      <c r="B16" s="2" t="s">
        <v>23</v>
      </c>
      <c r="C16" s="2" t="s">
        <v>0</v>
      </c>
      <c r="D16" s="8">
        <v>0.75</v>
      </c>
      <c r="E16" s="8">
        <v>0.75</v>
      </c>
      <c r="F16" s="8">
        <v>1.4375</v>
      </c>
      <c r="G16" s="8">
        <v>0.193</v>
      </c>
      <c r="H16" s="8">
        <v>0.442</v>
      </c>
      <c r="I16" s="8">
        <v>0.33400000000000002</v>
      </c>
      <c r="J16" s="8">
        <v>0.30199999999999999</v>
      </c>
      <c r="K16" s="8">
        <v>10</v>
      </c>
      <c r="L16" s="10">
        <f>IF(D16 &gt; 1, D16*(2+2/3), RoundItUp(D16*(2+2/3),0.25))</f>
        <v>2</v>
      </c>
      <c r="M16" s="8">
        <v>1.5</v>
      </c>
      <c r="N16" s="8">
        <v>1.468</v>
      </c>
      <c r="O16" s="8">
        <v>0.17699999999999999</v>
      </c>
      <c r="P16" s="8">
        <v>0.32100000000000001</v>
      </c>
      <c r="Q16" s="8">
        <v>0.125</v>
      </c>
      <c r="R16" s="8">
        <v>120</v>
      </c>
      <c r="S16" s="8">
        <v>92</v>
      </c>
      <c r="T16" s="8">
        <v>1.5</v>
      </c>
      <c r="U16" s="2" t="b">
        <v>0</v>
      </c>
      <c r="V16" s="17">
        <f t="shared" si="0"/>
        <v>1.5</v>
      </c>
      <c r="W16" s="17">
        <f t="shared" si="1"/>
        <v>3</v>
      </c>
      <c r="X16" s="17">
        <f t="shared" si="2"/>
        <v>1.375</v>
      </c>
      <c r="Y16" s="17">
        <f t="shared" si="3"/>
        <v>3</v>
      </c>
    </row>
    <row r="17" spans="1:25" x14ac:dyDescent="0.25">
      <c r="A17" s="2" t="s">
        <v>22</v>
      </c>
      <c r="B17" s="2" t="s">
        <v>23</v>
      </c>
      <c r="C17" s="2" t="s">
        <v>0</v>
      </c>
      <c r="D17" s="8">
        <v>1</v>
      </c>
      <c r="E17" s="8">
        <v>1</v>
      </c>
      <c r="F17" s="8">
        <v>1.875</v>
      </c>
      <c r="G17" s="8">
        <v>0.42499999999999999</v>
      </c>
      <c r="H17" s="8">
        <v>0.78500000000000003</v>
      </c>
      <c r="I17" s="8">
        <v>0.60599999999999998</v>
      </c>
      <c r="J17" s="8">
        <v>0.55100000000000005</v>
      </c>
      <c r="K17" s="8">
        <v>8</v>
      </c>
      <c r="L17" s="10">
        <f>IF(D17 &gt; 1, D17*(2+2/3), RoundItUp(D17*(2+2/3),0.25))</f>
        <v>2.75</v>
      </c>
      <c r="M17" s="8">
        <v>1.5</v>
      </c>
      <c r="N17" s="8">
        <v>2</v>
      </c>
      <c r="O17" s="8">
        <v>0.17699999999999999</v>
      </c>
      <c r="P17" s="8">
        <v>0.72</v>
      </c>
      <c r="Q17" s="8">
        <v>0.221</v>
      </c>
      <c r="R17" s="8">
        <v>120</v>
      </c>
      <c r="S17" s="8">
        <v>92</v>
      </c>
      <c r="T17" s="8">
        <v>1.75</v>
      </c>
      <c r="U17" s="2" t="b">
        <v>0</v>
      </c>
      <c r="V17" s="17">
        <f t="shared" si="0"/>
        <v>1.5</v>
      </c>
      <c r="W17" s="17">
        <f t="shared" si="1"/>
        <v>3</v>
      </c>
      <c r="X17" s="17">
        <f t="shared" si="2"/>
        <v>1.75</v>
      </c>
      <c r="Y17" s="17">
        <f t="shared" si="3"/>
        <v>3</v>
      </c>
    </row>
    <row r="18" spans="1:25" x14ac:dyDescent="0.25">
      <c r="A18" s="2" t="s">
        <v>26</v>
      </c>
      <c r="B18" s="2" t="s">
        <v>27</v>
      </c>
      <c r="C18" s="2" t="s">
        <v>28</v>
      </c>
      <c r="D18" s="8">
        <v>0.625</v>
      </c>
      <c r="E18" s="8">
        <v>0.625</v>
      </c>
      <c r="F18" s="8">
        <v>1.25</v>
      </c>
      <c r="G18" s="8">
        <v>0.11899999999999999</v>
      </c>
      <c r="H18" s="8">
        <v>0.307</v>
      </c>
      <c r="I18" s="8">
        <v>0.22600000000000001</v>
      </c>
      <c r="J18" s="8">
        <v>0.20200000000000001</v>
      </c>
      <c r="K18" s="8">
        <v>11</v>
      </c>
      <c r="L18" s="10">
        <f>IF(D18 &gt; 1, D18*(2+2/3), RoundItUp(D18*(2+2/3),0.25))</f>
        <v>1.75</v>
      </c>
      <c r="M18" s="8">
        <v>1.5</v>
      </c>
      <c r="N18" s="8">
        <v>1.3125</v>
      </c>
      <c r="O18" s="8">
        <v>0.17699999999999999</v>
      </c>
      <c r="P18" s="8">
        <v>0.2</v>
      </c>
      <c r="Q18" s="8">
        <v>8.6999999999999994E-2</v>
      </c>
      <c r="R18" s="8">
        <v>125</v>
      </c>
      <c r="S18" s="8">
        <v>105</v>
      </c>
      <c r="T18" s="8">
        <v>1.375</v>
      </c>
      <c r="U18" s="2" t="b">
        <v>1</v>
      </c>
      <c r="V18" s="17">
        <f t="shared" si="0"/>
        <v>1.25</v>
      </c>
      <c r="W18" s="17">
        <f t="shared" si="1"/>
        <v>2</v>
      </c>
      <c r="X18" s="17">
        <f t="shared" si="2"/>
        <v>1.25</v>
      </c>
      <c r="Y18" s="17">
        <f t="shared" si="3"/>
        <v>3</v>
      </c>
    </row>
    <row r="19" spans="1:25" x14ac:dyDescent="0.25">
      <c r="A19" s="2" t="s">
        <v>26</v>
      </c>
      <c r="B19" s="2" t="s">
        <v>27</v>
      </c>
      <c r="C19" s="2" t="s">
        <v>28</v>
      </c>
      <c r="D19" s="8">
        <v>0.75</v>
      </c>
      <c r="E19" s="8">
        <v>0.75</v>
      </c>
      <c r="F19" s="8">
        <v>1.4375</v>
      </c>
      <c r="G19" s="8">
        <v>0.193</v>
      </c>
      <c r="H19" s="8">
        <v>0.442</v>
      </c>
      <c r="I19" s="8">
        <v>0.33400000000000002</v>
      </c>
      <c r="J19" s="8">
        <v>0.30199999999999999</v>
      </c>
      <c r="K19" s="8">
        <v>10</v>
      </c>
      <c r="L19" s="10">
        <f>IF(D19 &gt; 1, D19*(2+2/3), RoundItUp(D19*(2+2/3),0.25))</f>
        <v>2</v>
      </c>
      <c r="M19" s="8">
        <v>1.5</v>
      </c>
      <c r="N19" s="8">
        <v>1.468</v>
      </c>
      <c r="O19" s="8">
        <v>0.17699999999999999</v>
      </c>
      <c r="P19" s="8">
        <v>0.32100000000000001</v>
      </c>
      <c r="Q19" s="8">
        <v>0.125</v>
      </c>
      <c r="R19" s="8">
        <v>125</v>
      </c>
      <c r="S19" s="8">
        <v>105</v>
      </c>
      <c r="T19" s="8">
        <v>1.5</v>
      </c>
      <c r="U19" s="2" t="b">
        <v>0</v>
      </c>
      <c r="V19" s="17">
        <f t="shared" si="0"/>
        <v>1.5</v>
      </c>
      <c r="W19" s="17">
        <f t="shared" si="1"/>
        <v>3</v>
      </c>
      <c r="X19" s="17">
        <f t="shared" si="2"/>
        <v>1.375</v>
      </c>
      <c r="Y19" s="17">
        <f t="shared" si="3"/>
        <v>3</v>
      </c>
    </row>
    <row r="20" spans="1:25" x14ac:dyDescent="0.25">
      <c r="A20" s="2" t="s">
        <v>26</v>
      </c>
      <c r="B20" s="2" t="s">
        <v>27</v>
      </c>
      <c r="C20" s="2" t="s">
        <v>28</v>
      </c>
      <c r="D20" s="8">
        <v>1</v>
      </c>
      <c r="E20" s="8">
        <v>1</v>
      </c>
      <c r="F20" s="8">
        <v>1.875</v>
      </c>
      <c r="G20" s="8">
        <v>0.42499999999999999</v>
      </c>
      <c r="H20" s="8">
        <v>0.78500000000000003</v>
      </c>
      <c r="I20" s="8">
        <v>0.60599999999999998</v>
      </c>
      <c r="J20" s="8">
        <v>0.55100000000000005</v>
      </c>
      <c r="K20" s="8">
        <v>8</v>
      </c>
      <c r="L20" s="10">
        <f>IF(D20 &gt; 1, D20*(2+2/3), RoundItUp(D20*(2+2/3),0.25))</f>
        <v>2.75</v>
      </c>
      <c r="M20" s="8">
        <v>1.5</v>
      </c>
      <c r="N20" s="8">
        <v>2</v>
      </c>
      <c r="O20" s="8">
        <v>0.17699999999999999</v>
      </c>
      <c r="P20" s="8">
        <v>0.72</v>
      </c>
      <c r="Q20" s="8">
        <v>0.221</v>
      </c>
      <c r="R20" s="8">
        <v>125</v>
      </c>
      <c r="S20" s="8">
        <v>105</v>
      </c>
      <c r="T20" s="8">
        <v>1.75</v>
      </c>
      <c r="U20" s="2" t="b">
        <v>0</v>
      </c>
      <c r="V20" s="17">
        <f t="shared" si="0"/>
        <v>1.5</v>
      </c>
      <c r="W20" s="17">
        <f t="shared" si="1"/>
        <v>3</v>
      </c>
      <c r="X20" s="17">
        <f t="shared" si="2"/>
        <v>1.75</v>
      </c>
      <c r="Y20" s="17">
        <f t="shared" si="3"/>
        <v>3</v>
      </c>
    </row>
    <row r="21" spans="1:25" x14ac:dyDescent="0.25">
      <c r="A21" s="2" t="s">
        <v>26</v>
      </c>
      <c r="B21" s="2" t="s">
        <v>27</v>
      </c>
      <c r="C21" s="2" t="s">
        <v>28</v>
      </c>
      <c r="D21" s="8">
        <v>1.25</v>
      </c>
      <c r="E21" s="8">
        <v>1.25</v>
      </c>
      <c r="F21" s="8">
        <v>2.3125</v>
      </c>
      <c r="G21" s="8">
        <v>0.78600000000000003</v>
      </c>
      <c r="H21" s="8">
        <v>1.2270000000000001</v>
      </c>
      <c r="I21" s="8">
        <v>0.96899999999999997</v>
      </c>
      <c r="J21" s="8">
        <v>0.89</v>
      </c>
      <c r="K21" s="8">
        <v>7</v>
      </c>
      <c r="L21" s="10">
        <f>IF(D21 &gt; 1, D21*(2+2/3), RoundItUp(D21*(2+2/3),0.25))</f>
        <v>3.333333333333333</v>
      </c>
      <c r="M21" s="8">
        <v>1.75</v>
      </c>
      <c r="N21" s="8">
        <v>2.5</v>
      </c>
      <c r="O21" s="8">
        <v>0.17699999999999999</v>
      </c>
      <c r="P21" s="8">
        <v>1.37</v>
      </c>
      <c r="Q21" s="8">
        <v>0.34399999999999997</v>
      </c>
      <c r="R21" s="8">
        <v>125</v>
      </c>
      <c r="S21" s="8">
        <v>105</v>
      </c>
      <c r="T21" s="8">
        <v>2</v>
      </c>
      <c r="U21" s="2" t="b">
        <v>0</v>
      </c>
      <c r="V21" s="17">
        <f t="shared" si="0"/>
        <v>1.75</v>
      </c>
      <c r="W21" s="17">
        <f t="shared" si="1"/>
        <v>3.5</v>
      </c>
      <c r="X21" s="17">
        <f t="shared" si="2"/>
        <v>2</v>
      </c>
      <c r="Y21" s="17">
        <f t="shared" si="3"/>
        <v>3</v>
      </c>
    </row>
    <row r="22" spans="1:25" x14ac:dyDescent="0.25">
      <c r="A22" s="2" t="s">
        <v>26</v>
      </c>
      <c r="B22" s="2" t="s">
        <v>27</v>
      </c>
      <c r="C22" s="2" t="s">
        <v>28</v>
      </c>
      <c r="D22" s="8">
        <v>1.5</v>
      </c>
      <c r="E22" s="8">
        <v>1.5</v>
      </c>
      <c r="F22" s="8">
        <v>2.75</v>
      </c>
      <c r="G22" s="8">
        <v>1.31</v>
      </c>
      <c r="H22" s="8">
        <v>1.7669999999999999</v>
      </c>
      <c r="I22" s="8">
        <v>1.41</v>
      </c>
      <c r="J22" s="8">
        <v>1.29</v>
      </c>
      <c r="K22" s="8">
        <v>6</v>
      </c>
      <c r="L22" s="10">
        <f>IF(D22 &gt; 1, D22*(2+2/3), RoundItUp(D22*(2+2/3),0.25))</f>
        <v>4</v>
      </c>
      <c r="M22" s="8">
        <v>2</v>
      </c>
      <c r="N22" s="8">
        <v>3</v>
      </c>
      <c r="O22" s="8">
        <v>0.17699999999999999</v>
      </c>
      <c r="P22" s="8">
        <v>2.5499999999999998</v>
      </c>
      <c r="Q22" s="8">
        <v>0.501</v>
      </c>
      <c r="R22" s="8">
        <v>125</v>
      </c>
      <c r="S22" s="8">
        <v>105</v>
      </c>
      <c r="T22" s="8">
        <v>2.25</v>
      </c>
      <c r="U22" s="2" t="b">
        <v>0</v>
      </c>
      <c r="V22" s="17">
        <f t="shared" si="0"/>
        <v>2</v>
      </c>
      <c r="W22" s="17">
        <f t="shared" si="1"/>
        <v>4</v>
      </c>
      <c r="X22" s="17">
        <f t="shared" si="2"/>
        <v>2.25</v>
      </c>
      <c r="Y22" s="17">
        <f t="shared" si="3"/>
        <v>3</v>
      </c>
    </row>
    <row r="23" spans="1:25" x14ac:dyDescent="0.25">
      <c r="A23" s="2" t="s">
        <v>26</v>
      </c>
      <c r="B23" s="2" t="s">
        <v>27</v>
      </c>
      <c r="C23" s="2" t="s">
        <v>28</v>
      </c>
      <c r="D23" s="8">
        <v>1.75</v>
      </c>
      <c r="E23" s="8">
        <v>1.75</v>
      </c>
      <c r="F23" s="8">
        <v>3.1875</v>
      </c>
      <c r="G23" s="8">
        <v>2.04</v>
      </c>
      <c r="H23" s="8">
        <v>2.4049999999999998</v>
      </c>
      <c r="I23" s="8">
        <v>1.9</v>
      </c>
      <c r="J23" s="8">
        <v>1.74</v>
      </c>
      <c r="K23" s="8">
        <v>5</v>
      </c>
      <c r="L23" s="10">
        <f>IF(D23 &gt; 1, D23*(2+2/3), RoundItUp(D23*(2+2/3),0.25))</f>
        <v>4.6666666666666661</v>
      </c>
      <c r="M23" s="8">
        <v>2.5</v>
      </c>
      <c r="N23" s="8">
        <v>3.375</v>
      </c>
      <c r="O23" s="8">
        <v>0.28000000000000003</v>
      </c>
      <c r="P23" s="8">
        <v>3.99</v>
      </c>
      <c r="Q23" s="8">
        <v>0.68100000000000005</v>
      </c>
      <c r="R23" s="8">
        <v>125</v>
      </c>
      <c r="S23" s="8">
        <v>105</v>
      </c>
      <c r="T23" s="8">
        <v>2.5</v>
      </c>
      <c r="U23" s="2" t="b">
        <v>0</v>
      </c>
      <c r="V23" s="17">
        <f t="shared" si="0"/>
        <v>2.5</v>
      </c>
      <c r="W23" s="17">
        <f t="shared" si="1"/>
        <v>4.75</v>
      </c>
      <c r="X23" s="17">
        <f t="shared" si="2"/>
        <v>2.75</v>
      </c>
      <c r="Y23" s="17">
        <f t="shared" si="3"/>
        <v>4</v>
      </c>
    </row>
    <row r="24" spans="1:25" x14ac:dyDescent="0.25">
      <c r="A24" s="2" t="s">
        <v>26</v>
      </c>
      <c r="B24" s="2" t="s">
        <v>27</v>
      </c>
      <c r="C24" s="2" t="s">
        <v>28</v>
      </c>
      <c r="D24" s="8">
        <v>2</v>
      </c>
      <c r="E24" s="8">
        <v>2</v>
      </c>
      <c r="F24" s="8">
        <v>3.625</v>
      </c>
      <c r="G24" s="8">
        <v>2.99</v>
      </c>
      <c r="H24" s="8">
        <v>3.1419999999999999</v>
      </c>
      <c r="I24" s="8">
        <v>2.5</v>
      </c>
      <c r="J24" s="8">
        <v>2.2999999999999998</v>
      </c>
      <c r="K24" s="8">
        <v>4.5</v>
      </c>
      <c r="L24" s="10">
        <f>IF(D24 &gt; 1, D24*(2+2/3), RoundItUp(D24*(2+2/3),0.25))</f>
        <v>5.333333333333333</v>
      </c>
      <c r="M24" s="8">
        <v>2.75</v>
      </c>
      <c r="N24" s="8">
        <v>3.75</v>
      </c>
      <c r="O24" s="8">
        <v>0.28000000000000003</v>
      </c>
      <c r="P24" s="8">
        <v>5.79</v>
      </c>
      <c r="Q24" s="8">
        <v>0.89</v>
      </c>
      <c r="R24" s="8">
        <v>125</v>
      </c>
      <c r="S24" s="8">
        <v>105</v>
      </c>
      <c r="T24" s="8">
        <v>2.75</v>
      </c>
      <c r="U24" s="2" t="b">
        <v>0</v>
      </c>
      <c r="V24" s="17">
        <f t="shared" si="0"/>
        <v>2.75</v>
      </c>
      <c r="W24" s="17">
        <f t="shared" si="1"/>
        <v>5.5</v>
      </c>
      <c r="X24" s="17">
        <f t="shared" si="2"/>
        <v>3</v>
      </c>
      <c r="Y24" s="17">
        <f t="shared" si="3"/>
        <v>4</v>
      </c>
    </row>
    <row r="25" spans="1:25" x14ac:dyDescent="0.25">
      <c r="A25" s="2" t="s">
        <v>26</v>
      </c>
      <c r="B25" s="2" t="s">
        <v>27</v>
      </c>
      <c r="C25" s="2" t="s">
        <v>28</v>
      </c>
      <c r="D25" s="8">
        <v>2.25</v>
      </c>
      <c r="E25" s="8">
        <v>2.25</v>
      </c>
      <c r="F25" s="8">
        <v>4.0625</v>
      </c>
      <c r="G25" s="8">
        <v>4.1900000000000004</v>
      </c>
      <c r="H25" s="8">
        <v>3.976</v>
      </c>
      <c r="I25" s="8">
        <v>3.25</v>
      </c>
      <c r="J25" s="8">
        <v>3.02</v>
      </c>
      <c r="K25" s="8">
        <v>4.5</v>
      </c>
      <c r="L25" s="10">
        <f>IF(D25 &gt; 1, D25*(2+2/3), RoundItUp(D25*(2+2/3),0.25))</f>
        <v>6</v>
      </c>
      <c r="M25" s="8">
        <v>3</v>
      </c>
      <c r="N25" s="8">
        <v>4</v>
      </c>
      <c r="O25" s="8">
        <v>0.34</v>
      </c>
      <c r="P25" s="8">
        <v>8.16</v>
      </c>
      <c r="Q25" s="8">
        <v>1.1259999999999999</v>
      </c>
      <c r="R25" s="8">
        <v>125</v>
      </c>
      <c r="S25" s="8">
        <v>105</v>
      </c>
      <c r="T25" s="8">
        <v>3</v>
      </c>
      <c r="U25" s="2" t="b">
        <v>0</v>
      </c>
      <c r="V25" s="17">
        <f t="shared" si="0"/>
        <v>3</v>
      </c>
      <c r="W25" s="17">
        <f t="shared" si="1"/>
        <v>6</v>
      </c>
      <c r="X25" s="17">
        <f t="shared" si="2"/>
        <v>3.25</v>
      </c>
      <c r="Y25" s="17">
        <f t="shared" si="3"/>
        <v>4</v>
      </c>
    </row>
    <row r="26" spans="1:25" x14ac:dyDescent="0.25">
      <c r="A26" s="2" t="s">
        <v>26</v>
      </c>
      <c r="B26" s="2" t="s">
        <v>27</v>
      </c>
      <c r="C26" s="2" t="s">
        <v>28</v>
      </c>
      <c r="D26" s="8">
        <v>2.5</v>
      </c>
      <c r="E26" s="8">
        <v>2.5</v>
      </c>
      <c r="F26" s="8">
        <v>4.5</v>
      </c>
      <c r="G26" s="8">
        <v>5.64</v>
      </c>
      <c r="H26" s="8">
        <v>4.9089999999999998</v>
      </c>
      <c r="I26" s="8">
        <v>4</v>
      </c>
      <c r="J26" s="8">
        <v>3.72</v>
      </c>
      <c r="K26" s="8">
        <v>4</v>
      </c>
      <c r="L26" s="10">
        <f>IF(D26 &gt; 1, D26*(2+2/3), RoundItUp(D26*(2+2/3),0.25))</f>
        <v>6.6666666666666661</v>
      </c>
      <c r="M26" s="8">
        <v>3.5</v>
      </c>
      <c r="N26" s="8">
        <v>4.5</v>
      </c>
      <c r="O26" s="8">
        <v>0.34</v>
      </c>
      <c r="P26" s="8">
        <v>11.05</v>
      </c>
      <c r="Q26" s="8">
        <v>1.391</v>
      </c>
      <c r="R26" s="8">
        <v>125</v>
      </c>
      <c r="S26" s="8">
        <v>105</v>
      </c>
      <c r="T26" s="8">
        <v>3.25</v>
      </c>
      <c r="U26" s="2" t="b">
        <v>0</v>
      </c>
      <c r="V26" s="17">
        <f t="shared" si="0"/>
        <v>3.5</v>
      </c>
      <c r="W26" s="17">
        <f t="shared" si="1"/>
        <v>6.75</v>
      </c>
      <c r="X26" s="17">
        <f t="shared" si="2"/>
        <v>3.5</v>
      </c>
      <c r="Y26" s="17">
        <f t="shared" si="3"/>
        <v>5</v>
      </c>
    </row>
    <row r="27" spans="1:25" x14ac:dyDescent="0.25">
      <c r="A27" s="2" t="s">
        <v>29</v>
      </c>
      <c r="B27" s="2" t="s">
        <v>30</v>
      </c>
      <c r="C27" s="2" t="s">
        <v>28</v>
      </c>
      <c r="D27" s="8">
        <v>2.75</v>
      </c>
      <c r="E27" s="8">
        <v>2.75</v>
      </c>
      <c r="F27" s="8">
        <v>4.9375</v>
      </c>
      <c r="G27" s="8">
        <v>7.38</v>
      </c>
      <c r="H27" s="8">
        <v>5.94</v>
      </c>
      <c r="I27" s="8">
        <v>4.93</v>
      </c>
      <c r="J27" s="8">
        <v>4.62</v>
      </c>
      <c r="K27" s="8">
        <v>4</v>
      </c>
      <c r="L27" s="10">
        <f>IF(D27 &gt; 1, D27*(2+2/3), RoundItUp(D27*(2+2/3),0.25))</f>
        <v>7.333333333333333</v>
      </c>
      <c r="M27" s="8">
        <v>3.75</v>
      </c>
      <c r="N27" s="8">
        <v>5</v>
      </c>
      <c r="O27" s="8">
        <v>0.34</v>
      </c>
      <c r="P27" s="8">
        <v>14.58</v>
      </c>
      <c r="Q27" s="8">
        <v>1.6830000000000001</v>
      </c>
      <c r="R27" s="8">
        <v>115</v>
      </c>
      <c r="S27" s="8">
        <v>95</v>
      </c>
      <c r="T27" s="8">
        <v>3.5</v>
      </c>
      <c r="U27" s="2" t="b">
        <v>0</v>
      </c>
      <c r="V27" s="17">
        <f t="shared" si="0"/>
        <v>3.75</v>
      </c>
      <c r="W27" s="17">
        <f t="shared" si="1"/>
        <v>7.5</v>
      </c>
      <c r="X27" s="17">
        <f t="shared" si="2"/>
        <v>3.75</v>
      </c>
      <c r="Y27" s="17">
        <f t="shared" si="3"/>
        <v>5</v>
      </c>
    </row>
    <row r="28" spans="1:25" x14ac:dyDescent="0.25">
      <c r="A28" s="2" t="s">
        <v>29</v>
      </c>
      <c r="B28" s="2" t="s">
        <v>30</v>
      </c>
      <c r="C28" s="2" t="s">
        <v>28</v>
      </c>
      <c r="D28" s="8">
        <v>3</v>
      </c>
      <c r="E28" s="8">
        <v>3</v>
      </c>
      <c r="F28" s="8">
        <v>5.3125</v>
      </c>
      <c r="G28" s="8">
        <v>9.5</v>
      </c>
      <c r="H28" s="8">
        <v>7.069</v>
      </c>
      <c r="I28" s="8">
        <v>5.97</v>
      </c>
      <c r="J28" s="8">
        <v>5.62</v>
      </c>
      <c r="K28" s="8">
        <v>4</v>
      </c>
      <c r="L28" s="10">
        <f>IF(D28 &gt; 1, D28*(2+2/3), RoundItUp(D28*(2+2/3),0.25))</f>
        <v>8</v>
      </c>
      <c r="M28" s="8">
        <v>4</v>
      </c>
      <c r="N28" s="8">
        <v>5.5</v>
      </c>
      <c r="O28" s="8">
        <v>0.34</v>
      </c>
      <c r="P28" s="8">
        <v>19</v>
      </c>
      <c r="Q28" s="8">
        <v>2.0019999999999998</v>
      </c>
      <c r="R28" s="8">
        <v>115</v>
      </c>
      <c r="S28" s="8">
        <v>95</v>
      </c>
      <c r="T28" s="8">
        <v>3.75</v>
      </c>
      <c r="U28" s="2" t="b">
        <v>0</v>
      </c>
      <c r="V28" s="17">
        <f t="shared" si="0"/>
        <v>4</v>
      </c>
      <c r="W28" s="17">
        <f t="shared" si="1"/>
        <v>8</v>
      </c>
      <c r="X28" s="17">
        <f t="shared" si="2"/>
        <v>4</v>
      </c>
      <c r="Y28" s="17">
        <f t="shared" si="3"/>
        <v>5</v>
      </c>
    </row>
    <row r="29" spans="1:25" x14ac:dyDescent="0.25">
      <c r="A29" s="2" t="s">
        <v>39</v>
      </c>
      <c r="B29" s="2" t="s">
        <v>40</v>
      </c>
      <c r="C29" s="2" t="s">
        <v>38</v>
      </c>
      <c r="D29" s="8">
        <v>2.75</v>
      </c>
      <c r="E29" s="8">
        <v>2.75</v>
      </c>
      <c r="F29" s="8">
        <v>4.9375</v>
      </c>
      <c r="G29" s="8">
        <v>7.38</v>
      </c>
      <c r="H29" s="8">
        <v>5.94</v>
      </c>
      <c r="I29" s="8">
        <v>4.93</v>
      </c>
      <c r="J29" s="8">
        <v>4.62</v>
      </c>
      <c r="K29" s="8">
        <v>4</v>
      </c>
      <c r="L29" s="10">
        <f>IF(D29 &gt; 1, D29*(2+2/3), RoundItUp(D29*(2+2/3),0.25))</f>
        <v>7.333333333333333</v>
      </c>
      <c r="M29" s="8">
        <v>3.75</v>
      </c>
      <c r="N29" s="8">
        <v>5</v>
      </c>
      <c r="O29" s="8">
        <v>0.34</v>
      </c>
      <c r="P29" s="8">
        <v>14.58</v>
      </c>
      <c r="Q29" s="8">
        <v>1.6830000000000001</v>
      </c>
      <c r="R29" s="8">
        <v>140</v>
      </c>
      <c r="S29" s="8">
        <v>105</v>
      </c>
      <c r="T29" s="8">
        <v>3.5</v>
      </c>
      <c r="U29" s="2" t="b">
        <v>0</v>
      </c>
      <c r="V29" s="17">
        <f t="shared" si="0"/>
        <v>3.75</v>
      </c>
      <c r="W29" s="17">
        <f t="shared" si="1"/>
        <v>7.5</v>
      </c>
      <c r="X29" s="17">
        <f t="shared" si="2"/>
        <v>3.75</v>
      </c>
      <c r="Y29" s="17">
        <f t="shared" si="3"/>
        <v>5</v>
      </c>
    </row>
    <row r="30" spans="1:25" x14ac:dyDescent="0.25">
      <c r="A30" s="2" t="s">
        <v>39</v>
      </c>
      <c r="B30" s="2" t="s">
        <v>40</v>
      </c>
      <c r="C30" s="2" t="s">
        <v>38</v>
      </c>
      <c r="D30" s="8">
        <v>3</v>
      </c>
      <c r="E30" s="8">
        <v>3</v>
      </c>
      <c r="F30" s="8">
        <v>5.3125</v>
      </c>
      <c r="G30" s="8">
        <v>9.5</v>
      </c>
      <c r="H30" s="8">
        <v>7.069</v>
      </c>
      <c r="I30" s="8">
        <v>5.97</v>
      </c>
      <c r="J30" s="8">
        <v>5.62</v>
      </c>
      <c r="K30" s="8">
        <v>4</v>
      </c>
      <c r="L30" s="10">
        <f>IF(D30 &gt; 1, D30*(2+2/3), RoundItUp(D30*(2+2/3),0.25))</f>
        <v>8</v>
      </c>
      <c r="M30" s="8">
        <v>4</v>
      </c>
      <c r="N30" s="8">
        <v>5.5</v>
      </c>
      <c r="O30" s="8">
        <v>0.34</v>
      </c>
      <c r="P30" s="8">
        <v>19</v>
      </c>
      <c r="Q30" s="8">
        <v>2.0019999999999998</v>
      </c>
      <c r="R30" s="8">
        <v>140</v>
      </c>
      <c r="S30" s="8">
        <v>105</v>
      </c>
      <c r="T30" s="8">
        <v>3.75</v>
      </c>
      <c r="U30" s="2" t="b">
        <v>0</v>
      </c>
      <c r="V30" s="17">
        <f t="shared" si="0"/>
        <v>4</v>
      </c>
      <c r="W30" s="17">
        <f t="shared" si="1"/>
        <v>8</v>
      </c>
      <c r="X30" s="17">
        <f t="shared" si="2"/>
        <v>4</v>
      </c>
      <c r="Y30" s="17">
        <f t="shared" si="3"/>
        <v>5</v>
      </c>
    </row>
    <row r="31" spans="1:25" x14ac:dyDescent="0.25">
      <c r="A31" s="2" t="s">
        <v>36</v>
      </c>
      <c r="B31" s="2" t="s">
        <v>37</v>
      </c>
      <c r="C31" s="2" t="s">
        <v>38</v>
      </c>
      <c r="D31" s="8">
        <v>0.625</v>
      </c>
      <c r="E31" s="8">
        <v>0.625</v>
      </c>
      <c r="F31" s="8">
        <v>1.25</v>
      </c>
      <c r="G31" s="8">
        <v>0.11899999999999999</v>
      </c>
      <c r="H31" s="8">
        <v>0.307</v>
      </c>
      <c r="I31" s="8">
        <v>0.22600000000000001</v>
      </c>
      <c r="J31" s="8">
        <v>0.20200000000000001</v>
      </c>
      <c r="K31" s="8">
        <v>11</v>
      </c>
      <c r="L31" s="10">
        <f>IF(D31 &gt; 1, D31*(2+2/3), RoundItUp(D31*(2+2/3),0.25))</f>
        <v>1.75</v>
      </c>
      <c r="M31" s="8">
        <v>1.5</v>
      </c>
      <c r="N31" s="8">
        <v>1.3125</v>
      </c>
      <c r="O31" s="8">
        <v>0.17699999999999999</v>
      </c>
      <c r="P31" s="8">
        <v>0.2</v>
      </c>
      <c r="Q31" s="8">
        <v>8.6999999999999994E-2</v>
      </c>
      <c r="R31" s="8">
        <v>150</v>
      </c>
      <c r="S31" s="8">
        <v>120</v>
      </c>
      <c r="T31" s="8">
        <v>1.375</v>
      </c>
      <c r="U31" s="2" t="b">
        <v>1</v>
      </c>
      <c r="V31" s="17">
        <f t="shared" si="0"/>
        <v>1.25</v>
      </c>
      <c r="W31" s="17">
        <f t="shared" si="1"/>
        <v>2</v>
      </c>
      <c r="X31" s="17">
        <f t="shared" si="2"/>
        <v>1.25</v>
      </c>
      <c r="Y31" s="17">
        <f t="shared" si="3"/>
        <v>3</v>
      </c>
    </row>
    <row r="32" spans="1:25" x14ac:dyDescent="0.25">
      <c r="A32" s="2" t="s">
        <v>36</v>
      </c>
      <c r="B32" s="2" t="s">
        <v>37</v>
      </c>
      <c r="C32" s="2" t="s">
        <v>38</v>
      </c>
      <c r="D32" s="8">
        <v>0.75</v>
      </c>
      <c r="E32" s="8">
        <v>0.75</v>
      </c>
      <c r="F32" s="8">
        <v>1.4375</v>
      </c>
      <c r="G32" s="8">
        <v>0.193</v>
      </c>
      <c r="H32" s="8">
        <v>0.442</v>
      </c>
      <c r="I32" s="8">
        <v>0.33400000000000002</v>
      </c>
      <c r="J32" s="8">
        <v>0.30199999999999999</v>
      </c>
      <c r="K32" s="8">
        <v>10</v>
      </c>
      <c r="L32" s="10">
        <f>IF(D32 &gt; 1, D32*(2+2/3), RoundItUp(D32*(2+2/3),0.25))</f>
        <v>2</v>
      </c>
      <c r="M32" s="8">
        <v>1.5</v>
      </c>
      <c r="N32" s="8">
        <v>1.468</v>
      </c>
      <c r="O32" s="8">
        <v>0.17699999999999999</v>
      </c>
      <c r="P32" s="8">
        <v>0.32100000000000001</v>
      </c>
      <c r="Q32" s="8">
        <v>0.125</v>
      </c>
      <c r="R32" s="8">
        <v>150</v>
      </c>
      <c r="S32" s="8">
        <v>120</v>
      </c>
      <c r="T32" s="8">
        <v>1.5</v>
      </c>
      <c r="U32" s="2" t="b">
        <v>1</v>
      </c>
      <c r="V32" s="17">
        <f t="shared" si="0"/>
        <v>1.5</v>
      </c>
      <c r="W32" s="17">
        <f t="shared" si="1"/>
        <v>3</v>
      </c>
      <c r="X32" s="17">
        <f t="shared" si="2"/>
        <v>1.375</v>
      </c>
      <c r="Y32" s="17">
        <f t="shared" si="3"/>
        <v>3</v>
      </c>
    </row>
    <row r="33" spans="1:25" x14ac:dyDescent="0.25">
      <c r="A33" s="2" t="s">
        <v>36</v>
      </c>
      <c r="B33" s="2" t="s">
        <v>37</v>
      </c>
      <c r="C33" s="2" t="s">
        <v>38</v>
      </c>
      <c r="D33" s="8">
        <v>1</v>
      </c>
      <c r="E33" s="8">
        <v>1</v>
      </c>
      <c r="F33" s="8">
        <v>1.875</v>
      </c>
      <c r="G33" s="8">
        <v>0.42499999999999999</v>
      </c>
      <c r="H33" s="8">
        <v>0.78500000000000003</v>
      </c>
      <c r="I33" s="8">
        <v>0.60599999999999998</v>
      </c>
      <c r="J33" s="8">
        <v>0.55100000000000005</v>
      </c>
      <c r="K33" s="8">
        <v>8</v>
      </c>
      <c r="L33" s="10">
        <f>IF(D33 &gt; 1, D33*(2+2/3), RoundItUp(D33*(2+2/3),0.25))</f>
        <v>2.75</v>
      </c>
      <c r="M33" s="8">
        <v>1.5</v>
      </c>
      <c r="N33" s="8">
        <v>2</v>
      </c>
      <c r="O33" s="8">
        <v>0.17699999999999999</v>
      </c>
      <c r="P33" s="8">
        <v>0.72</v>
      </c>
      <c r="Q33" s="8">
        <v>0.221</v>
      </c>
      <c r="R33" s="8">
        <v>150</v>
      </c>
      <c r="S33" s="8">
        <v>120</v>
      </c>
      <c r="T33" s="8">
        <v>1.75</v>
      </c>
      <c r="U33" s="2" t="b">
        <v>1</v>
      </c>
      <c r="V33" s="17">
        <f t="shared" si="0"/>
        <v>1.5</v>
      </c>
      <c r="W33" s="17">
        <f t="shared" si="1"/>
        <v>3</v>
      </c>
      <c r="X33" s="17">
        <f t="shared" si="2"/>
        <v>1.75</v>
      </c>
      <c r="Y33" s="17">
        <f t="shared" si="3"/>
        <v>3</v>
      </c>
    </row>
    <row r="34" spans="1:25" x14ac:dyDescent="0.25">
      <c r="A34" s="2" t="s">
        <v>36</v>
      </c>
      <c r="B34" s="2" t="s">
        <v>37</v>
      </c>
      <c r="C34" s="2" t="s">
        <v>38</v>
      </c>
      <c r="D34" s="8">
        <v>1.25</v>
      </c>
      <c r="E34" s="8">
        <v>1.25</v>
      </c>
      <c r="F34" s="8">
        <v>2.3125</v>
      </c>
      <c r="G34" s="8">
        <v>0.78600000000000003</v>
      </c>
      <c r="H34" s="8">
        <v>1.2270000000000001</v>
      </c>
      <c r="I34" s="8">
        <v>0.96899999999999997</v>
      </c>
      <c r="J34" s="8">
        <v>0.89</v>
      </c>
      <c r="K34" s="8">
        <v>7</v>
      </c>
      <c r="L34" s="10">
        <f>IF(D34 &gt; 1, D34*(2+2/3), RoundItUp(D34*(2+2/3),0.25))</f>
        <v>3.333333333333333</v>
      </c>
      <c r="M34" s="8">
        <v>1.75</v>
      </c>
      <c r="N34" s="8">
        <v>2.5</v>
      </c>
      <c r="O34" s="8">
        <v>0.17699999999999999</v>
      </c>
      <c r="P34" s="8">
        <v>1.37</v>
      </c>
      <c r="Q34" s="8">
        <v>0.34399999999999997</v>
      </c>
      <c r="R34" s="8">
        <v>150</v>
      </c>
      <c r="S34" s="8">
        <v>120</v>
      </c>
      <c r="T34" s="8">
        <v>2</v>
      </c>
      <c r="U34" s="2" t="b">
        <v>1</v>
      </c>
      <c r="V34" s="17">
        <f t="shared" si="0"/>
        <v>1.75</v>
      </c>
      <c r="W34" s="17">
        <f t="shared" si="1"/>
        <v>3.5</v>
      </c>
      <c r="X34" s="17">
        <f t="shared" si="2"/>
        <v>2</v>
      </c>
      <c r="Y34" s="17">
        <f t="shared" si="3"/>
        <v>3</v>
      </c>
    </row>
    <row r="35" spans="1:25" x14ac:dyDescent="0.25">
      <c r="A35" s="2" t="s">
        <v>36</v>
      </c>
      <c r="B35" s="2" t="s">
        <v>37</v>
      </c>
      <c r="C35" s="2" t="s">
        <v>38</v>
      </c>
      <c r="D35" s="8">
        <v>1.5</v>
      </c>
      <c r="E35" s="8">
        <v>1.5</v>
      </c>
      <c r="F35" s="8">
        <v>2.75</v>
      </c>
      <c r="G35" s="8">
        <v>1.31</v>
      </c>
      <c r="H35" s="8">
        <v>1.7669999999999999</v>
      </c>
      <c r="I35" s="8">
        <v>1.41</v>
      </c>
      <c r="J35" s="8">
        <v>1.29</v>
      </c>
      <c r="K35" s="8">
        <v>6</v>
      </c>
      <c r="L35" s="10">
        <f>IF(D35 &gt; 1, D35*(2+2/3), RoundItUp(D35*(2+2/3),0.25))</f>
        <v>4</v>
      </c>
      <c r="M35" s="8">
        <v>2</v>
      </c>
      <c r="N35" s="8">
        <v>3</v>
      </c>
      <c r="O35" s="8">
        <v>0.17699999999999999</v>
      </c>
      <c r="P35" s="8">
        <v>2.5499999999999998</v>
      </c>
      <c r="Q35" s="8">
        <v>0.501</v>
      </c>
      <c r="R35" s="8">
        <v>150</v>
      </c>
      <c r="S35" s="8">
        <v>120</v>
      </c>
      <c r="T35" s="8">
        <v>2.25</v>
      </c>
      <c r="U35" s="2" t="b">
        <v>1</v>
      </c>
      <c r="V35" s="17">
        <f t="shared" si="0"/>
        <v>2</v>
      </c>
      <c r="W35" s="17">
        <f t="shared" si="1"/>
        <v>4</v>
      </c>
      <c r="X35" s="17">
        <f t="shared" si="2"/>
        <v>2.25</v>
      </c>
      <c r="Y35" s="17">
        <f t="shared" si="3"/>
        <v>3</v>
      </c>
    </row>
    <row r="36" spans="1:25" x14ac:dyDescent="0.25">
      <c r="A36" s="2" t="s">
        <v>36</v>
      </c>
      <c r="B36" s="2" t="s">
        <v>37</v>
      </c>
      <c r="C36" s="2" t="s">
        <v>38</v>
      </c>
      <c r="D36" s="8">
        <v>1.75</v>
      </c>
      <c r="E36" s="8">
        <v>1.75</v>
      </c>
      <c r="F36" s="8">
        <v>3.1875</v>
      </c>
      <c r="G36" s="8">
        <v>2.04</v>
      </c>
      <c r="H36" s="8">
        <v>2.4049999999999998</v>
      </c>
      <c r="I36" s="8">
        <v>1.9</v>
      </c>
      <c r="J36" s="8">
        <v>1.74</v>
      </c>
      <c r="K36" s="8">
        <v>5</v>
      </c>
      <c r="L36" s="10">
        <f>IF(D36 &gt; 1, D36*(2+2/3), RoundItUp(D36*(2+2/3),0.25))</f>
        <v>4.6666666666666661</v>
      </c>
      <c r="M36" s="8">
        <v>2.5</v>
      </c>
      <c r="N36" s="8">
        <v>3.375</v>
      </c>
      <c r="O36" s="8">
        <v>0.28000000000000003</v>
      </c>
      <c r="P36" s="8">
        <v>3.99</v>
      </c>
      <c r="Q36" s="8">
        <v>0.68100000000000005</v>
      </c>
      <c r="R36" s="8">
        <v>150</v>
      </c>
      <c r="S36" s="8">
        <v>120</v>
      </c>
      <c r="T36" s="8">
        <v>2.5</v>
      </c>
      <c r="U36" s="2" t="b">
        <v>0</v>
      </c>
      <c r="V36" s="17">
        <f t="shared" si="0"/>
        <v>2.5</v>
      </c>
      <c r="W36" s="17">
        <f t="shared" si="1"/>
        <v>4.75</v>
      </c>
      <c r="X36" s="17">
        <f t="shared" si="2"/>
        <v>2.75</v>
      </c>
      <c r="Y36" s="17">
        <f t="shared" si="3"/>
        <v>4</v>
      </c>
    </row>
    <row r="37" spans="1:25" x14ac:dyDescent="0.25">
      <c r="A37" s="2" t="s">
        <v>36</v>
      </c>
      <c r="B37" s="2" t="s">
        <v>37</v>
      </c>
      <c r="C37" s="2" t="s">
        <v>38</v>
      </c>
      <c r="D37" s="8">
        <v>2</v>
      </c>
      <c r="E37" s="8">
        <v>2</v>
      </c>
      <c r="F37" s="8">
        <v>3.625</v>
      </c>
      <c r="G37" s="8">
        <v>2.99</v>
      </c>
      <c r="H37" s="8">
        <v>3.1419999999999999</v>
      </c>
      <c r="I37" s="8">
        <v>2.5</v>
      </c>
      <c r="J37" s="8">
        <v>2.2999999999999998</v>
      </c>
      <c r="K37" s="8">
        <v>4.5</v>
      </c>
      <c r="L37" s="10">
        <f>IF(D37 &gt; 1, D37*(2+2/3), RoundItUp(D37*(2+2/3),0.25))</f>
        <v>5.333333333333333</v>
      </c>
      <c r="M37" s="8">
        <v>2.75</v>
      </c>
      <c r="N37" s="8">
        <v>3.75</v>
      </c>
      <c r="O37" s="8">
        <v>0.28000000000000003</v>
      </c>
      <c r="P37" s="8">
        <v>5.79</v>
      </c>
      <c r="Q37" s="8">
        <v>0.89</v>
      </c>
      <c r="R37" s="8">
        <v>150</v>
      </c>
      <c r="S37" s="8">
        <v>120</v>
      </c>
      <c r="T37" s="8">
        <v>2.75</v>
      </c>
      <c r="U37" s="2" t="b">
        <v>0</v>
      </c>
      <c r="V37" s="17">
        <f t="shared" si="0"/>
        <v>2.75</v>
      </c>
      <c r="W37" s="17">
        <f t="shared" si="1"/>
        <v>5.5</v>
      </c>
      <c r="X37" s="17">
        <f t="shared" si="2"/>
        <v>3</v>
      </c>
      <c r="Y37" s="17">
        <f t="shared" si="3"/>
        <v>4</v>
      </c>
    </row>
    <row r="38" spans="1:25" x14ac:dyDescent="0.25">
      <c r="A38" s="2" t="s">
        <v>36</v>
      </c>
      <c r="B38" s="2" t="s">
        <v>37</v>
      </c>
      <c r="C38" s="2" t="s">
        <v>38</v>
      </c>
      <c r="D38" s="8">
        <v>2.25</v>
      </c>
      <c r="E38" s="8">
        <v>2.25</v>
      </c>
      <c r="F38" s="8">
        <v>4.0625</v>
      </c>
      <c r="G38" s="8">
        <v>4.1900000000000004</v>
      </c>
      <c r="H38" s="8">
        <v>3.976</v>
      </c>
      <c r="I38" s="8">
        <v>3.25</v>
      </c>
      <c r="J38" s="8">
        <v>3.02</v>
      </c>
      <c r="K38" s="8">
        <v>4.5</v>
      </c>
      <c r="L38" s="10">
        <f>IF(D38 &gt; 1, D38*(2+2/3), RoundItUp(D38*(2+2/3),0.25))</f>
        <v>6</v>
      </c>
      <c r="M38" s="8">
        <v>3</v>
      </c>
      <c r="N38" s="8">
        <v>4</v>
      </c>
      <c r="O38" s="8">
        <v>0.34</v>
      </c>
      <c r="P38" s="8">
        <v>8.16</v>
      </c>
      <c r="Q38" s="8">
        <v>1.1259999999999999</v>
      </c>
      <c r="R38" s="8">
        <v>150</v>
      </c>
      <c r="S38" s="8">
        <v>120</v>
      </c>
      <c r="T38" s="8">
        <v>3</v>
      </c>
      <c r="U38" s="2" t="b">
        <v>0</v>
      </c>
      <c r="V38" s="17">
        <f t="shared" si="0"/>
        <v>3</v>
      </c>
      <c r="W38" s="17">
        <f t="shared" si="1"/>
        <v>6</v>
      </c>
      <c r="X38" s="17">
        <f t="shared" si="2"/>
        <v>3.25</v>
      </c>
      <c r="Y38" s="17">
        <f t="shared" si="3"/>
        <v>4</v>
      </c>
    </row>
    <row r="39" spans="1:25" x14ac:dyDescent="0.25">
      <c r="A39" s="2" t="s">
        <v>36</v>
      </c>
      <c r="B39" s="2" t="s">
        <v>37</v>
      </c>
      <c r="C39" s="2" t="s">
        <v>38</v>
      </c>
      <c r="D39" s="8">
        <v>2.5</v>
      </c>
      <c r="E39" s="8">
        <v>2.5</v>
      </c>
      <c r="F39" s="8">
        <v>4.5</v>
      </c>
      <c r="G39" s="8">
        <v>5.64</v>
      </c>
      <c r="H39" s="8">
        <v>4.9089999999999998</v>
      </c>
      <c r="I39" s="8">
        <v>4</v>
      </c>
      <c r="J39" s="8">
        <v>3.72</v>
      </c>
      <c r="K39" s="8">
        <v>4</v>
      </c>
      <c r="L39" s="10">
        <f>IF(D39 &gt; 1, D39*(2+2/3), RoundItUp(D39*(2+2/3),0.25))</f>
        <v>6.6666666666666661</v>
      </c>
      <c r="M39" s="8">
        <v>3.5</v>
      </c>
      <c r="N39" s="8">
        <v>4.5</v>
      </c>
      <c r="O39" s="8">
        <v>0.34</v>
      </c>
      <c r="P39" s="8">
        <v>11.05</v>
      </c>
      <c r="Q39" s="8">
        <v>1.391</v>
      </c>
      <c r="R39" s="8">
        <v>150</v>
      </c>
      <c r="S39" s="8">
        <v>120</v>
      </c>
      <c r="T39" s="8">
        <v>3.25</v>
      </c>
      <c r="U39" s="2" t="b">
        <v>0</v>
      </c>
      <c r="V39" s="17">
        <f t="shared" si="0"/>
        <v>3.5</v>
      </c>
      <c r="W39" s="17">
        <f t="shared" si="1"/>
        <v>6.75</v>
      </c>
      <c r="X39" s="17">
        <f t="shared" si="2"/>
        <v>3.5</v>
      </c>
      <c r="Y39" s="17">
        <f t="shared" si="3"/>
        <v>5</v>
      </c>
    </row>
    <row r="40" spans="1:25" x14ac:dyDescent="0.25">
      <c r="A40" s="2" t="s">
        <v>31</v>
      </c>
      <c r="B40" s="2" t="s">
        <v>32</v>
      </c>
      <c r="C40" s="2" t="s">
        <v>33</v>
      </c>
      <c r="D40" s="8">
        <v>1.25</v>
      </c>
      <c r="E40" s="8">
        <v>1.25</v>
      </c>
      <c r="F40" s="8">
        <v>2.3125</v>
      </c>
      <c r="G40" s="8">
        <v>0.78600000000000003</v>
      </c>
      <c r="H40" s="8">
        <v>1.2270000000000001</v>
      </c>
      <c r="I40" s="8">
        <v>0.96899999999999997</v>
      </c>
      <c r="J40" s="8">
        <v>0.89</v>
      </c>
      <c r="K40" s="8">
        <v>7</v>
      </c>
      <c r="L40" s="10">
        <f>IF(D40 &gt; 1, D40*(2+2/3), RoundItUp(D40*(2+2/3),0.25))</f>
        <v>3.333333333333333</v>
      </c>
      <c r="M40" s="8">
        <v>1.75</v>
      </c>
      <c r="N40" s="8">
        <v>2.5</v>
      </c>
      <c r="O40" s="8">
        <v>0.17699999999999999</v>
      </c>
      <c r="P40" s="8">
        <v>1.37</v>
      </c>
      <c r="Q40" s="8">
        <v>0.34399999999999997</v>
      </c>
      <c r="R40" s="8">
        <v>105</v>
      </c>
      <c r="S40" s="8">
        <v>81</v>
      </c>
      <c r="T40" s="8">
        <v>2</v>
      </c>
      <c r="U40" s="2" t="b">
        <v>0</v>
      </c>
      <c r="V40" s="17">
        <f t="shared" si="0"/>
        <v>1.75</v>
      </c>
      <c r="W40" s="17">
        <f t="shared" si="1"/>
        <v>3.5</v>
      </c>
      <c r="X40" s="17">
        <f t="shared" si="2"/>
        <v>2</v>
      </c>
      <c r="Y40" s="17">
        <f t="shared" si="3"/>
        <v>3</v>
      </c>
    </row>
    <row r="41" spans="1:25" x14ac:dyDescent="0.25">
      <c r="A41" s="2" t="s">
        <v>31</v>
      </c>
      <c r="B41" s="2" t="s">
        <v>32</v>
      </c>
      <c r="C41" s="2" t="s">
        <v>33</v>
      </c>
      <c r="D41" s="8">
        <v>1.5</v>
      </c>
      <c r="E41" s="8">
        <v>1.5</v>
      </c>
      <c r="F41" s="8">
        <v>2.75</v>
      </c>
      <c r="G41" s="8">
        <v>1.31</v>
      </c>
      <c r="H41" s="8">
        <v>1.7669999999999999</v>
      </c>
      <c r="I41" s="8">
        <v>1.41</v>
      </c>
      <c r="J41" s="8">
        <v>1.29</v>
      </c>
      <c r="K41" s="8">
        <v>6</v>
      </c>
      <c r="L41" s="10">
        <f>IF(D41 &gt; 1, D41*(2+2/3), RoundItUp(D41*(2+2/3),0.25))</f>
        <v>4</v>
      </c>
      <c r="M41" s="8">
        <v>2</v>
      </c>
      <c r="N41" s="8">
        <v>3</v>
      </c>
      <c r="O41" s="8">
        <v>0.17699999999999999</v>
      </c>
      <c r="P41" s="8">
        <v>2.5499999999999998</v>
      </c>
      <c r="Q41" s="8">
        <v>0.501</v>
      </c>
      <c r="R41" s="8">
        <v>105</v>
      </c>
      <c r="S41" s="8">
        <v>81</v>
      </c>
      <c r="T41" s="8">
        <v>2.25</v>
      </c>
      <c r="U41" s="2" t="b">
        <v>0</v>
      </c>
      <c r="V41" s="17">
        <f t="shared" si="0"/>
        <v>2</v>
      </c>
      <c r="W41" s="17">
        <f t="shared" si="1"/>
        <v>4</v>
      </c>
      <c r="X41" s="17">
        <f t="shared" si="2"/>
        <v>2.25</v>
      </c>
      <c r="Y41" s="17">
        <f t="shared" si="3"/>
        <v>3</v>
      </c>
    </row>
    <row r="42" spans="1:25" x14ac:dyDescent="0.25">
      <c r="A42" s="2" t="s">
        <v>34</v>
      </c>
      <c r="B42" s="2" t="s">
        <v>35</v>
      </c>
      <c r="C42" s="2" t="s">
        <v>33</v>
      </c>
      <c r="D42" s="8">
        <v>0.625</v>
      </c>
      <c r="E42" s="8">
        <v>0.625</v>
      </c>
      <c r="F42" s="8">
        <v>1.25</v>
      </c>
      <c r="G42" s="8">
        <v>0.11899999999999999</v>
      </c>
      <c r="H42" s="8">
        <v>0.307</v>
      </c>
      <c r="I42" s="8">
        <v>0.22600000000000001</v>
      </c>
      <c r="J42" s="8">
        <v>0.20200000000000001</v>
      </c>
      <c r="K42" s="8">
        <v>11</v>
      </c>
      <c r="L42" s="10">
        <f>IF(D42 &gt; 1, D42*(2+2/3), RoundItUp(D42*(2+2/3),0.25))</f>
        <v>1.75</v>
      </c>
      <c r="M42" s="8">
        <v>1.5</v>
      </c>
      <c r="N42" s="8">
        <v>1.3125</v>
      </c>
      <c r="O42" s="8">
        <v>0.17699999999999999</v>
      </c>
      <c r="P42" s="8">
        <v>0.2</v>
      </c>
      <c r="Q42" s="8">
        <v>8.6999999999999994E-2</v>
      </c>
      <c r="R42" s="8">
        <v>120</v>
      </c>
      <c r="S42" s="8">
        <v>92</v>
      </c>
      <c r="T42" s="8">
        <v>1.375</v>
      </c>
      <c r="U42" s="2" t="b">
        <v>0</v>
      </c>
      <c r="V42" s="17">
        <f t="shared" si="0"/>
        <v>1.25</v>
      </c>
      <c r="W42" s="17">
        <f t="shared" si="1"/>
        <v>2</v>
      </c>
      <c r="X42" s="17">
        <f t="shared" si="2"/>
        <v>1.25</v>
      </c>
      <c r="Y42" s="17">
        <f t="shared" si="3"/>
        <v>3</v>
      </c>
    </row>
    <row r="43" spans="1:25" x14ac:dyDescent="0.25">
      <c r="A43" s="2" t="s">
        <v>34</v>
      </c>
      <c r="B43" s="2" t="s">
        <v>35</v>
      </c>
      <c r="C43" s="2" t="s">
        <v>33</v>
      </c>
      <c r="D43" s="8">
        <v>0.75</v>
      </c>
      <c r="E43" s="8">
        <v>0.75</v>
      </c>
      <c r="F43" s="8">
        <v>1.4375</v>
      </c>
      <c r="G43" s="8">
        <v>0.193</v>
      </c>
      <c r="H43" s="8">
        <v>0.442</v>
      </c>
      <c r="I43" s="8">
        <v>0.33400000000000002</v>
      </c>
      <c r="J43" s="8">
        <v>0.30199999999999999</v>
      </c>
      <c r="K43" s="8">
        <v>10</v>
      </c>
      <c r="L43" s="10">
        <f>IF(D43 &gt; 1, D43*(2+2/3), RoundItUp(D43*(2+2/3),0.25))</f>
        <v>2</v>
      </c>
      <c r="M43" s="8">
        <v>1.5</v>
      </c>
      <c r="N43" s="8">
        <v>1.468</v>
      </c>
      <c r="O43" s="8">
        <v>0.17699999999999999</v>
      </c>
      <c r="P43" s="8">
        <v>0.32100000000000001</v>
      </c>
      <c r="Q43" s="8">
        <v>0.125</v>
      </c>
      <c r="R43" s="8">
        <v>120</v>
      </c>
      <c r="S43" s="8">
        <v>92</v>
      </c>
      <c r="T43" s="8">
        <v>1.5</v>
      </c>
      <c r="U43" s="2" t="b">
        <v>0</v>
      </c>
      <c r="V43" s="17">
        <f t="shared" si="0"/>
        <v>1.5</v>
      </c>
      <c r="W43" s="17">
        <f t="shared" si="1"/>
        <v>3</v>
      </c>
      <c r="X43" s="17">
        <f t="shared" si="2"/>
        <v>1.375</v>
      </c>
      <c r="Y43" s="17">
        <f t="shared" si="3"/>
        <v>3</v>
      </c>
    </row>
    <row r="44" spans="1:25" x14ac:dyDescent="0.25">
      <c r="A44" s="2" t="s">
        <v>34</v>
      </c>
      <c r="B44" s="2" t="s">
        <v>35</v>
      </c>
      <c r="C44" s="2" t="s">
        <v>33</v>
      </c>
      <c r="D44" s="8">
        <v>1</v>
      </c>
      <c r="E44" s="8">
        <v>1</v>
      </c>
      <c r="F44" s="8">
        <v>1.875</v>
      </c>
      <c r="G44" s="8">
        <v>0.42499999999999999</v>
      </c>
      <c r="H44" s="8">
        <v>0.78500000000000003</v>
      </c>
      <c r="I44" s="8">
        <v>0.60599999999999998</v>
      </c>
      <c r="J44" s="8">
        <v>0.55100000000000005</v>
      </c>
      <c r="K44" s="8">
        <v>8</v>
      </c>
      <c r="L44" s="10">
        <f>IF(D44 &gt; 1, D44*(2+2/3), RoundItUp(D44*(2+2/3),0.25))</f>
        <v>2.75</v>
      </c>
      <c r="M44" s="8">
        <v>1.5</v>
      </c>
      <c r="N44" s="8">
        <v>2</v>
      </c>
      <c r="O44" s="8">
        <v>0.17699999999999999</v>
      </c>
      <c r="P44" s="8">
        <v>0.72</v>
      </c>
      <c r="Q44" s="8">
        <v>0.221</v>
      </c>
      <c r="R44" s="8">
        <v>120</v>
      </c>
      <c r="S44" s="8">
        <v>92</v>
      </c>
      <c r="T44" s="8">
        <v>1.75</v>
      </c>
      <c r="U44" s="2" t="b">
        <v>0</v>
      </c>
      <c r="V44" s="17">
        <f t="shared" si="0"/>
        <v>1.5</v>
      </c>
      <c r="W44" s="17">
        <f t="shared" si="1"/>
        <v>3</v>
      </c>
      <c r="X44" s="17">
        <f t="shared" si="2"/>
        <v>1.75</v>
      </c>
      <c r="Y44" s="17">
        <f t="shared" si="3"/>
        <v>3</v>
      </c>
    </row>
    <row r="45" spans="1:25" x14ac:dyDescent="0.25">
      <c r="A45" s="2" t="s">
        <v>41</v>
      </c>
      <c r="B45" s="2" t="s">
        <v>41</v>
      </c>
      <c r="C45" s="2" t="s">
        <v>42</v>
      </c>
      <c r="D45" s="8">
        <v>0.625</v>
      </c>
      <c r="E45" s="8">
        <v>0.625</v>
      </c>
      <c r="F45" s="8">
        <v>1.25</v>
      </c>
      <c r="G45" s="8">
        <v>0.11899999999999999</v>
      </c>
      <c r="H45" s="8">
        <v>0.307</v>
      </c>
      <c r="I45" s="8">
        <v>0.22600000000000001</v>
      </c>
      <c r="J45" s="8">
        <v>0.20200000000000001</v>
      </c>
      <c r="K45" s="8">
        <v>11</v>
      </c>
      <c r="L45" s="10">
        <f>IF(D45 &gt; 1, D45*(2+2/3), RoundItUp(D45*(2+2/3),0.25))</f>
        <v>1.75</v>
      </c>
      <c r="M45" s="8">
        <v>1.5</v>
      </c>
      <c r="N45" s="8">
        <v>1.3125</v>
      </c>
      <c r="O45" s="8">
        <v>0.17699999999999999</v>
      </c>
      <c r="P45" s="8">
        <v>0.2</v>
      </c>
      <c r="Q45" s="8">
        <v>8.6999999999999994E-2</v>
      </c>
      <c r="R45" s="8">
        <v>150</v>
      </c>
      <c r="S45" s="8">
        <v>120</v>
      </c>
      <c r="T45" s="8">
        <v>1.375</v>
      </c>
      <c r="U45" s="2" t="b">
        <v>0</v>
      </c>
      <c r="V45" s="17">
        <f t="shared" si="0"/>
        <v>1.25</v>
      </c>
      <c r="W45" s="17">
        <f t="shared" si="1"/>
        <v>2</v>
      </c>
      <c r="X45" s="17">
        <f t="shared" si="2"/>
        <v>1.25</v>
      </c>
      <c r="Y45" s="17">
        <f t="shared" si="3"/>
        <v>3</v>
      </c>
    </row>
    <row r="46" spans="1:25" x14ac:dyDescent="0.25">
      <c r="A46" s="2" t="s">
        <v>41</v>
      </c>
      <c r="B46" s="2" t="s">
        <v>41</v>
      </c>
      <c r="C46" s="2" t="s">
        <v>42</v>
      </c>
      <c r="D46" s="8">
        <v>0.75</v>
      </c>
      <c r="E46" s="8">
        <v>0.75</v>
      </c>
      <c r="F46" s="8">
        <v>1.4375</v>
      </c>
      <c r="G46" s="8">
        <v>0.193</v>
      </c>
      <c r="H46" s="8">
        <v>0.442</v>
      </c>
      <c r="I46" s="8">
        <v>0.33400000000000002</v>
      </c>
      <c r="J46" s="8">
        <v>0.30199999999999999</v>
      </c>
      <c r="K46" s="8">
        <v>10</v>
      </c>
      <c r="L46" s="10">
        <f>IF(D46 &gt; 1, D46*(2+2/3), RoundItUp(D46*(2+2/3),0.25))</f>
        <v>2</v>
      </c>
      <c r="M46" s="8">
        <v>1.5</v>
      </c>
      <c r="N46" s="8">
        <v>1.468</v>
      </c>
      <c r="O46" s="8">
        <v>0.17699999999999999</v>
      </c>
      <c r="P46" s="8">
        <v>0.32100000000000001</v>
      </c>
      <c r="Q46" s="8">
        <v>0.125</v>
      </c>
      <c r="R46" s="8">
        <v>150</v>
      </c>
      <c r="S46" s="8">
        <v>120</v>
      </c>
      <c r="T46" s="8">
        <v>1.5</v>
      </c>
      <c r="U46" s="2" t="b">
        <v>0</v>
      </c>
      <c r="V46" s="17">
        <f t="shared" si="0"/>
        <v>1.5</v>
      </c>
      <c r="W46" s="17">
        <f t="shared" si="1"/>
        <v>3</v>
      </c>
      <c r="X46" s="17">
        <f t="shared" si="2"/>
        <v>1.375</v>
      </c>
      <c r="Y46" s="17">
        <f t="shared" si="3"/>
        <v>3</v>
      </c>
    </row>
    <row r="47" spans="1:25" x14ac:dyDescent="0.25">
      <c r="A47" s="2" t="s">
        <v>41</v>
      </c>
      <c r="B47" s="2" t="s">
        <v>41</v>
      </c>
      <c r="C47" s="2" t="s">
        <v>42</v>
      </c>
      <c r="D47" s="8">
        <v>1</v>
      </c>
      <c r="E47" s="8">
        <v>1</v>
      </c>
      <c r="F47" s="8">
        <v>1.875</v>
      </c>
      <c r="G47" s="8">
        <v>0.42499999999999999</v>
      </c>
      <c r="H47" s="8">
        <v>0.78500000000000003</v>
      </c>
      <c r="I47" s="8">
        <v>0.60599999999999998</v>
      </c>
      <c r="J47" s="8">
        <v>0.55100000000000005</v>
      </c>
      <c r="K47" s="8">
        <v>8</v>
      </c>
      <c r="L47" s="10">
        <f>IF(D47 &gt; 1, D47*(2+2/3), RoundItUp(D47*(2+2/3),0.25))</f>
        <v>2.75</v>
      </c>
      <c r="M47" s="8">
        <v>1.5</v>
      </c>
      <c r="N47" s="8">
        <v>2</v>
      </c>
      <c r="O47" s="8">
        <v>0.17699999999999999</v>
      </c>
      <c r="P47" s="8">
        <v>0.72</v>
      </c>
      <c r="Q47" s="8">
        <v>0.221</v>
      </c>
      <c r="R47" s="8">
        <v>150</v>
      </c>
      <c r="S47" s="8">
        <v>120</v>
      </c>
      <c r="T47" s="8">
        <v>1.75</v>
      </c>
      <c r="U47" s="2" t="b">
        <v>0</v>
      </c>
      <c r="V47" s="17">
        <f t="shared" si="0"/>
        <v>1.5</v>
      </c>
      <c r="W47" s="17">
        <f t="shared" si="1"/>
        <v>3</v>
      </c>
      <c r="X47" s="17">
        <f t="shared" si="2"/>
        <v>1.75</v>
      </c>
      <c r="Y47" s="17">
        <f t="shared" si="3"/>
        <v>3</v>
      </c>
    </row>
    <row r="48" spans="1:25" x14ac:dyDescent="0.25">
      <c r="A48" s="2" t="s">
        <v>41</v>
      </c>
      <c r="B48" s="2" t="s">
        <v>41</v>
      </c>
      <c r="C48" s="2" t="s">
        <v>42</v>
      </c>
      <c r="D48" s="8">
        <v>1.25</v>
      </c>
      <c r="E48" s="8">
        <v>1.25</v>
      </c>
      <c r="F48" s="8">
        <v>2.3125</v>
      </c>
      <c r="G48" s="8">
        <v>0.78600000000000003</v>
      </c>
      <c r="H48" s="8">
        <v>1.2270000000000001</v>
      </c>
      <c r="I48" s="8">
        <v>0.96899999999999997</v>
      </c>
      <c r="J48" s="8">
        <v>0.89</v>
      </c>
      <c r="K48" s="8">
        <v>7</v>
      </c>
      <c r="L48" s="10">
        <f>IF(D48 &gt; 1, D48*(2+2/3), RoundItUp(D48*(2+2/3),0.25))</f>
        <v>3.333333333333333</v>
      </c>
      <c r="M48" s="8">
        <v>1.75</v>
      </c>
      <c r="N48" s="8">
        <v>2.5</v>
      </c>
      <c r="O48" s="8">
        <v>0.17699999999999999</v>
      </c>
      <c r="P48" s="8">
        <v>1.37</v>
      </c>
      <c r="Q48" s="8">
        <v>0.34399999999999997</v>
      </c>
      <c r="R48" s="8">
        <v>150</v>
      </c>
      <c r="S48" s="8">
        <v>120</v>
      </c>
      <c r="T48" s="8">
        <v>2</v>
      </c>
      <c r="U48" s="2" t="b">
        <v>0</v>
      </c>
      <c r="V48" s="17">
        <f t="shared" si="0"/>
        <v>1.75</v>
      </c>
      <c r="W48" s="17">
        <f t="shared" si="1"/>
        <v>3.5</v>
      </c>
      <c r="X48" s="17">
        <f t="shared" si="2"/>
        <v>2</v>
      </c>
      <c r="Y48" s="17">
        <f t="shared" si="3"/>
        <v>3</v>
      </c>
    </row>
    <row r="49" spans="1:25" x14ac:dyDescent="0.25">
      <c r="A49" s="2" t="s">
        <v>41</v>
      </c>
      <c r="B49" s="2" t="s">
        <v>41</v>
      </c>
      <c r="C49" s="2" t="s">
        <v>42</v>
      </c>
      <c r="D49" s="8">
        <v>1.5</v>
      </c>
      <c r="E49" s="8">
        <v>1.5</v>
      </c>
      <c r="F49" s="8">
        <v>2.75</v>
      </c>
      <c r="G49" s="8">
        <v>1.31</v>
      </c>
      <c r="H49" s="8">
        <v>1.7669999999999999</v>
      </c>
      <c r="I49" s="8">
        <v>1.41</v>
      </c>
      <c r="J49" s="8">
        <v>1.29</v>
      </c>
      <c r="K49" s="8">
        <v>6</v>
      </c>
      <c r="L49" s="10">
        <f>IF(D49 &gt; 1, D49*(2+2/3), RoundItUp(D49*(2+2/3),0.25))</f>
        <v>4</v>
      </c>
      <c r="M49" s="8">
        <v>2</v>
      </c>
      <c r="N49" s="8">
        <v>3</v>
      </c>
      <c r="O49" s="8">
        <v>0.17699999999999999</v>
      </c>
      <c r="P49" s="8">
        <v>2.5499999999999998</v>
      </c>
      <c r="Q49" s="8">
        <v>0.501</v>
      </c>
      <c r="R49" s="8">
        <v>150</v>
      </c>
      <c r="S49" s="8">
        <v>120</v>
      </c>
      <c r="T49" s="8">
        <v>2.25</v>
      </c>
      <c r="U49" s="2" t="b">
        <v>0</v>
      </c>
      <c r="V49" s="17">
        <f t="shared" si="0"/>
        <v>2</v>
      </c>
      <c r="W49" s="17">
        <f t="shared" si="1"/>
        <v>4</v>
      </c>
      <c r="X49" s="17">
        <f t="shared" si="2"/>
        <v>2.25</v>
      </c>
      <c r="Y49" s="17">
        <f t="shared" si="3"/>
        <v>3</v>
      </c>
    </row>
  </sheetData>
  <autoFilter ref="A1:Y49" xr:uid="{00000000-0009-0000-0000-000003000000}">
    <sortState xmlns:xlrd2="http://schemas.microsoft.com/office/spreadsheetml/2017/richdata2" ref="A2:Y49">
      <sortCondition ref="B2:B49"/>
      <sortCondition ref="D2:D49"/>
    </sortState>
  </autoFilter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17"/>
  <sheetViews>
    <sheetView workbookViewId="0">
      <selection activeCell="H2" sqref="H2"/>
    </sheetView>
  </sheetViews>
  <sheetFormatPr defaultRowHeight="15" x14ac:dyDescent="0.25"/>
  <cols>
    <col min="1" max="1" width="9.7109375" bestFit="1" customWidth="1"/>
    <col min="2" max="2" width="9.85546875" bestFit="1" customWidth="1"/>
    <col min="3" max="3" width="7.7109375" bestFit="1" customWidth="1"/>
    <col min="4" max="4" width="10.5703125" bestFit="1" customWidth="1"/>
    <col min="5" max="5" width="10.28515625" bestFit="1" customWidth="1"/>
    <col min="6" max="6" width="7.140625" bestFit="1" customWidth="1"/>
    <col min="8" max="8" width="9.5703125" bestFit="1" customWidth="1"/>
    <col min="9" max="9" width="11.42578125" bestFit="1" customWidth="1"/>
    <col min="10" max="10" width="5.5703125" style="2" customWidth="1"/>
  </cols>
  <sheetData>
    <row r="1" spans="1:10" x14ac:dyDescent="0.25">
      <c r="A1" s="11" t="s">
        <v>72</v>
      </c>
      <c r="B1" s="11" t="s">
        <v>73</v>
      </c>
      <c r="C1" s="11" t="s">
        <v>74</v>
      </c>
      <c r="D1" s="11" t="s">
        <v>75</v>
      </c>
      <c r="E1" s="11" t="s">
        <v>76</v>
      </c>
      <c r="F1" s="11" t="s">
        <v>77</v>
      </c>
      <c r="G1" s="11" t="s">
        <v>78</v>
      </c>
      <c r="H1" s="11" t="s">
        <v>79</v>
      </c>
      <c r="I1" s="11" t="s">
        <v>80</v>
      </c>
      <c r="J1" s="11" t="s">
        <v>81</v>
      </c>
    </row>
    <row r="2" spans="1:10" x14ac:dyDescent="0.25">
      <c r="A2" s="12">
        <v>0.625</v>
      </c>
      <c r="B2" s="13">
        <v>1.25</v>
      </c>
      <c r="C2" s="13">
        <v>2</v>
      </c>
      <c r="D2" s="13">
        <v>0.307</v>
      </c>
      <c r="E2" s="13">
        <v>0.22600000000000001</v>
      </c>
      <c r="F2" s="13">
        <v>11</v>
      </c>
      <c r="G2" s="13">
        <v>1.2270000000000001</v>
      </c>
      <c r="H2" s="13">
        <v>1.25</v>
      </c>
      <c r="I2" s="12">
        <f>B2-A2/2</f>
        <v>0.9375</v>
      </c>
      <c r="J2" s="14">
        <v>3</v>
      </c>
    </row>
    <row r="3" spans="1:10" x14ac:dyDescent="0.25">
      <c r="A3" s="12">
        <v>0.75</v>
      </c>
      <c r="B3" s="13">
        <v>1.5</v>
      </c>
      <c r="C3" s="13">
        <v>3</v>
      </c>
      <c r="D3" s="13">
        <v>0.442</v>
      </c>
      <c r="E3" s="13">
        <v>0.33400000000000002</v>
      </c>
      <c r="F3" s="13">
        <v>10</v>
      </c>
      <c r="G3" s="13">
        <v>1.4430000000000001</v>
      </c>
      <c r="H3" s="13">
        <v>1.375</v>
      </c>
      <c r="I3" s="12">
        <f t="shared" ref="I3:I15" si="0">B3-A3/2</f>
        <v>1.125</v>
      </c>
      <c r="J3" s="14">
        <v>3</v>
      </c>
    </row>
    <row r="4" spans="1:10" x14ac:dyDescent="0.25">
      <c r="A4" s="12">
        <v>0.875</v>
      </c>
      <c r="B4" s="13">
        <v>1.5</v>
      </c>
      <c r="C4" s="13">
        <v>3</v>
      </c>
      <c r="D4" s="13">
        <v>0.60099999999999998</v>
      </c>
      <c r="E4" s="13">
        <v>0.46200000000000002</v>
      </c>
      <c r="F4" s="13">
        <v>9</v>
      </c>
      <c r="G4" s="13">
        <v>1.66</v>
      </c>
      <c r="H4" s="13">
        <v>1.5</v>
      </c>
      <c r="I4" s="12">
        <f t="shared" si="0"/>
        <v>1.0625</v>
      </c>
      <c r="J4" s="14">
        <v>3</v>
      </c>
    </row>
    <row r="5" spans="1:10" x14ac:dyDescent="0.25">
      <c r="A5" s="12">
        <v>1</v>
      </c>
      <c r="B5" s="13">
        <v>1.5</v>
      </c>
      <c r="C5" s="13">
        <v>3</v>
      </c>
      <c r="D5" s="13">
        <v>0.78500000000000003</v>
      </c>
      <c r="E5" s="13">
        <v>0.60599999999999998</v>
      </c>
      <c r="F5" s="13">
        <v>8</v>
      </c>
      <c r="G5" s="13">
        <v>1.8759999999999999</v>
      </c>
      <c r="H5" s="13">
        <v>1.75</v>
      </c>
      <c r="I5" s="12">
        <f t="shared" si="0"/>
        <v>1</v>
      </c>
      <c r="J5" s="14">
        <v>3</v>
      </c>
    </row>
    <row r="6" spans="1:10" x14ac:dyDescent="0.25">
      <c r="A6" s="12">
        <v>1.125</v>
      </c>
      <c r="B6" s="13">
        <v>1.5</v>
      </c>
      <c r="C6" s="13">
        <v>3</v>
      </c>
      <c r="D6" s="13">
        <v>0.99399999999999999</v>
      </c>
      <c r="E6" s="13">
        <v>0.76300000000000001</v>
      </c>
      <c r="F6" s="13">
        <v>7</v>
      </c>
      <c r="G6" s="13">
        <v>2.093</v>
      </c>
      <c r="H6" s="13">
        <v>2</v>
      </c>
      <c r="I6" s="12">
        <f t="shared" si="0"/>
        <v>0.9375</v>
      </c>
      <c r="J6" s="14">
        <v>3</v>
      </c>
    </row>
    <row r="7" spans="1:10" x14ac:dyDescent="0.25">
      <c r="A7" s="12">
        <v>1.25</v>
      </c>
      <c r="B7" s="13">
        <v>1.75</v>
      </c>
      <c r="C7" s="13">
        <v>3.5</v>
      </c>
      <c r="D7" s="13">
        <v>1.2270000000000001</v>
      </c>
      <c r="E7" s="13">
        <v>0.96899999999999997</v>
      </c>
      <c r="F7" s="13">
        <v>7</v>
      </c>
      <c r="G7" s="13">
        <v>2.3090000000000002</v>
      </c>
      <c r="H7" s="13">
        <v>2</v>
      </c>
      <c r="I7" s="12">
        <f t="shared" si="0"/>
        <v>1.125</v>
      </c>
      <c r="J7" s="14">
        <v>3</v>
      </c>
    </row>
    <row r="8" spans="1:10" x14ac:dyDescent="0.25">
      <c r="A8" s="12">
        <v>1.375</v>
      </c>
      <c r="B8" s="13">
        <v>2</v>
      </c>
      <c r="C8" s="13">
        <v>3.75</v>
      </c>
      <c r="D8" s="13">
        <v>1.4850000000000001</v>
      </c>
      <c r="E8" s="13">
        <v>1.1599999999999999</v>
      </c>
      <c r="F8" s="13">
        <v>6</v>
      </c>
      <c r="G8" s="13">
        <v>2.5259999999999998</v>
      </c>
      <c r="H8" s="13">
        <v>2.25</v>
      </c>
      <c r="I8" s="12">
        <f t="shared" si="0"/>
        <v>1.3125</v>
      </c>
      <c r="J8" s="14">
        <v>3</v>
      </c>
    </row>
    <row r="9" spans="1:10" x14ac:dyDescent="0.25">
      <c r="A9" s="12">
        <v>1.5</v>
      </c>
      <c r="B9" s="13">
        <v>2</v>
      </c>
      <c r="C9" s="13">
        <v>4</v>
      </c>
      <c r="D9" s="13">
        <v>1.7669999999999999</v>
      </c>
      <c r="E9" s="13">
        <v>1.41</v>
      </c>
      <c r="F9" s="13">
        <v>6</v>
      </c>
      <c r="G9" s="13">
        <v>2.742</v>
      </c>
      <c r="H9" s="13">
        <v>2.25</v>
      </c>
      <c r="I9" s="12">
        <f t="shared" si="0"/>
        <v>1.25</v>
      </c>
      <c r="J9" s="14">
        <v>3</v>
      </c>
    </row>
    <row r="10" spans="1:10" x14ac:dyDescent="0.25">
      <c r="A10" s="12">
        <v>1.75</v>
      </c>
      <c r="B10" s="13">
        <v>2.5</v>
      </c>
      <c r="C10" s="13">
        <v>4.75</v>
      </c>
      <c r="D10" s="13">
        <v>2.4049999999999998</v>
      </c>
      <c r="E10" s="13">
        <v>1.9</v>
      </c>
      <c r="F10" s="13">
        <v>5</v>
      </c>
      <c r="G10" s="13">
        <v>3.1749999999999998</v>
      </c>
      <c r="H10" s="13">
        <v>99</v>
      </c>
      <c r="I10" s="12">
        <f t="shared" si="0"/>
        <v>1.625</v>
      </c>
      <c r="J10" s="14">
        <v>4</v>
      </c>
    </row>
    <row r="11" spans="1:10" x14ac:dyDescent="0.25">
      <c r="A11" s="12">
        <v>2</v>
      </c>
      <c r="B11" s="13">
        <v>2.75</v>
      </c>
      <c r="C11" s="13">
        <v>5.5</v>
      </c>
      <c r="D11" s="13">
        <v>3.1419999999999999</v>
      </c>
      <c r="E11" s="13">
        <v>2.5</v>
      </c>
      <c r="F11" s="13">
        <v>4.5</v>
      </c>
      <c r="G11" s="13">
        <v>3.6080000000000001</v>
      </c>
      <c r="H11" s="13">
        <v>99</v>
      </c>
      <c r="I11" s="12">
        <f t="shared" si="0"/>
        <v>1.75</v>
      </c>
      <c r="J11" s="14">
        <v>4</v>
      </c>
    </row>
    <row r="12" spans="1:10" x14ac:dyDescent="0.25">
      <c r="A12" s="12">
        <v>2.25</v>
      </c>
      <c r="B12" s="13">
        <v>3</v>
      </c>
      <c r="C12" s="13">
        <v>6</v>
      </c>
      <c r="D12" s="13">
        <v>3.976</v>
      </c>
      <c r="E12" s="13">
        <v>3.25</v>
      </c>
      <c r="F12" s="13">
        <v>4.5</v>
      </c>
      <c r="G12" s="13">
        <v>4.0410000000000004</v>
      </c>
      <c r="H12" s="13">
        <v>99</v>
      </c>
      <c r="I12" s="12">
        <f t="shared" si="0"/>
        <v>1.875</v>
      </c>
      <c r="J12" s="14">
        <v>4</v>
      </c>
    </row>
    <row r="13" spans="1:10" x14ac:dyDescent="0.25">
      <c r="A13" s="12">
        <v>2.5</v>
      </c>
      <c r="B13" s="13">
        <v>3.5</v>
      </c>
      <c r="C13" s="13">
        <v>6.75</v>
      </c>
      <c r="D13" s="13">
        <v>4.9089999999999998</v>
      </c>
      <c r="E13" s="13">
        <v>4</v>
      </c>
      <c r="F13" s="13">
        <v>4</v>
      </c>
      <c r="G13" s="13">
        <v>4.4740000000000002</v>
      </c>
      <c r="H13" s="13">
        <v>99</v>
      </c>
      <c r="I13" s="12">
        <f t="shared" si="0"/>
        <v>2.25</v>
      </c>
      <c r="J13" s="14">
        <v>5</v>
      </c>
    </row>
    <row r="14" spans="1:10" x14ac:dyDescent="0.25">
      <c r="A14" s="12">
        <v>2.75</v>
      </c>
      <c r="B14" s="13">
        <v>3.75</v>
      </c>
      <c r="C14" s="13">
        <v>7.5</v>
      </c>
      <c r="D14" s="13">
        <v>5.94</v>
      </c>
      <c r="E14" s="13">
        <v>4.93</v>
      </c>
      <c r="F14" s="13">
        <v>4</v>
      </c>
      <c r="G14" s="13">
        <v>4.907</v>
      </c>
      <c r="H14" s="13">
        <v>99</v>
      </c>
      <c r="I14" s="12">
        <f t="shared" si="0"/>
        <v>2.375</v>
      </c>
      <c r="J14" s="14">
        <v>5</v>
      </c>
    </row>
    <row r="15" spans="1:10" x14ac:dyDescent="0.25">
      <c r="A15" s="12">
        <v>3</v>
      </c>
      <c r="B15" s="13">
        <v>4</v>
      </c>
      <c r="C15" s="13">
        <v>8</v>
      </c>
      <c r="D15" s="13">
        <v>7.069</v>
      </c>
      <c r="E15" s="13">
        <v>5.97</v>
      </c>
      <c r="F15" s="13">
        <v>4</v>
      </c>
      <c r="G15" s="13">
        <v>5.34</v>
      </c>
      <c r="H15" s="13">
        <v>99</v>
      </c>
      <c r="I15" s="12">
        <f t="shared" si="0"/>
        <v>2.5</v>
      </c>
      <c r="J15" s="14">
        <v>5</v>
      </c>
    </row>
    <row r="17" spans="1:1" x14ac:dyDescent="0.25">
      <c r="A17" s="15">
        <v>42978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C4:AJ41"/>
  <sheetViews>
    <sheetView tabSelected="1" topLeftCell="D1" workbookViewId="0">
      <pane ySplit="6" topLeftCell="A13" activePane="bottomLeft" state="frozen"/>
      <selection activeCell="B1" sqref="B1"/>
      <selection pane="bottomLeft" activeCell="I37" sqref="I37"/>
    </sheetView>
  </sheetViews>
  <sheetFormatPr defaultRowHeight="15" x14ac:dyDescent="0.25"/>
  <cols>
    <col min="3" max="3" width="21.85546875" bestFit="1" customWidth="1"/>
    <col min="4" max="4" width="10.42578125" customWidth="1"/>
  </cols>
  <sheetData>
    <row r="4" spans="3:36" s="18" customFormat="1" x14ac:dyDescent="0.25">
      <c r="D4" s="20" t="s">
        <v>86</v>
      </c>
      <c r="E4" s="19">
        <v>0.5</v>
      </c>
      <c r="F4" s="19">
        <v>0.625</v>
      </c>
      <c r="G4" s="19">
        <v>0.75</v>
      </c>
      <c r="H4" s="19">
        <v>0.875</v>
      </c>
      <c r="I4" s="19">
        <v>1</v>
      </c>
      <c r="J4" s="19">
        <v>1.125</v>
      </c>
      <c r="K4" s="19">
        <v>1.25</v>
      </c>
      <c r="L4" s="19">
        <v>1.375</v>
      </c>
      <c r="M4" s="19">
        <v>1.5</v>
      </c>
      <c r="N4" s="19">
        <v>1.75</v>
      </c>
      <c r="O4" s="19">
        <v>2</v>
      </c>
      <c r="P4" s="19">
        <v>2.25</v>
      </c>
      <c r="Q4" s="19">
        <v>2.5</v>
      </c>
      <c r="R4" s="19">
        <v>2.75</v>
      </c>
      <c r="S4" s="19">
        <v>3</v>
      </c>
      <c r="V4" s="19">
        <v>0.5</v>
      </c>
      <c r="W4" s="19">
        <v>0.625</v>
      </c>
      <c r="X4" s="19">
        <v>0.75</v>
      </c>
      <c r="Y4" s="19">
        <v>0.875</v>
      </c>
      <c r="Z4" s="19">
        <v>1</v>
      </c>
      <c r="AA4" s="19">
        <v>1.125</v>
      </c>
      <c r="AB4" s="19">
        <v>1.25</v>
      </c>
      <c r="AC4" s="19">
        <v>1.375</v>
      </c>
      <c r="AD4" s="19">
        <v>1.5</v>
      </c>
      <c r="AE4" s="19">
        <v>1.75</v>
      </c>
      <c r="AF4" s="19">
        <v>2</v>
      </c>
      <c r="AG4" s="19">
        <v>2.25</v>
      </c>
      <c r="AH4" s="19">
        <v>2.5</v>
      </c>
      <c r="AI4" s="19">
        <v>2.75</v>
      </c>
      <c r="AJ4" s="19">
        <v>3</v>
      </c>
    </row>
    <row r="5" spans="3:36" x14ac:dyDescent="0.25">
      <c r="D5" s="21" t="s">
        <v>88</v>
      </c>
      <c r="E5" s="6">
        <f>2*E4</f>
        <v>1</v>
      </c>
      <c r="F5" s="6">
        <f t="shared" ref="F5" si="0">2*F4</f>
        <v>1.25</v>
      </c>
      <c r="G5" s="6">
        <v>1.375</v>
      </c>
      <c r="H5" s="6">
        <v>1.5</v>
      </c>
      <c r="I5" s="6">
        <v>1.75</v>
      </c>
      <c r="J5" s="6">
        <v>2</v>
      </c>
      <c r="K5" s="6">
        <v>2</v>
      </c>
      <c r="L5" s="6">
        <v>2.25</v>
      </c>
      <c r="M5" s="6">
        <v>2.25</v>
      </c>
      <c r="N5" s="6">
        <v>4</v>
      </c>
      <c r="O5" s="6">
        <v>4.5</v>
      </c>
      <c r="P5" s="6">
        <v>5</v>
      </c>
      <c r="Q5" s="6">
        <v>5.5</v>
      </c>
      <c r="R5" s="6">
        <v>6</v>
      </c>
      <c r="S5" s="6">
        <v>6.5</v>
      </c>
    </row>
    <row r="6" spans="3:36" x14ac:dyDescent="0.25">
      <c r="D6" s="21" t="s">
        <v>87</v>
      </c>
      <c r="E6" s="6">
        <v>0.5</v>
      </c>
      <c r="F6" s="6">
        <v>0.625</v>
      </c>
      <c r="G6" s="6">
        <v>0.75</v>
      </c>
      <c r="H6" s="6">
        <v>0.875</v>
      </c>
      <c r="I6" s="6">
        <v>1</v>
      </c>
      <c r="J6" s="6">
        <v>1.125</v>
      </c>
      <c r="K6" s="6">
        <v>1.25</v>
      </c>
      <c r="L6" s="6">
        <v>1.375</v>
      </c>
      <c r="M6" s="6">
        <v>1.5</v>
      </c>
      <c r="N6" s="6">
        <v>1.75</v>
      </c>
      <c r="O6" s="6">
        <v>2</v>
      </c>
      <c r="P6" s="6">
        <v>2.1875</v>
      </c>
      <c r="Q6" s="6">
        <v>2.4375</v>
      </c>
      <c r="R6" s="6">
        <v>2.6875</v>
      </c>
      <c r="S6" s="6">
        <v>2.9375</v>
      </c>
    </row>
    <row r="7" spans="3:36" x14ac:dyDescent="0.25">
      <c r="C7" s="25" t="s">
        <v>91</v>
      </c>
      <c r="D7" s="21" t="s">
        <v>89</v>
      </c>
      <c r="E7" s="6">
        <v>9.7000000000000003E-2</v>
      </c>
      <c r="F7" s="6">
        <v>0.122</v>
      </c>
      <c r="G7" s="6">
        <v>0.122</v>
      </c>
      <c r="H7" s="6">
        <v>0.13600000000000001</v>
      </c>
      <c r="I7" s="6">
        <v>0.13600000000000001</v>
      </c>
      <c r="J7" s="6">
        <v>0.13600000000000001</v>
      </c>
      <c r="K7" s="6">
        <v>0.13600000000000001</v>
      </c>
      <c r="L7" s="6">
        <v>0.13600000000000001</v>
      </c>
      <c r="M7" s="6">
        <v>0.13600000000000001</v>
      </c>
      <c r="N7" s="6">
        <v>0.17799999999999999</v>
      </c>
      <c r="O7" s="6">
        <v>0.17799999999999999</v>
      </c>
      <c r="P7" s="6">
        <v>0.24</v>
      </c>
      <c r="Q7" s="6">
        <v>0.24</v>
      </c>
      <c r="R7" s="6">
        <v>0.24</v>
      </c>
      <c r="S7" s="6">
        <v>0.24</v>
      </c>
    </row>
    <row r="8" spans="3:36" x14ac:dyDescent="0.25">
      <c r="C8" s="25"/>
      <c r="D8" s="21" t="s">
        <v>90</v>
      </c>
      <c r="E8" s="6">
        <v>0.17699999999999999</v>
      </c>
      <c r="F8" s="6">
        <v>0.17699999999999999</v>
      </c>
      <c r="G8" s="6">
        <v>0.17699999999999999</v>
      </c>
      <c r="H8" s="6">
        <v>0.17699999999999999</v>
      </c>
      <c r="I8" s="6">
        <v>0.17699999999999999</v>
      </c>
      <c r="J8" s="6">
        <v>0.17699999999999999</v>
      </c>
      <c r="K8" s="6">
        <v>0.17699999999999999</v>
      </c>
      <c r="L8" s="6">
        <v>0.17699999999999999</v>
      </c>
      <c r="M8" s="6">
        <v>0.17699999999999999</v>
      </c>
      <c r="N8" s="6">
        <v>0.28000000000000003</v>
      </c>
      <c r="O8" s="6">
        <v>0.28000000000000003</v>
      </c>
      <c r="P8" s="6">
        <v>0.34</v>
      </c>
      <c r="Q8" s="6">
        <v>0.34</v>
      </c>
      <c r="R8" s="6">
        <v>0.34</v>
      </c>
      <c r="S8" s="6">
        <v>0.34</v>
      </c>
    </row>
    <row r="9" spans="3:36" x14ac:dyDescent="0.25">
      <c r="D9" s="21" t="s">
        <v>92</v>
      </c>
      <c r="E9" s="2">
        <v>1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>
        <v>1</v>
      </c>
      <c r="L9" s="2">
        <v>1</v>
      </c>
      <c r="M9" s="2">
        <v>1</v>
      </c>
      <c r="N9" s="2">
        <v>1</v>
      </c>
      <c r="O9" s="2">
        <v>1</v>
      </c>
      <c r="P9" s="2">
        <v>1</v>
      </c>
      <c r="Q9" s="2">
        <v>1</v>
      </c>
      <c r="R9" s="2">
        <v>1</v>
      </c>
      <c r="S9" s="2">
        <v>1</v>
      </c>
    </row>
    <row r="10" spans="3:36" x14ac:dyDescent="0.25">
      <c r="D10" s="21" t="s">
        <v>93</v>
      </c>
      <c r="E10" s="2">
        <v>1</v>
      </c>
      <c r="F10" s="2">
        <v>1</v>
      </c>
      <c r="G10" s="2">
        <v>2</v>
      </c>
      <c r="H10" s="2">
        <v>2</v>
      </c>
      <c r="I10" s="2">
        <v>3</v>
      </c>
      <c r="J10" s="2">
        <v>3</v>
      </c>
      <c r="K10" s="2">
        <v>3</v>
      </c>
      <c r="L10" s="2">
        <v>3</v>
      </c>
      <c r="M10" s="2">
        <v>3</v>
      </c>
      <c r="N10" s="2">
        <v>3</v>
      </c>
      <c r="O10" s="2">
        <v>3</v>
      </c>
      <c r="P10" s="2">
        <v>3</v>
      </c>
      <c r="Q10" s="2">
        <v>3</v>
      </c>
      <c r="R10" s="2">
        <v>3</v>
      </c>
      <c r="S10" s="2">
        <v>3</v>
      </c>
    </row>
    <row r="12" spans="3:36" x14ac:dyDescent="0.25">
      <c r="C12" t="s">
        <v>96</v>
      </c>
    </row>
    <row r="13" spans="3:36" x14ac:dyDescent="0.25">
      <c r="C13" s="24">
        <v>0.5</v>
      </c>
      <c r="D13" s="21" t="s">
        <v>94</v>
      </c>
      <c r="E13">
        <f>2*$C13+E$10*E$7</f>
        <v>1.097</v>
      </c>
      <c r="F13">
        <f t="shared" ref="F13:S13" si="1">2*$C13+F$10*F$7</f>
        <v>1.1219999999999999</v>
      </c>
      <c r="G13">
        <f t="shared" si="1"/>
        <v>1.244</v>
      </c>
      <c r="H13">
        <f t="shared" si="1"/>
        <v>1.272</v>
      </c>
      <c r="I13">
        <f t="shared" si="1"/>
        <v>1.4079999999999999</v>
      </c>
      <c r="J13">
        <f t="shared" si="1"/>
        <v>1.4079999999999999</v>
      </c>
      <c r="K13">
        <f t="shared" si="1"/>
        <v>1.4079999999999999</v>
      </c>
      <c r="L13">
        <f t="shared" si="1"/>
        <v>1.4079999999999999</v>
      </c>
      <c r="M13">
        <f t="shared" si="1"/>
        <v>1.4079999999999999</v>
      </c>
      <c r="N13">
        <f t="shared" si="1"/>
        <v>1.534</v>
      </c>
      <c r="O13">
        <f t="shared" si="1"/>
        <v>1.534</v>
      </c>
      <c r="P13">
        <f t="shared" si="1"/>
        <v>1.72</v>
      </c>
      <c r="Q13">
        <f t="shared" si="1"/>
        <v>1.72</v>
      </c>
      <c r="R13">
        <f t="shared" si="1"/>
        <v>1.72</v>
      </c>
      <c r="S13">
        <f t="shared" si="1"/>
        <v>1.72</v>
      </c>
    </row>
    <row r="14" spans="3:36" x14ac:dyDescent="0.25">
      <c r="C14" s="24"/>
      <c r="D14" s="21" t="s">
        <v>95</v>
      </c>
      <c r="E14" s="22">
        <f t="shared" ref="E14" si="2">BoltLength(E$4,E$6,E13)</f>
        <v>2</v>
      </c>
      <c r="F14" s="22">
        <f t="shared" ref="F14" si="3">BoltLength(F$4,F$6,F13)</f>
        <v>2.25</v>
      </c>
      <c r="G14" s="22">
        <f t="shared" ref="G14" si="4">BoltLength(G$4,G$6,G13)</f>
        <v>2.5</v>
      </c>
      <c r="H14" s="22">
        <f t="shared" ref="H14" si="5">BoltLength(H$4,H$6,H13)</f>
        <v>2.75</v>
      </c>
      <c r="V14">
        <v>2</v>
      </c>
      <c r="W14">
        <v>2.25</v>
      </c>
      <c r="X14">
        <v>2.5</v>
      </c>
    </row>
    <row r="15" spans="3:36" x14ac:dyDescent="0.25">
      <c r="E15" s="23">
        <f>E14-V14</f>
        <v>0</v>
      </c>
      <c r="F15" s="23">
        <f t="shared" ref="F15" si="6">F14-W14</f>
        <v>0</v>
      </c>
      <c r="G15" s="23">
        <f t="shared" ref="G15" si="7">G14-X14</f>
        <v>0</v>
      </c>
      <c r="H15" s="23">
        <f t="shared" ref="H15" si="8">H14-Y14</f>
        <v>2.75</v>
      </c>
    </row>
    <row r="16" spans="3:36" x14ac:dyDescent="0.25">
      <c r="C16" s="24">
        <v>0.625</v>
      </c>
      <c r="D16" s="21" t="s">
        <v>94</v>
      </c>
      <c r="E16">
        <f>2*$C16+E$10*E$7</f>
        <v>1.347</v>
      </c>
      <c r="F16">
        <f>2*$C16+F$10*F$7</f>
        <v>1.3719999999999999</v>
      </c>
      <c r="G16">
        <f t="shared" ref="G16:M16" si="9">2*$C16+G$10*G$7</f>
        <v>1.494</v>
      </c>
      <c r="H16">
        <f t="shared" si="9"/>
        <v>1.522</v>
      </c>
      <c r="I16">
        <f t="shared" si="9"/>
        <v>1.6579999999999999</v>
      </c>
      <c r="J16">
        <f t="shared" si="9"/>
        <v>1.6579999999999999</v>
      </c>
      <c r="K16">
        <f t="shared" si="9"/>
        <v>1.6579999999999999</v>
      </c>
      <c r="L16">
        <f t="shared" si="9"/>
        <v>1.6579999999999999</v>
      </c>
      <c r="M16">
        <f t="shared" si="9"/>
        <v>1.6579999999999999</v>
      </c>
    </row>
    <row r="17" spans="3:36" x14ac:dyDescent="0.25">
      <c r="C17" s="24"/>
      <c r="D17" s="21" t="s">
        <v>95</v>
      </c>
      <c r="E17" s="22">
        <f t="shared" ref="E17" si="10">BoltLength(E$4,E$6,E16)</f>
        <v>2.25</v>
      </c>
      <c r="F17" s="22">
        <f t="shared" ref="F17" si="11">BoltLength(F$4,F$6,F16)</f>
        <v>2.5</v>
      </c>
      <c r="G17" s="22">
        <f t="shared" ref="G17" si="12">BoltLength(G$4,G$6,G16)</f>
        <v>2.75</v>
      </c>
      <c r="H17" s="22">
        <f t="shared" ref="H17" si="13">BoltLength(H$4,H$6,H16)</f>
        <v>3</v>
      </c>
      <c r="I17" s="22">
        <f t="shared" ref="I17" si="14">BoltLength(I$4,I$6,I16)</f>
        <v>3.5</v>
      </c>
      <c r="J17" s="22">
        <f t="shared" ref="J17" si="15">BoltLength(J$4,J$6,J16)</f>
        <v>3.5</v>
      </c>
      <c r="K17" s="22">
        <f t="shared" ref="K17" si="16">BoltLength(K$4,K$6,K16)</f>
        <v>3.75</v>
      </c>
      <c r="L17" s="22">
        <f t="shared" ref="L17" si="17">BoltLength(L$4,L$6,L16)</f>
        <v>4</v>
      </c>
      <c r="M17" s="22">
        <f t="shared" ref="M17" si="18">BoltLength(M$4,M$6,M16)</f>
        <v>4</v>
      </c>
      <c r="V17">
        <v>2.25</v>
      </c>
      <c r="W17">
        <v>2.5</v>
      </c>
      <c r="X17">
        <v>2.75</v>
      </c>
      <c r="Y17">
        <v>3</v>
      </c>
      <c r="Z17">
        <v>3.25</v>
      </c>
      <c r="AA17">
        <v>3.5</v>
      </c>
      <c r="AB17">
        <v>3.5</v>
      </c>
      <c r="AC17">
        <v>3.75</v>
      </c>
      <c r="AD17">
        <v>3.75</v>
      </c>
    </row>
    <row r="18" spans="3:36" x14ac:dyDescent="0.25">
      <c r="E18" s="23">
        <f>E17-V17</f>
        <v>0</v>
      </c>
      <c r="F18" s="23">
        <f t="shared" ref="F18" si="19">F17-W17</f>
        <v>0</v>
      </c>
      <c r="G18" s="23">
        <f t="shared" ref="G18" si="20">G17-X17</f>
        <v>0</v>
      </c>
      <c r="H18" s="23">
        <f t="shared" ref="H18" si="21">H17-Y17</f>
        <v>0</v>
      </c>
      <c r="I18" s="23">
        <f t="shared" ref="I18" si="22">I17-Z17</f>
        <v>0.25</v>
      </c>
      <c r="J18" s="23">
        <f t="shared" ref="J18" si="23">J17-AA17</f>
        <v>0</v>
      </c>
      <c r="K18" s="23">
        <f t="shared" ref="K18" si="24">K17-AB17</f>
        <v>0.25</v>
      </c>
      <c r="L18" s="23">
        <f t="shared" ref="L18" si="25">L17-AC17</f>
        <v>0.25</v>
      </c>
      <c r="M18" s="23">
        <f t="shared" ref="M18" si="26">M17-AD17</f>
        <v>0.25</v>
      </c>
    </row>
    <row r="19" spans="3:36" x14ac:dyDescent="0.25">
      <c r="C19" s="24">
        <v>0.75</v>
      </c>
      <c r="D19" s="21" t="s">
        <v>94</v>
      </c>
      <c r="E19">
        <f>2*$C19+E$10*E$7</f>
        <v>1.597</v>
      </c>
      <c r="F19">
        <f>2*$C19+F$10*F$7</f>
        <v>1.6219999999999999</v>
      </c>
      <c r="G19">
        <f t="shared" ref="G19:M19" si="27">2*$C19+G$10*G$7</f>
        <v>1.744</v>
      </c>
      <c r="H19">
        <f t="shared" si="27"/>
        <v>1.772</v>
      </c>
      <c r="I19">
        <f t="shared" si="27"/>
        <v>1.9079999999999999</v>
      </c>
      <c r="J19">
        <f t="shared" si="27"/>
        <v>1.9079999999999999</v>
      </c>
      <c r="K19">
        <f t="shared" si="27"/>
        <v>1.9079999999999999</v>
      </c>
      <c r="L19">
        <f t="shared" si="27"/>
        <v>1.9079999999999999</v>
      </c>
      <c r="M19">
        <f t="shared" si="27"/>
        <v>1.9079999999999999</v>
      </c>
    </row>
    <row r="20" spans="3:36" x14ac:dyDescent="0.25">
      <c r="C20" s="24"/>
      <c r="D20" s="21" t="s">
        <v>95</v>
      </c>
      <c r="E20" s="22">
        <f t="shared" ref="E20" si="28">BoltLength(E$4,E$6,E19)</f>
        <v>2.5</v>
      </c>
      <c r="F20" s="22">
        <f t="shared" ref="F20" si="29">BoltLength(F$4,F$6,F19)</f>
        <v>2.75</v>
      </c>
      <c r="G20" s="22">
        <f t="shared" ref="G20" si="30">BoltLength(G$4,G$6,G19)</f>
        <v>3</v>
      </c>
      <c r="H20" s="22">
        <f t="shared" ref="H20" si="31">BoltLength(H$4,H$6,H19)</f>
        <v>3.25</v>
      </c>
      <c r="I20" s="22">
        <f t="shared" ref="I20" si="32">BoltLength(I$4,I$6,I19)</f>
        <v>3.75</v>
      </c>
      <c r="J20" s="22">
        <f t="shared" ref="J20" si="33">BoltLength(J$4,J$6,J19)</f>
        <v>3.75</v>
      </c>
      <c r="K20" s="22">
        <f t="shared" ref="K20" si="34">BoltLength(K$4,K$6,K19)</f>
        <v>4</v>
      </c>
      <c r="L20" s="22">
        <f t="shared" ref="L20" si="35">BoltLength(L$4,L$6,L19)</f>
        <v>4.25</v>
      </c>
      <c r="M20" s="22">
        <f t="shared" ref="M20" si="36">BoltLength(M$4,M$6,M19)</f>
        <v>4.25</v>
      </c>
      <c r="V20">
        <v>2.5</v>
      </c>
      <c r="W20">
        <v>2.75</v>
      </c>
      <c r="X20">
        <v>3</v>
      </c>
      <c r="Y20">
        <v>3.25</v>
      </c>
      <c r="Z20">
        <v>3.5</v>
      </c>
      <c r="AA20">
        <v>3.75</v>
      </c>
      <c r="AB20">
        <v>3.75</v>
      </c>
      <c r="AC20">
        <v>4</v>
      </c>
      <c r="AD20">
        <v>4</v>
      </c>
    </row>
    <row r="21" spans="3:36" x14ac:dyDescent="0.25">
      <c r="E21" s="23">
        <f>E20-V20</f>
        <v>0</v>
      </c>
      <c r="F21" s="23">
        <f t="shared" ref="F21" si="37">F20-W20</f>
        <v>0</v>
      </c>
      <c r="G21" s="23">
        <f t="shared" ref="G21" si="38">G20-X20</f>
        <v>0</v>
      </c>
      <c r="H21" s="23">
        <f t="shared" ref="H21" si="39">H20-Y20</f>
        <v>0</v>
      </c>
      <c r="I21" s="23">
        <f t="shared" ref="I21" si="40">I20-Z20</f>
        <v>0.25</v>
      </c>
      <c r="J21" s="23">
        <f t="shared" ref="J21" si="41">J20-AA20</f>
        <v>0</v>
      </c>
      <c r="K21" s="23">
        <f t="shared" ref="K21" si="42">K20-AB20</f>
        <v>0.25</v>
      </c>
      <c r="L21" s="23">
        <f t="shared" ref="L21" si="43">L20-AC20</f>
        <v>0.25</v>
      </c>
      <c r="M21" s="23">
        <f t="shared" ref="M21" si="44">M20-AD20</f>
        <v>0.25</v>
      </c>
      <c r="U21" s="21" t="s">
        <v>97</v>
      </c>
      <c r="V21" s="22">
        <f>V20-E19-E$6</f>
        <v>0.40300000000000002</v>
      </c>
      <c r="W21" s="22">
        <f t="shared" ref="W21" si="45">W20-F19-F$6</f>
        <v>0.50300000000000011</v>
      </c>
      <c r="X21" s="22">
        <f t="shared" ref="X21" si="46">X20-G19-G$6</f>
        <v>0.50600000000000001</v>
      </c>
      <c r="Y21" s="22">
        <f t="shared" ref="Y21" si="47">Y20-H19-H$6</f>
        <v>0.60299999999999998</v>
      </c>
      <c r="Z21" s="22">
        <f t="shared" ref="Z21" si="48">Z20-I19-I$6</f>
        <v>0.59200000000000008</v>
      </c>
      <c r="AA21" s="22">
        <f t="shared" ref="AA21" si="49">AA20-J19-J$6</f>
        <v>0.71700000000000008</v>
      </c>
      <c r="AB21" s="22">
        <f t="shared" ref="AB21" si="50">AB20-K19-K$6</f>
        <v>0.59200000000000008</v>
      </c>
      <c r="AC21" s="22">
        <f t="shared" ref="AC21" si="51">AC20-L19-L$6</f>
        <v>0.71700000000000008</v>
      </c>
      <c r="AD21" s="22">
        <f t="shared" ref="AD21" si="52">AD20-M19-M$6</f>
        <v>0.59200000000000008</v>
      </c>
      <c r="AE21" s="22">
        <f t="shared" ref="AE21" si="53">AE20-N19-N$6</f>
        <v>-1.75</v>
      </c>
    </row>
    <row r="22" spans="3:36" x14ac:dyDescent="0.25">
      <c r="C22" s="24">
        <v>1</v>
      </c>
      <c r="D22" s="21" t="s">
        <v>94</v>
      </c>
      <c r="E22">
        <f>2*$C22+E$10*E$7</f>
        <v>2.097</v>
      </c>
      <c r="F22">
        <f>2*$C22+F$10*F$7</f>
        <v>2.1219999999999999</v>
      </c>
      <c r="G22">
        <f t="shared" ref="G22:N22" si="54">2*$C22+G$10*G$7</f>
        <v>2.2439999999999998</v>
      </c>
      <c r="H22">
        <f t="shared" si="54"/>
        <v>2.2720000000000002</v>
      </c>
      <c r="I22">
        <f t="shared" si="54"/>
        <v>2.4079999999999999</v>
      </c>
      <c r="J22">
        <f t="shared" si="54"/>
        <v>2.4079999999999999</v>
      </c>
      <c r="K22">
        <f t="shared" si="54"/>
        <v>2.4079999999999999</v>
      </c>
      <c r="L22">
        <f t="shared" si="54"/>
        <v>2.4079999999999999</v>
      </c>
      <c r="M22">
        <f t="shared" si="54"/>
        <v>2.4079999999999999</v>
      </c>
      <c r="N22">
        <f t="shared" si="54"/>
        <v>2.5339999999999998</v>
      </c>
      <c r="U22" s="21" t="s">
        <v>99</v>
      </c>
      <c r="V22" s="22">
        <f>V21/E$6</f>
        <v>0.80600000000000005</v>
      </c>
      <c r="W22" s="22">
        <f t="shared" ref="W22" si="55">W21/F$6</f>
        <v>0.80480000000000018</v>
      </c>
      <c r="X22" s="22">
        <f t="shared" ref="X22" si="56">X21/G$6</f>
        <v>0.67466666666666664</v>
      </c>
      <c r="Y22" s="22">
        <f t="shared" ref="Y22" si="57">Y21/H$6</f>
        <v>0.68914285714285717</v>
      </c>
      <c r="Z22" s="22">
        <f t="shared" ref="Z22" si="58">Z21/I$6</f>
        <v>0.59200000000000008</v>
      </c>
      <c r="AA22" s="22">
        <f t="shared" ref="AA22" si="59">AA21/J$6</f>
        <v>0.63733333333333342</v>
      </c>
      <c r="AB22" s="22">
        <f t="shared" ref="AB22" si="60">AB21/K$6</f>
        <v>0.47360000000000008</v>
      </c>
      <c r="AC22" s="22">
        <f t="shared" ref="AC22" si="61">AC21/L$6</f>
        <v>0.5214545454545455</v>
      </c>
      <c r="AD22" s="22">
        <f t="shared" ref="AD22" si="62">AD21/M$6</f>
        <v>0.39466666666666672</v>
      </c>
      <c r="AE22" s="22">
        <f t="shared" ref="AE22" si="63">AE21/N$6</f>
        <v>-1</v>
      </c>
    </row>
    <row r="23" spans="3:36" x14ac:dyDescent="0.25">
      <c r="C23" s="24"/>
      <c r="D23" s="21" t="s">
        <v>95</v>
      </c>
      <c r="E23" s="22">
        <f t="shared" ref="E23" si="64">BoltLength(E$4,E$6,E22)</f>
        <v>3</v>
      </c>
      <c r="F23" s="22">
        <f t="shared" ref="F23" si="65">BoltLength(F$4,F$6,F22)</f>
        <v>3.25</v>
      </c>
      <c r="G23" s="22">
        <f t="shared" ref="G23" si="66">BoltLength(G$4,G$6,G22)</f>
        <v>3.5</v>
      </c>
      <c r="H23" s="22">
        <f t="shared" ref="H23" si="67">BoltLength(H$4,H$6,H22)</f>
        <v>3.75</v>
      </c>
      <c r="I23" s="22">
        <f t="shared" ref="I23" si="68">BoltLength(I$4,I$6,I22)</f>
        <v>4.25</v>
      </c>
      <c r="J23" s="22">
        <f t="shared" ref="J23" si="69">BoltLength(J$4,J$6,J22)</f>
        <v>4.25</v>
      </c>
      <c r="K23" s="22">
        <f t="shared" ref="K23" si="70">BoltLength(K$4,K$6,K22)</f>
        <v>4.5</v>
      </c>
      <c r="L23" s="22">
        <f t="shared" ref="L23" si="71">BoltLength(L$4,L$6,L22)</f>
        <v>4.75</v>
      </c>
      <c r="M23" s="22">
        <f t="shared" ref="M23" si="72">BoltLength(M$4,M$6,M22)</f>
        <v>4.75</v>
      </c>
      <c r="N23" s="22">
        <f t="shared" ref="N23" si="73">BoltLength(N$4,N$6,N22)</f>
        <v>6</v>
      </c>
      <c r="V23">
        <v>3</v>
      </c>
      <c r="W23">
        <v>3.25</v>
      </c>
      <c r="X23">
        <v>3.5</v>
      </c>
      <c r="Y23">
        <v>3.75</v>
      </c>
      <c r="Z23">
        <v>4</v>
      </c>
      <c r="AA23">
        <v>4.25</v>
      </c>
      <c r="AB23">
        <v>4.25</v>
      </c>
      <c r="AC23">
        <v>4.5</v>
      </c>
      <c r="AD23">
        <v>4.5</v>
      </c>
      <c r="AE23">
        <v>5.5</v>
      </c>
    </row>
    <row r="24" spans="3:36" x14ac:dyDescent="0.25">
      <c r="E24" s="23">
        <f>E23-V23</f>
        <v>0</v>
      </c>
      <c r="F24" s="23">
        <f t="shared" ref="F24" si="74">F23-W23</f>
        <v>0</v>
      </c>
      <c r="G24" s="23">
        <f t="shared" ref="G24" si="75">G23-X23</f>
        <v>0</v>
      </c>
      <c r="H24" s="23">
        <f t="shared" ref="H24" si="76">H23-Y23</f>
        <v>0</v>
      </c>
      <c r="I24" s="23">
        <f t="shared" ref="I24" si="77">I23-Z23</f>
        <v>0.25</v>
      </c>
      <c r="J24" s="23">
        <f t="shared" ref="J24" si="78">J23-AA23</f>
        <v>0</v>
      </c>
      <c r="K24" s="23">
        <f t="shared" ref="K24" si="79">K23-AB23</f>
        <v>0.25</v>
      </c>
      <c r="L24" s="23">
        <f t="shared" ref="L24" si="80">L23-AC23</f>
        <v>0.25</v>
      </c>
      <c r="M24" s="23">
        <f t="shared" ref="M24" si="81">M23-AD23</f>
        <v>0.25</v>
      </c>
      <c r="N24" s="23">
        <f t="shared" ref="N24" si="82">N23-AE23</f>
        <v>0.5</v>
      </c>
      <c r="U24" s="21" t="s">
        <v>97</v>
      </c>
      <c r="V24" s="22">
        <f>V23-E22-E$6</f>
        <v>0.40300000000000002</v>
      </c>
      <c r="W24" s="22">
        <f t="shared" ref="W24" si="83">W23-F22-F$6</f>
        <v>0.50300000000000011</v>
      </c>
      <c r="X24" s="22">
        <f t="shared" ref="X24" si="84">X23-G22-G$6</f>
        <v>0.50600000000000023</v>
      </c>
      <c r="Y24" s="22">
        <f t="shared" ref="Y24" si="85">Y23-H22-H$6</f>
        <v>0.60299999999999976</v>
      </c>
      <c r="Z24" s="22">
        <f t="shared" ref="Z24" si="86">Z23-I22-I$6</f>
        <v>0.59200000000000008</v>
      </c>
      <c r="AA24" s="22">
        <f t="shared" ref="AA24" si="87">AA23-J22-J$6</f>
        <v>0.71700000000000008</v>
      </c>
      <c r="AB24" s="22">
        <f t="shared" ref="AB24" si="88">AB23-K22-K$6</f>
        <v>0.59200000000000008</v>
      </c>
      <c r="AC24" s="22">
        <f t="shared" ref="AC24" si="89">AC23-L22-L$6</f>
        <v>0.71700000000000008</v>
      </c>
      <c r="AD24" s="22">
        <f t="shared" ref="AD24" si="90">AD23-M22-M$6</f>
        <v>0.59200000000000008</v>
      </c>
      <c r="AE24" s="22">
        <f t="shared" ref="AE24" si="91">AE23-N22-N$6</f>
        <v>1.2160000000000002</v>
      </c>
    </row>
    <row r="25" spans="3:36" x14ac:dyDescent="0.25">
      <c r="C25" s="24">
        <v>1.25</v>
      </c>
      <c r="D25" s="21" t="s">
        <v>94</v>
      </c>
      <c r="E25">
        <f>2*$C25+E$10*E$7</f>
        <v>2.597</v>
      </c>
      <c r="F25">
        <f>2*$C25+F$10*F$7</f>
        <v>2.6219999999999999</v>
      </c>
      <c r="G25">
        <f t="shared" ref="G25:S25" si="92">2*$C25+G$10*G$7</f>
        <v>2.7439999999999998</v>
      </c>
      <c r="H25">
        <f t="shared" si="92"/>
        <v>2.7720000000000002</v>
      </c>
      <c r="I25">
        <f t="shared" si="92"/>
        <v>2.9079999999999999</v>
      </c>
      <c r="J25">
        <f t="shared" si="92"/>
        <v>2.9079999999999999</v>
      </c>
      <c r="K25">
        <f t="shared" si="92"/>
        <v>2.9079999999999999</v>
      </c>
      <c r="L25">
        <f t="shared" si="92"/>
        <v>2.9079999999999999</v>
      </c>
      <c r="M25">
        <f t="shared" si="92"/>
        <v>2.9079999999999999</v>
      </c>
      <c r="N25">
        <f t="shared" si="92"/>
        <v>3.0339999999999998</v>
      </c>
      <c r="O25">
        <f t="shared" si="92"/>
        <v>3.0339999999999998</v>
      </c>
      <c r="P25">
        <f t="shared" si="92"/>
        <v>3.2199999999999998</v>
      </c>
      <c r="Q25">
        <f t="shared" si="92"/>
        <v>3.2199999999999998</v>
      </c>
      <c r="R25">
        <f t="shared" si="92"/>
        <v>3.2199999999999998</v>
      </c>
      <c r="S25">
        <f t="shared" si="92"/>
        <v>3.2199999999999998</v>
      </c>
      <c r="U25" s="21" t="s">
        <v>99</v>
      </c>
      <c r="V25" s="22">
        <f>V24/E$6</f>
        <v>0.80600000000000005</v>
      </c>
      <c r="W25" s="22">
        <f t="shared" ref="W25" si="93">W24/F$6</f>
        <v>0.80480000000000018</v>
      </c>
      <c r="X25" s="22">
        <f t="shared" ref="X25" si="94">X24/G$6</f>
        <v>0.67466666666666697</v>
      </c>
      <c r="Y25" s="22">
        <f t="shared" ref="Y25" si="95">Y24/H$6</f>
        <v>0.68914285714285684</v>
      </c>
      <c r="Z25" s="22">
        <f t="shared" ref="Z25" si="96">Z24/I$6</f>
        <v>0.59200000000000008</v>
      </c>
      <c r="AA25" s="22">
        <f t="shared" ref="AA25" si="97">AA24/J$6</f>
        <v>0.63733333333333342</v>
      </c>
      <c r="AB25" s="22">
        <f t="shared" ref="AB25" si="98">AB24/K$6</f>
        <v>0.47360000000000008</v>
      </c>
      <c r="AC25" s="22">
        <f t="shared" ref="AC25" si="99">AC24/L$6</f>
        <v>0.5214545454545455</v>
      </c>
      <c r="AD25" s="22">
        <f t="shared" ref="AD25" si="100">AD24/M$6</f>
        <v>0.39466666666666672</v>
      </c>
      <c r="AE25" s="22">
        <f t="shared" ref="AE25" si="101">AE24/N$6</f>
        <v>0.69485714285714295</v>
      </c>
    </row>
    <row r="26" spans="3:36" x14ac:dyDescent="0.25">
      <c r="C26" s="24"/>
      <c r="D26" s="21" t="s">
        <v>95</v>
      </c>
      <c r="E26" s="22">
        <f>BoltLength(E$4,E$6,E25)</f>
        <v>3.5</v>
      </c>
      <c r="F26" s="22">
        <f t="shared" ref="F26:O26" si="102">BoltLength(F$4,F$6,F25)</f>
        <v>3.75</v>
      </c>
      <c r="G26" s="22">
        <f t="shared" si="102"/>
        <v>4</v>
      </c>
      <c r="H26" s="22">
        <f t="shared" si="102"/>
        <v>4.25</v>
      </c>
      <c r="I26" s="22">
        <f t="shared" si="102"/>
        <v>4.75</v>
      </c>
      <c r="J26" s="22">
        <f>BoltLength(J$4,J$6,J25)</f>
        <v>4.75</v>
      </c>
      <c r="K26" s="22">
        <f>BoltLength(K$4,K$6,K25)</f>
        <v>5</v>
      </c>
      <c r="L26" s="22">
        <f t="shared" si="102"/>
        <v>5.5</v>
      </c>
      <c r="M26" s="22">
        <f>BoltLength(M$4,M$6,M25)</f>
        <v>5.5</v>
      </c>
      <c r="N26" s="22">
        <f t="shared" si="102"/>
        <v>6.5</v>
      </c>
      <c r="O26" s="22">
        <f t="shared" si="102"/>
        <v>7</v>
      </c>
      <c r="P26" s="22">
        <f>BoltLength(P$4,P$6,P25)</f>
        <v>7.5</v>
      </c>
      <c r="Q26" s="22">
        <f>BoltLength(Q$4,Q$6,Q25)</f>
        <v>7</v>
      </c>
      <c r="R26" s="22">
        <f>BoltLength(R$4,R$6,R25)</f>
        <v>7</v>
      </c>
      <c r="S26" s="22">
        <f>BoltLength(S$4,S$6,S25)</f>
        <v>7.5</v>
      </c>
      <c r="U26" s="21" t="s">
        <v>98</v>
      </c>
      <c r="V26">
        <v>3.5</v>
      </c>
      <c r="W26">
        <v>3.75</v>
      </c>
      <c r="X26">
        <v>4</v>
      </c>
      <c r="Y26">
        <v>4.25</v>
      </c>
      <c r="Z26">
        <v>4.5</v>
      </c>
      <c r="AA26">
        <v>4.75</v>
      </c>
      <c r="AB26">
        <v>4.75</v>
      </c>
      <c r="AC26">
        <v>5</v>
      </c>
      <c r="AD26">
        <v>5</v>
      </c>
      <c r="AE26">
        <v>6</v>
      </c>
      <c r="AF26">
        <v>6.5</v>
      </c>
      <c r="AG26">
        <v>7</v>
      </c>
      <c r="AH26">
        <v>7</v>
      </c>
      <c r="AI26">
        <v>7.5</v>
      </c>
      <c r="AJ26">
        <v>8</v>
      </c>
    </row>
    <row r="27" spans="3:36" x14ac:dyDescent="0.25">
      <c r="E27" s="23">
        <f>E26-V26</f>
        <v>0</v>
      </c>
      <c r="F27" s="23">
        <f t="shared" ref="F27:R27" si="103">F26-W26</f>
        <v>0</v>
      </c>
      <c r="G27" s="23">
        <f t="shared" si="103"/>
        <v>0</v>
      </c>
      <c r="H27" s="23">
        <f t="shared" si="103"/>
        <v>0</v>
      </c>
      <c r="I27" s="23">
        <f t="shared" si="103"/>
        <v>0.25</v>
      </c>
      <c r="J27" s="23">
        <f t="shared" si="103"/>
        <v>0</v>
      </c>
      <c r="K27" s="23">
        <f t="shared" si="103"/>
        <v>0.25</v>
      </c>
      <c r="L27" s="23">
        <f t="shared" si="103"/>
        <v>0.5</v>
      </c>
      <c r="M27" s="23">
        <f t="shared" si="103"/>
        <v>0.5</v>
      </c>
      <c r="N27" s="23">
        <f t="shared" si="103"/>
        <v>0.5</v>
      </c>
      <c r="O27" s="23">
        <f t="shared" si="103"/>
        <v>0.5</v>
      </c>
      <c r="P27" s="23">
        <f t="shared" si="103"/>
        <v>0.5</v>
      </c>
      <c r="Q27" s="23">
        <f t="shared" si="103"/>
        <v>0</v>
      </c>
      <c r="R27" s="23">
        <f t="shared" si="103"/>
        <v>-0.5</v>
      </c>
      <c r="S27" s="23">
        <f>S26-AJ26</f>
        <v>-0.5</v>
      </c>
      <c r="U27" s="21" t="s">
        <v>97</v>
      </c>
      <c r="V27" s="22">
        <f>V26-E25-E$6</f>
        <v>0.40300000000000002</v>
      </c>
      <c r="W27" s="22">
        <f t="shared" ref="W27:AJ27" si="104">W26-F25-F$6</f>
        <v>0.50300000000000011</v>
      </c>
      <c r="X27" s="22">
        <f t="shared" si="104"/>
        <v>0.50600000000000023</v>
      </c>
      <c r="Y27" s="22">
        <f t="shared" si="104"/>
        <v>0.60299999999999976</v>
      </c>
      <c r="Z27" s="22">
        <f t="shared" si="104"/>
        <v>0.59200000000000008</v>
      </c>
      <c r="AA27" s="22">
        <f t="shared" si="104"/>
        <v>0.71700000000000008</v>
      </c>
      <c r="AB27" s="22">
        <f t="shared" si="104"/>
        <v>0.59200000000000008</v>
      </c>
      <c r="AC27" s="22">
        <f t="shared" si="104"/>
        <v>0.71700000000000008</v>
      </c>
      <c r="AD27" s="22">
        <f t="shared" si="104"/>
        <v>0.59200000000000008</v>
      </c>
      <c r="AE27" s="22">
        <f t="shared" si="104"/>
        <v>1.2160000000000002</v>
      </c>
      <c r="AF27" s="22">
        <f t="shared" si="104"/>
        <v>1.4660000000000002</v>
      </c>
      <c r="AG27" s="22">
        <f t="shared" si="104"/>
        <v>1.5925000000000002</v>
      </c>
      <c r="AH27" s="22">
        <f t="shared" si="104"/>
        <v>1.3425000000000002</v>
      </c>
      <c r="AI27" s="22">
        <f t="shared" si="104"/>
        <v>1.5925000000000002</v>
      </c>
      <c r="AJ27" s="22">
        <f t="shared" si="104"/>
        <v>1.8425000000000002</v>
      </c>
    </row>
    <row r="28" spans="3:36" x14ac:dyDescent="0.25">
      <c r="C28" s="24">
        <v>1.5</v>
      </c>
      <c r="D28" s="21" t="s">
        <v>94</v>
      </c>
      <c r="E28">
        <f>2*$C28+E$10*E$7</f>
        <v>3.097</v>
      </c>
      <c r="F28">
        <f>2*$C28+F$10*F$7</f>
        <v>3.1219999999999999</v>
      </c>
      <c r="G28">
        <f t="shared" ref="G28:S28" si="105">2*$C28+G$10*G$7</f>
        <v>3.2439999999999998</v>
      </c>
      <c r="H28">
        <f t="shared" si="105"/>
        <v>3.2720000000000002</v>
      </c>
      <c r="I28">
        <f t="shared" si="105"/>
        <v>3.4079999999999999</v>
      </c>
      <c r="J28">
        <f t="shared" si="105"/>
        <v>3.4079999999999999</v>
      </c>
      <c r="K28">
        <f t="shared" si="105"/>
        <v>3.4079999999999999</v>
      </c>
      <c r="L28">
        <f t="shared" si="105"/>
        <v>3.4079999999999999</v>
      </c>
      <c r="M28">
        <f t="shared" si="105"/>
        <v>3.4079999999999999</v>
      </c>
      <c r="N28">
        <f t="shared" si="105"/>
        <v>3.5339999999999998</v>
      </c>
      <c r="O28">
        <f t="shared" si="105"/>
        <v>3.5339999999999998</v>
      </c>
      <c r="P28">
        <f t="shared" si="105"/>
        <v>3.7199999999999998</v>
      </c>
      <c r="Q28">
        <f t="shared" si="105"/>
        <v>3.7199999999999998</v>
      </c>
      <c r="R28">
        <f t="shared" si="105"/>
        <v>3.7199999999999998</v>
      </c>
      <c r="S28">
        <f t="shared" si="105"/>
        <v>3.7199999999999998</v>
      </c>
      <c r="U28" s="21" t="s">
        <v>99</v>
      </c>
      <c r="V28" s="22">
        <f>V27/E$6</f>
        <v>0.80600000000000005</v>
      </c>
      <c r="W28" s="22">
        <f t="shared" ref="W28:AJ28" si="106">W27/F$6</f>
        <v>0.80480000000000018</v>
      </c>
      <c r="X28" s="22">
        <f t="shared" si="106"/>
        <v>0.67466666666666697</v>
      </c>
      <c r="Y28" s="22">
        <f t="shared" si="106"/>
        <v>0.68914285714285684</v>
      </c>
      <c r="Z28" s="22">
        <f t="shared" si="106"/>
        <v>0.59200000000000008</v>
      </c>
      <c r="AA28" s="22">
        <f t="shared" si="106"/>
        <v>0.63733333333333342</v>
      </c>
      <c r="AB28" s="22">
        <f t="shared" si="106"/>
        <v>0.47360000000000008</v>
      </c>
      <c r="AC28" s="22">
        <f t="shared" si="106"/>
        <v>0.5214545454545455</v>
      </c>
      <c r="AD28" s="22">
        <f t="shared" si="106"/>
        <v>0.39466666666666672</v>
      </c>
      <c r="AE28" s="22">
        <f t="shared" si="106"/>
        <v>0.69485714285714295</v>
      </c>
      <c r="AF28" s="22">
        <f t="shared" si="106"/>
        <v>0.7330000000000001</v>
      </c>
      <c r="AG28" s="22">
        <f t="shared" si="106"/>
        <v>0.72800000000000009</v>
      </c>
      <c r="AH28" s="22">
        <f t="shared" si="106"/>
        <v>0.5507692307692309</v>
      </c>
      <c r="AI28" s="22">
        <f t="shared" si="106"/>
        <v>0.59255813953488379</v>
      </c>
      <c r="AJ28" s="22">
        <f t="shared" si="106"/>
        <v>0.6272340425531916</v>
      </c>
    </row>
    <row r="29" spans="3:36" x14ac:dyDescent="0.25">
      <c r="C29" s="24"/>
      <c r="D29" s="21" t="s">
        <v>95</v>
      </c>
      <c r="E29" s="22">
        <f>BoltLength(E$4,E$6,E28)</f>
        <v>4</v>
      </c>
      <c r="F29" s="22">
        <f t="shared" ref="F29" si="107">BoltLength(F$4,F$6,F28)</f>
        <v>4.25</v>
      </c>
      <c r="G29" s="22">
        <f t="shared" ref="G29" si="108">BoltLength(G$4,G$6,G28)</f>
        <v>4.5</v>
      </c>
      <c r="H29" s="22">
        <f t="shared" ref="H29" si="109">BoltLength(H$4,H$6,H28)</f>
        <v>4.75</v>
      </c>
      <c r="I29" s="22">
        <f t="shared" ref="I29" si="110">BoltLength(I$4,I$6,I28)</f>
        <v>5.5</v>
      </c>
      <c r="J29" s="22">
        <f>BoltLength(J$4,J$6,J28)</f>
        <v>5.5</v>
      </c>
      <c r="K29" s="22">
        <f>BoltLength(K$4,K$6,K28)</f>
        <v>5.5</v>
      </c>
      <c r="L29" s="22">
        <f t="shared" ref="L29" si="111">BoltLength(L$4,L$6,L28)</f>
        <v>6</v>
      </c>
      <c r="M29" s="22">
        <f t="shared" ref="M29" si="112">BoltLength(M$4,M$6,M28)</f>
        <v>6</v>
      </c>
      <c r="N29" s="22">
        <f t="shared" ref="N29" si="113">BoltLength(N$4,N$6,N28)</f>
        <v>7</v>
      </c>
      <c r="O29" s="22">
        <f>BoltLength(O$4,O$6,O28)</f>
        <v>7.5</v>
      </c>
      <c r="P29" s="22">
        <f t="shared" ref="P29" si="114">BoltLength(P$4,P$6,P28)</f>
        <v>8</v>
      </c>
      <c r="Q29" s="22">
        <f t="shared" ref="Q29" si="115">BoltLength(Q$4,Q$6,Q28)</f>
        <v>7.5</v>
      </c>
      <c r="R29" s="22">
        <f t="shared" ref="R29" si="116">BoltLength(R$4,R$6,R28)</f>
        <v>7.5</v>
      </c>
      <c r="S29" s="22">
        <f t="shared" ref="S29" si="117">BoltLength(S$4,S$6,S28)</f>
        <v>8</v>
      </c>
      <c r="V29">
        <v>4</v>
      </c>
      <c r="W29">
        <v>4.25</v>
      </c>
      <c r="X29">
        <v>4.5</v>
      </c>
      <c r="Y29">
        <v>4.75</v>
      </c>
      <c r="Z29">
        <v>5</v>
      </c>
      <c r="AA29">
        <v>5</v>
      </c>
      <c r="AB29">
        <v>5</v>
      </c>
      <c r="AC29">
        <v>5.5</v>
      </c>
      <c r="AD29">
        <v>5.5</v>
      </c>
      <c r="AE29">
        <v>6.5</v>
      </c>
      <c r="AF29">
        <v>6.5</v>
      </c>
      <c r="AG29">
        <v>7</v>
      </c>
      <c r="AH29">
        <v>7.5</v>
      </c>
      <c r="AI29">
        <v>8</v>
      </c>
      <c r="AJ29">
        <v>8.5</v>
      </c>
    </row>
    <row r="30" spans="3:36" x14ac:dyDescent="0.25">
      <c r="E30" s="23">
        <f>E29-V29</f>
        <v>0</v>
      </c>
      <c r="F30" s="23">
        <f t="shared" ref="F30" si="118">F29-W29</f>
        <v>0</v>
      </c>
      <c r="G30" s="23">
        <f t="shared" ref="G30" si="119">G29-X29</f>
        <v>0</v>
      </c>
      <c r="H30" s="23">
        <f t="shared" ref="H30" si="120">H29-Y29</f>
        <v>0</v>
      </c>
      <c r="I30" s="23">
        <f t="shared" ref="I30" si="121">I29-Z29</f>
        <v>0.5</v>
      </c>
      <c r="J30" s="23">
        <f t="shared" ref="J30" si="122">J29-AA29</f>
        <v>0.5</v>
      </c>
      <c r="K30" s="23">
        <f t="shared" ref="K30" si="123">K29-AB29</f>
        <v>0.5</v>
      </c>
      <c r="L30" s="23">
        <f t="shared" ref="L30" si="124">L29-AC29</f>
        <v>0.5</v>
      </c>
      <c r="M30" s="23">
        <f t="shared" ref="M30" si="125">M29-AD29</f>
        <v>0.5</v>
      </c>
      <c r="N30" s="23">
        <f t="shared" ref="N30" si="126">N29-AE29</f>
        <v>0.5</v>
      </c>
      <c r="O30" s="23">
        <f t="shared" ref="O30" si="127">O29-AF29</f>
        <v>1</v>
      </c>
      <c r="P30" s="23">
        <f t="shared" ref="P30" si="128">P29-AG29</f>
        <v>1</v>
      </c>
      <c r="Q30" s="23">
        <f t="shared" ref="Q30" si="129">Q29-AH29</f>
        <v>0</v>
      </c>
      <c r="R30" s="23">
        <f t="shared" ref="R30" si="130">R29-AI29</f>
        <v>-0.5</v>
      </c>
      <c r="S30" s="23">
        <f t="shared" ref="S30" si="131">S29-AJ29</f>
        <v>-0.5</v>
      </c>
      <c r="U30" s="21" t="s">
        <v>97</v>
      </c>
      <c r="V30" s="22">
        <f>V29-E28-E$6</f>
        <v>0.40300000000000002</v>
      </c>
      <c r="W30" s="22">
        <f t="shared" ref="W30:AJ30" si="132">W29-F28-F$6</f>
        <v>0.50300000000000011</v>
      </c>
      <c r="X30" s="22">
        <f t="shared" si="132"/>
        <v>0.50600000000000023</v>
      </c>
      <c r="Y30" s="22">
        <f t="shared" si="132"/>
        <v>0.60299999999999976</v>
      </c>
      <c r="Z30" s="22">
        <f t="shared" si="132"/>
        <v>0.59200000000000008</v>
      </c>
      <c r="AA30" s="22">
        <f t="shared" si="132"/>
        <v>0.46700000000000008</v>
      </c>
      <c r="AB30" s="22">
        <f t="shared" si="132"/>
        <v>0.34200000000000008</v>
      </c>
      <c r="AC30" s="22">
        <f t="shared" si="132"/>
        <v>0.71700000000000008</v>
      </c>
      <c r="AD30" s="22">
        <f t="shared" si="132"/>
        <v>0.59200000000000008</v>
      </c>
      <c r="AE30" s="22">
        <f t="shared" si="132"/>
        <v>1.2160000000000002</v>
      </c>
      <c r="AF30" s="22">
        <f t="shared" si="132"/>
        <v>0.96600000000000019</v>
      </c>
      <c r="AG30" s="22">
        <f t="shared" si="132"/>
        <v>1.0925000000000002</v>
      </c>
      <c r="AH30" s="22">
        <f t="shared" si="132"/>
        <v>1.3425000000000002</v>
      </c>
      <c r="AI30" s="22">
        <f t="shared" si="132"/>
        <v>1.5925000000000002</v>
      </c>
      <c r="AJ30" s="22">
        <f t="shared" si="132"/>
        <v>1.8425000000000002</v>
      </c>
    </row>
    <row r="31" spans="3:36" x14ac:dyDescent="0.25">
      <c r="C31" s="24">
        <v>1.75</v>
      </c>
      <c r="D31" s="21" t="s">
        <v>94</v>
      </c>
      <c r="E31">
        <f>2*$C31+E$10*E$7</f>
        <v>3.597</v>
      </c>
      <c r="F31">
        <f>2*$C31+F$10*F$7</f>
        <v>3.6219999999999999</v>
      </c>
      <c r="G31">
        <f t="shared" ref="G31:S31" si="133">2*$C31+G$10*G$7</f>
        <v>3.7439999999999998</v>
      </c>
      <c r="H31">
        <f t="shared" si="133"/>
        <v>3.7720000000000002</v>
      </c>
      <c r="I31">
        <f t="shared" si="133"/>
        <v>3.9079999999999999</v>
      </c>
      <c r="J31">
        <f t="shared" si="133"/>
        <v>3.9079999999999999</v>
      </c>
      <c r="K31">
        <f t="shared" si="133"/>
        <v>3.9079999999999999</v>
      </c>
      <c r="L31">
        <f t="shared" si="133"/>
        <v>3.9079999999999999</v>
      </c>
      <c r="M31">
        <f t="shared" si="133"/>
        <v>3.9079999999999999</v>
      </c>
      <c r="N31">
        <f t="shared" si="133"/>
        <v>4.0339999999999998</v>
      </c>
      <c r="O31">
        <f t="shared" si="133"/>
        <v>4.0339999999999998</v>
      </c>
      <c r="P31">
        <f t="shared" si="133"/>
        <v>4.22</v>
      </c>
      <c r="Q31">
        <f t="shared" si="133"/>
        <v>4.22</v>
      </c>
      <c r="R31">
        <f t="shared" si="133"/>
        <v>4.22</v>
      </c>
      <c r="S31">
        <f t="shared" si="133"/>
        <v>4.22</v>
      </c>
      <c r="U31" s="21" t="s">
        <v>99</v>
      </c>
      <c r="V31" s="22">
        <f>V30/E$6</f>
        <v>0.80600000000000005</v>
      </c>
      <c r="W31" s="22">
        <f t="shared" ref="W31" si="134">W30/F$6</f>
        <v>0.80480000000000018</v>
      </c>
      <c r="X31" s="22">
        <f t="shared" ref="X31" si="135">X30/G$6</f>
        <v>0.67466666666666697</v>
      </c>
      <c r="Y31" s="22">
        <f t="shared" ref="Y31" si="136">Y30/H$6</f>
        <v>0.68914285714285684</v>
      </c>
      <c r="Z31" s="22">
        <f t="shared" ref="Z31" si="137">Z30/I$6</f>
        <v>0.59200000000000008</v>
      </c>
      <c r="AA31" s="22">
        <f t="shared" ref="AA31" si="138">AA30/J$6</f>
        <v>0.41511111111111121</v>
      </c>
      <c r="AB31" s="22">
        <f t="shared" ref="AB31" si="139">AB30/K$6</f>
        <v>0.27360000000000007</v>
      </c>
      <c r="AC31" s="22">
        <f t="shared" ref="AC31" si="140">AC30/L$6</f>
        <v>0.5214545454545455</v>
      </c>
      <c r="AD31" s="22">
        <f t="shared" ref="AD31" si="141">AD30/M$6</f>
        <v>0.39466666666666672</v>
      </c>
      <c r="AE31" s="22">
        <f t="shared" ref="AE31" si="142">AE30/N$6</f>
        <v>0.69485714285714295</v>
      </c>
      <c r="AF31" s="22">
        <f t="shared" ref="AF31" si="143">AF30/O$6</f>
        <v>0.4830000000000001</v>
      </c>
      <c r="AG31" s="22">
        <f t="shared" ref="AG31" si="144">AG30/P$6</f>
        <v>0.49942857142857155</v>
      </c>
      <c r="AH31" s="22">
        <f t="shared" ref="AH31" si="145">AH30/Q$6</f>
        <v>0.5507692307692309</v>
      </c>
      <c r="AI31" s="22">
        <f t="shared" ref="AI31" si="146">AI30/R$6</f>
        <v>0.59255813953488379</v>
      </c>
      <c r="AJ31" s="22">
        <f t="shared" ref="AJ31" si="147">AJ30/S$6</f>
        <v>0.6272340425531916</v>
      </c>
    </row>
    <row r="32" spans="3:36" x14ac:dyDescent="0.25">
      <c r="C32" s="24"/>
      <c r="D32" s="21" t="s">
        <v>95</v>
      </c>
      <c r="E32" s="22">
        <f>BoltLength(E$4,E$6,E31)</f>
        <v>4.5</v>
      </c>
      <c r="F32" s="22">
        <f t="shared" ref="F32" si="148">BoltLength(F$4,F$6,F31)</f>
        <v>4.75</v>
      </c>
      <c r="G32" s="22">
        <f t="shared" ref="G32" si="149">BoltLength(G$4,G$6,G31)</f>
        <v>5</v>
      </c>
      <c r="H32" s="22">
        <f t="shared" ref="H32" si="150">BoltLength(H$4,H$6,H31)</f>
        <v>5.5</v>
      </c>
      <c r="I32" s="22">
        <f t="shared" ref="I32" si="151">BoltLength(I$4,I$6,I31)</f>
        <v>6</v>
      </c>
      <c r="J32" s="22">
        <f>BoltLength(J$4,J$6,J31)</f>
        <v>6</v>
      </c>
      <c r="K32" s="22">
        <f>BoltLength(K$4,K$6,K31)</f>
        <v>6</v>
      </c>
      <c r="L32" s="22">
        <f t="shared" ref="L32" si="152">BoltLength(L$4,L$6,L31)</f>
        <v>6.5</v>
      </c>
      <c r="M32" s="22">
        <f t="shared" ref="M32" si="153">BoltLength(M$4,M$6,M31)</f>
        <v>6.5</v>
      </c>
      <c r="N32" s="22">
        <f t="shared" ref="N32" si="154">BoltLength(N$4,N$6,N31)</f>
        <v>7.5</v>
      </c>
      <c r="O32" s="22">
        <f>BoltLength(O$4,O$6,O31)</f>
        <v>8</v>
      </c>
      <c r="P32" s="22">
        <f t="shared" ref="P32" si="155">BoltLength(P$4,P$6,P31)</f>
        <v>8.5</v>
      </c>
      <c r="Q32" s="22">
        <f t="shared" ref="Q32" si="156">BoltLength(Q$4,Q$6,Q31)</f>
        <v>8</v>
      </c>
      <c r="R32" s="22">
        <f t="shared" ref="R32" si="157">BoltLength(R$4,R$6,R31)</f>
        <v>8</v>
      </c>
      <c r="S32" s="22">
        <f t="shared" ref="S32" si="158">BoltLength(S$4,S$6,S31)</f>
        <v>8.5</v>
      </c>
      <c r="V32">
        <v>4.5</v>
      </c>
      <c r="W32">
        <v>4.75</v>
      </c>
      <c r="X32">
        <v>5</v>
      </c>
      <c r="Y32">
        <v>5</v>
      </c>
      <c r="Z32">
        <v>5.5</v>
      </c>
      <c r="AA32">
        <v>5.5</v>
      </c>
      <c r="AB32">
        <v>5.5</v>
      </c>
      <c r="AC32">
        <v>6</v>
      </c>
      <c r="AD32">
        <v>6</v>
      </c>
      <c r="AE32">
        <v>7</v>
      </c>
      <c r="AF32">
        <v>7</v>
      </c>
      <c r="AG32">
        <v>7.5</v>
      </c>
      <c r="AH32">
        <v>7.5</v>
      </c>
      <c r="AI32">
        <v>8</v>
      </c>
      <c r="AJ32">
        <v>8.5</v>
      </c>
    </row>
    <row r="33" spans="3:36" x14ac:dyDescent="0.25">
      <c r="E33" s="23">
        <f>E32-V32</f>
        <v>0</v>
      </c>
      <c r="F33" s="23">
        <f t="shared" ref="F33" si="159">F32-W32</f>
        <v>0</v>
      </c>
      <c r="G33" s="23">
        <f t="shared" ref="G33" si="160">G32-X32</f>
        <v>0</v>
      </c>
      <c r="H33" s="23">
        <f t="shared" ref="H33" si="161">H32-Y32</f>
        <v>0.5</v>
      </c>
      <c r="I33" s="23">
        <f t="shared" ref="I33" si="162">I32-Z32</f>
        <v>0.5</v>
      </c>
      <c r="J33" s="23">
        <f t="shared" ref="J33" si="163">J32-AA32</f>
        <v>0.5</v>
      </c>
      <c r="K33" s="23">
        <f t="shared" ref="K33" si="164">K32-AB32</f>
        <v>0.5</v>
      </c>
      <c r="L33" s="23">
        <f t="shared" ref="L33" si="165">L32-AC32</f>
        <v>0.5</v>
      </c>
      <c r="M33" s="23">
        <f t="shared" ref="M33" si="166">M32-AD32</f>
        <v>0.5</v>
      </c>
      <c r="N33" s="23">
        <f t="shared" ref="N33" si="167">N32-AE32</f>
        <v>0.5</v>
      </c>
      <c r="O33" s="23">
        <f t="shared" ref="O33" si="168">O32-AF32</f>
        <v>1</v>
      </c>
      <c r="P33" s="23">
        <f t="shared" ref="P33" si="169">P32-AG32</f>
        <v>1</v>
      </c>
      <c r="Q33" s="23">
        <f t="shared" ref="Q33" si="170">Q32-AH32</f>
        <v>0.5</v>
      </c>
      <c r="R33" s="23">
        <f t="shared" ref="R33" si="171">R32-AI32</f>
        <v>0</v>
      </c>
      <c r="S33" s="23">
        <f t="shared" ref="S33" si="172">S32-AJ32</f>
        <v>0</v>
      </c>
      <c r="U33" s="21" t="s">
        <v>97</v>
      </c>
      <c r="V33" s="22">
        <f t="shared" ref="V33:AJ33" si="173">V32-E31-E$6</f>
        <v>0.40300000000000002</v>
      </c>
      <c r="W33" s="22">
        <f t="shared" si="173"/>
        <v>0.50300000000000011</v>
      </c>
      <c r="X33" s="22">
        <f t="shared" si="173"/>
        <v>0.50600000000000023</v>
      </c>
      <c r="Y33" s="22">
        <f t="shared" si="173"/>
        <v>0.35299999999999976</v>
      </c>
      <c r="Z33" s="22">
        <f t="shared" si="173"/>
        <v>0.59200000000000008</v>
      </c>
      <c r="AA33" s="22">
        <f t="shared" si="173"/>
        <v>0.46700000000000008</v>
      </c>
      <c r="AB33" s="22">
        <f t="shared" si="173"/>
        <v>0.34200000000000008</v>
      </c>
      <c r="AC33" s="22">
        <f t="shared" si="173"/>
        <v>0.71700000000000008</v>
      </c>
      <c r="AD33" s="22">
        <f t="shared" si="173"/>
        <v>0.59200000000000008</v>
      </c>
      <c r="AE33" s="22">
        <f t="shared" si="173"/>
        <v>1.2160000000000002</v>
      </c>
      <c r="AF33" s="22">
        <f t="shared" si="173"/>
        <v>0.96600000000000019</v>
      </c>
      <c r="AG33" s="22">
        <f t="shared" si="173"/>
        <v>1.0925000000000002</v>
      </c>
      <c r="AH33" s="22">
        <f t="shared" si="173"/>
        <v>0.84250000000000025</v>
      </c>
      <c r="AI33" s="22">
        <f t="shared" si="173"/>
        <v>1.0925000000000002</v>
      </c>
      <c r="AJ33" s="22">
        <f t="shared" si="173"/>
        <v>1.3425000000000002</v>
      </c>
    </row>
    <row r="34" spans="3:36" x14ac:dyDescent="0.25">
      <c r="C34" s="24">
        <v>2</v>
      </c>
      <c r="D34" s="21" t="s">
        <v>94</v>
      </c>
      <c r="E34">
        <f>2*$C34+E$10*E$7</f>
        <v>4.0970000000000004</v>
      </c>
      <c r="F34">
        <f>2*$C34+F$10*F$7</f>
        <v>4.1219999999999999</v>
      </c>
      <c r="G34">
        <f t="shared" ref="G34:S34" si="174">2*$C34+G$10*G$7</f>
        <v>4.2439999999999998</v>
      </c>
      <c r="H34">
        <f t="shared" si="174"/>
        <v>4.2720000000000002</v>
      </c>
      <c r="I34">
        <f t="shared" si="174"/>
        <v>4.4080000000000004</v>
      </c>
      <c r="J34">
        <f t="shared" si="174"/>
        <v>4.4080000000000004</v>
      </c>
      <c r="K34">
        <f t="shared" si="174"/>
        <v>4.4080000000000004</v>
      </c>
      <c r="L34">
        <f t="shared" si="174"/>
        <v>4.4080000000000004</v>
      </c>
      <c r="M34">
        <f t="shared" si="174"/>
        <v>4.4080000000000004</v>
      </c>
      <c r="N34">
        <f t="shared" si="174"/>
        <v>4.5339999999999998</v>
      </c>
      <c r="O34">
        <f t="shared" si="174"/>
        <v>4.5339999999999998</v>
      </c>
      <c r="P34">
        <f t="shared" si="174"/>
        <v>4.72</v>
      </c>
      <c r="Q34">
        <f t="shared" si="174"/>
        <v>4.72</v>
      </c>
      <c r="R34">
        <f t="shared" si="174"/>
        <v>4.72</v>
      </c>
      <c r="S34">
        <f t="shared" si="174"/>
        <v>4.72</v>
      </c>
      <c r="U34" s="21" t="s">
        <v>99</v>
      </c>
      <c r="V34" s="22">
        <f>V33/E$6</f>
        <v>0.80600000000000005</v>
      </c>
      <c r="W34" s="22">
        <f t="shared" ref="W34" si="175">W33/F$6</f>
        <v>0.80480000000000018</v>
      </c>
      <c r="X34" s="22">
        <f t="shared" ref="X34" si="176">X33/G$6</f>
        <v>0.67466666666666697</v>
      </c>
      <c r="Y34" s="22">
        <f t="shared" ref="Y34" si="177">Y33/H$6</f>
        <v>0.40342857142857114</v>
      </c>
      <c r="Z34" s="22">
        <f t="shared" ref="Z34" si="178">Z33/I$6</f>
        <v>0.59200000000000008</v>
      </c>
      <c r="AA34" s="22">
        <f t="shared" ref="AA34" si="179">AA33/J$6</f>
        <v>0.41511111111111121</v>
      </c>
      <c r="AB34" s="22">
        <f t="shared" ref="AB34" si="180">AB33/K$6</f>
        <v>0.27360000000000007</v>
      </c>
      <c r="AC34" s="22">
        <f t="shared" ref="AC34" si="181">AC33/L$6</f>
        <v>0.5214545454545455</v>
      </c>
      <c r="AD34" s="22">
        <f t="shared" ref="AD34" si="182">AD33/M$6</f>
        <v>0.39466666666666672</v>
      </c>
      <c r="AE34" s="22">
        <f t="shared" ref="AE34" si="183">AE33/N$6</f>
        <v>0.69485714285714295</v>
      </c>
      <c r="AF34" s="22">
        <f t="shared" ref="AF34" si="184">AF33/O$6</f>
        <v>0.4830000000000001</v>
      </c>
      <c r="AG34" s="22">
        <f t="shared" ref="AG34" si="185">AG33/P$6</f>
        <v>0.49942857142857155</v>
      </c>
      <c r="AH34" s="22">
        <f t="shared" ref="AH34" si="186">AH33/Q$6</f>
        <v>0.34564102564102572</v>
      </c>
      <c r="AI34" s="22">
        <f t="shared" ref="AI34" si="187">AI33/R$6</f>
        <v>0.40651162790697681</v>
      </c>
      <c r="AJ34" s="22">
        <f t="shared" ref="AJ34" si="188">AJ33/S$6</f>
        <v>0.45702127659574476</v>
      </c>
    </row>
    <row r="35" spans="3:36" x14ac:dyDescent="0.25">
      <c r="C35" s="24"/>
      <c r="D35" s="21" t="s">
        <v>95</v>
      </c>
      <c r="E35" s="22">
        <f>BoltLength(E$4,E$6,E34)</f>
        <v>5</v>
      </c>
      <c r="F35" s="22">
        <f t="shared" ref="F35" si="189">BoltLength(F$4,F$6,F34)</f>
        <v>5.5</v>
      </c>
      <c r="G35" s="22">
        <f t="shared" ref="G35" si="190">BoltLength(G$4,G$6,G34)</f>
        <v>5.5</v>
      </c>
      <c r="H35" s="22">
        <f t="shared" ref="H35" si="191">BoltLength(H$4,H$6,H34)</f>
        <v>6</v>
      </c>
      <c r="I35" s="22">
        <f t="shared" ref="I35" si="192">BoltLength(I$4,I$6,I34)</f>
        <v>6.5</v>
      </c>
      <c r="J35" s="22">
        <f>BoltLength(J$4,J$6,J34)</f>
        <v>6.5</v>
      </c>
      <c r="K35" s="22">
        <f>BoltLength(K$4,K$6,K34)</f>
        <v>6.5</v>
      </c>
      <c r="L35" s="22">
        <f t="shared" ref="L35" si="193">BoltLength(L$4,L$6,L34)</f>
        <v>7</v>
      </c>
      <c r="M35" s="22">
        <f t="shared" ref="M35" si="194">BoltLength(M$4,M$6,M34)</f>
        <v>7</v>
      </c>
      <c r="N35" s="22">
        <f t="shared" ref="N35" si="195">BoltLength(N$4,N$6,N34)</f>
        <v>8</v>
      </c>
      <c r="O35" s="22">
        <f>BoltLength(O$4,O$6,O34)</f>
        <v>8.5</v>
      </c>
      <c r="P35" s="22">
        <f t="shared" ref="P35" si="196">BoltLength(P$4,P$6,P34)</f>
        <v>9</v>
      </c>
      <c r="Q35" s="22">
        <f t="shared" ref="Q35" si="197">BoltLength(Q$4,Q$6,Q34)</f>
        <v>8.5</v>
      </c>
      <c r="R35" s="22">
        <f t="shared" ref="R35" si="198">BoltLength(R$4,R$6,R34)</f>
        <v>8.5</v>
      </c>
      <c r="S35" s="22">
        <f t="shared" ref="S35" si="199">BoltLength(S$4,S$6,S34)</f>
        <v>9</v>
      </c>
      <c r="V35">
        <v>5</v>
      </c>
      <c r="W35">
        <v>5</v>
      </c>
      <c r="X35">
        <v>5.5</v>
      </c>
      <c r="Y35">
        <v>5.5</v>
      </c>
      <c r="Z35">
        <v>6</v>
      </c>
      <c r="AA35">
        <v>6</v>
      </c>
      <c r="AB35">
        <v>6</v>
      </c>
      <c r="AC35">
        <v>6.5</v>
      </c>
      <c r="AD35">
        <v>6.5</v>
      </c>
      <c r="AE35">
        <v>7.5</v>
      </c>
      <c r="AF35">
        <v>7.5</v>
      </c>
      <c r="AG35">
        <v>8</v>
      </c>
      <c r="AH35">
        <v>8</v>
      </c>
      <c r="AI35">
        <v>8.5</v>
      </c>
      <c r="AJ35">
        <v>9</v>
      </c>
    </row>
    <row r="36" spans="3:36" x14ac:dyDescent="0.25">
      <c r="E36" s="23">
        <f>E35-V35</f>
        <v>0</v>
      </c>
      <c r="F36" s="23">
        <f t="shared" ref="F36" si="200">F35-W35</f>
        <v>0.5</v>
      </c>
      <c r="G36" s="23">
        <f t="shared" ref="G36" si="201">G35-X35</f>
        <v>0</v>
      </c>
      <c r="H36" s="23">
        <f t="shared" ref="H36" si="202">H35-Y35</f>
        <v>0.5</v>
      </c>
      <c r="I36" s="23">
        <f t="shared" ref="I36" si="203">I35-Z35</f>
        <v>0.5</v>
      </c>
      <c r="J36" s="23">
        <f t="shared" ref="J36" si="204">J35-AA35</f>
        <v>0.5</v>
      </c>
      <c r="K36" s="23">
        <f t="shared" ref="K36" si="205">K35-AB35</f>
        <v>0.5</v>
      </c>
      <c r="L36" s="23">
        <f t="shared" ref="L36" si="206">L35-AC35</f>
        <v>0.5</v>
      </c>
      <c r="M36" s="23">
        <f t="shared" ref="M36" si="207">M35-AD35</f>
        <v>0.5</v>
      </c>
      <c r="N36" s="23">
        <f t="shared" ref="N36" si="208">N35-AE35</f>
        <v>0.5</v>
      </c>
      <c r="O36" s="23">
        <f t="shared" ref="O36" si="209">O35-AF35</f>
        <v>1</v>
      </c>
      <c r="P36" s="23">
        <f t="shared" ref="P36" si="210">P35-AG35</f>
        <v>1</v>
      </c>
      <c r="Q36" s="23">
        <f t="shared" ref="Q36" si="211">Q35-AH35</f>
        <v>0.5</v>
      </c>
      <c r="R36" s="23">
        <f t="shared" ref="R36" si="212">R35-AI35</f>
        <v>0</v>
      </c>
      <c r="S36" s="23">
        <f t="shared" ref="S36" si="213">S35-AJ35</f>
        <v>0</v>
      </c>
      <c r="U36" s="21" t="s">
        <v>97</v>
      </c>
      <c r="V36" s="22">
        <f>V35-E34-E$6</f>
        <v>0.40299999999999958</v>
      </c>
      <c r="W36" s="22">
        <f t="shared" ref="W36:AJ36" si="214">W35-F34-F$6</f>
        <v>0.25300000000000011</v>
      </c>
      <c r="X36" s="22">
        <f t="shared" si="214"/>
        <v>0.50600000000000023</v>
      </c>
      <c r="Y36" s="22">
        <f t="shared" si="214"/>
        <v>0.35299999999999976</v>
      </c>
      <c r="Z36" s="22">
        <f t="shared" si="214"/>
        <v>0.59199999999999964</v>
      </c>
      <c r="AA36" s="22">
        <f t="shared" si="214"/>
        <v>0.46699999999999964</v>
      </c>
      <c r="AB36" s="22">
        <f t="shared" si="214"/>
        <v>0.34199999999999964</v>
      </c>
      <c r="AC36" s="22">
        <f t="shared" si="214"/>
        <v>0.71699999999999964</v>
      </c>
      <c r="AD36" s="22">
        <f t="shared" si="214"/>
        <v>0.59199999999999964</v>
      </c>
      <c r="AE36" s="22">
        <f t="shared" si="214"/>
        <v>1.2160000000000002</v>
      </c>
      <c r="AF36" s="22">
        <f t="shared" si="214"/>
        <v>0.96600000000000019</v>
      </c>
      <c r="AG36" s="22">
        <f t="shared" si="214"/>
        <v>1.0925000000000002</v>
      </c>
      <c r="AH36" s="22">
        <f t="shared" si="214"/>
        <v>0.84250000000000025</v>
      </c>
      <c r="AI36" s="22">
        <f t="shared" si="214"/>
        <v>1.0925000000000002</v>
      </c>
      <c r="AJ36" s="22">
        <f t="shared" si="214"/>
        <v>1.3425000000000002</v>
      </c>
    </row>
    <row r="37" spans="3:36" x14ac:dyDescent="0.25">
      <c r="C37" s="24">
        <v>2.25</v>
      </c>
      <c r="D37" s="21" t="s">
        <v>94</v>
      </c>
      <c r="E37">
        <f>2*$C37+E$10*E$7</f>
        <v>4.5970000000000004</v>
      </c>
      <c r="F37">
        <f>2*$C37+F$10*F$7</f>
        <v>4.6219999999999999</v>
      </c>
      <c r="G37">
        <f t="shared" ref="G37:S37" si="215">2*$C37+G$10*G$7</f>
        <v>4.7439999999999998</v>
      </c>
      <c r="H37">
        <f t="shared" si="215"/>
        <v>4.7720000000000002</v>
      </c>
      <c r="I37">
        <f t="shared" si="215"/>
        <v>4.9080000000000004</v>
      </c>
      <c r="J37">
        <f t="shared" si="215"/>
        <v>4.9080000000000004</v>
      </c>
      <c r="K37">
        <f t="shared" si="215"/>
        <v>4.9080000000000004</v>
      </c>
      <c r="L37">
        <f t="shared" si="215"/>
        <v>4.9080000000000004</v>
      </c>
      <c r="M37">
        <f t="shared" si="215"/>
        <v>4.9080000000000004</v>
      </c>
      <c r="N37">
        <f t="shared" si="215"/>
        <v>5.0339999999999998</v>
      </c>
      <c r="O37">
        <f t="shared" si="215"/>
        <v>5.0339999999999998</v>
      </c>
      <c r="P37">
        <f t="shared" si="215"/>
        <v>5.22</v>
      </c>
      <c r="Q37">
        <f t="shared" si="215"/>
        <v>5.22</v>
      </c>
      <c r="R37">
        <f t="shared" si="215"/>
        <v>5.22</v>
      </c>
      <c r="S37">
        <f t="shared" si="215"/>
        <v>5.22</v>
      </c>
      <c r="U37" s="21" t="s">
        <v>99</v>
      </c>
      <c r="V37" s="22">
        <f>V36/E$6</f>
        <v>0.80599999999999916</v>
      </c>
      <c r="W37" s="22">
        <f t="shared" ref="W37" si="216">W36/F$6</f>
        <v>0.40480000000000016</v>
      </c>
      <c r="X37" s="22">
        <f t="shared" ref="X37" si="217">X36/G$6</f>
        <v>0.67466666666666697</v>
      </c>
      <c r="Y37" s="22">
        <f t="shared" ref="Y37" si="218">Y36/H$6</f>
        <v>0.40342857142857114</v>
      </c>
      <c r="Z37" s="22">
        <f t="shared" ref="Z37" si="219">Z36/I$6</f>
        <v>0.59199999999999964</v>
      </c>
      <c r="AA37" s="22">
        <f t="shared" ref="AA37" si="220">AA36/J$6</f>
        <v>0.41511111111111076</v>
      </c>
      <c r="AB37" s="22">
        <f t="shared" ref="AB37" si="221">AB36/K$6</f>
        <v>0.27359999999999973</v>
      </c>
      <c r="AC37" s="22">
        <f t="shared" ref="AC37" si="222">AC36/L$6</f>
        <v>0.52145454545454517</v>
      </c>
      <c r="AD37" s="22">
        <f t="shared" ref="AD37" si="223">AD36/M$6</f>
        <v>0.39466666666666644</v>
      </c>
      <c r="AE37" s="22">
        <f t="shared" ref="AE37" si="224">AE36/N$6</f>
        <v>0.69485714285714295</v>
      </c>
      <c r="AF37" s="22">
        <f t="shared" ref="AF37" si="225">AF36/O$6</f>
        <v>0.4830000000000001</v>
      </c>
      <c r="AG37" s="22">
        <f t="shared" ref="AG37" si="226">AG36/P$6</f>
        <v>0.49942857142857155</v>
      </c>
      <c r="AH37" s="22">
        <f t="shared" ref="AH37" si="227">AH36/Q$6</f>
        <v>0.34564102564102572</v>
      </c>
      <c r="AI37" s="22">
        <f t="shared" ref="AI37" si="228">AI36/R$6</f>
        <v>0.40651162790697681</v>
      </c>
      <c r="AJ37" s="22">
        <f t="shared" ref="AJ37" si="229">AJ36/S$6</f>
        <v>0.45702127659574476</v>
      </c>
    </row>
    <row r="38" spans="3:36" x14ac:dyDescent="0.25">
      <c r="C38" s="24"/>
      <c r="D38" s="21" t="s">
        <v>95</v>
      </c>
      <c r="E38" s="22">
        <f>BoltLength(E$4,E$6,E37)</f>
        <v>5.5</v>
      </c>
      <c r="F38" s="22">
        <f t="shared" ref="F38" si="230">BoltLength(F$4,F$6,F37)</f>
        <v>6</v>
      </c>
      <c r="G38" s="22">
        <f t="shared" ref="G38" si="231">BoltLength(G$4,G$6,G37)</f>
        <v>6</v>
      </c>
      <c r="H38" s="22">
        <f t="shared" ref="H38" si="232">BoltLength(H$4,H$6,H37)</f>
        <v>6.5</v>
      </c>
      <c r="I38" s="22">
        <f t="shared" ref="I38" si="233">BoltLength(I$4,I$6,I37)</f>
        <v>7</v>
      </c>
      <c r="J38" s="22">
        <f>BoltLength(J$4,J$6,J37)</f>
        <v>7</v>
      </c>
      <c r="K38" s="22">
        <f>BoltLength(K$4,K$6,K37)</f>
        <v>7</v>
      </c>
      <c r="L38" s="22">
        <f t="shared" ref="L38" si="234">BoltLength(L$4,L$6,L37)</f>
        <v>7.5</v>
      </c>
      <c r="M38" s="22">
        <f t="shared" ref="M38" si="235">BoltLength(M$4,M$6,M37)</f>
        <v>7.5</v>
      </c>
      <c r="N38" s="22">
        <f t="shared" ref="N38" si="236">BoltLength(N$4,N$6,N37)</f>
        <v>8.5</v>
      </c>
      <c r="O38" s="22">
        <f>BoltLength(O$4,O$6,O37)</f>
        <v>9</v>
      </c>
      <c r="P38" s="22">
        <f t="shared" ref="P38" si="237">BoltLength(P$4,P$6,P37)</f>
        <v>9.5</v>
      </c>
      <c r="Q38" s="22">
        <f t="shared" ref="Q38" si="238">BoltLength(Q$4,Q$6,Q37)</f>
        <v>9</v>
      </c>
      <c r="R38" s="22">
        <f t="shared" ref="R38" si="239">BoltLength(R$4,R$6,R37)</f>
        <v>9</v>
      </c>
      <c r="S38" s="22">
        <f t="shared" ref="S38" si="240">BoltLength(S$4,S$6,S37)</f>
        <v>9.5</v>
      </c>
      <c r="V38">
        <v>5.5</v>
      </c>
      <c r="W38">
        <v>5.5</v>
      </c>
      <c r="X38">
        <v>6</v>
      </c>
      <c r="Y38">
        <v>6</v>
      </c>
      <c r="Z38">
        <v>6.5</v>
      </c>
      <c r="AA38">
        <v>6.5</v>
      </c>
      <c r="AB38">
        <v>6.5</v>
      </c>
      <c r="AC38">
        <v>7</v>
      </c>
      <c r="AD38">
        <v>7</v>
      </c>
      <c r="AE38">
        <v>8</v>
      </c>
      <c r="AF38">
        <v>8</v>
      </c>
      <c r="AG38">
        <v>8.5</v>
      </c>
      <c r="AH38">
        <v>8.5</v>
      </c>
      <c r="AI38">
        <v>9</v>
      </c>
      <c r="AJ38">
        <v>9.5</v>
      </c>
    </row>
    <row r="39" spans="3:36" x14ac:dyDescent="0.25">
      <c r="E39" s="23">
        <f>E38-V38</f>
        <v>0</v>
      </c>
      <c r="F39" s="23">
        <f t="shared" ref="F39" si="241">F38-W38</f>
        <v>0.5</v>
      </c>
      <c r="G39" s="23">
        <f t="shared" ref="G39" si="242">G38-X38</f>
        <v>0</v>
      </c>
      <c r="H39" s="23">
        <f t="shared" ref="H39" si="243">H38-Y38</f>
        <v>0.5</v>
      </c>
      <c r="I39" s="23">
        <f t="shared" ref="I39" si="244">I38-Z38</f>
        <v>0.5</v>
      </c>
      <c r="J39" s="23">
        <f t="shared" ref="J39" si="245">J38-AA38</f>
        <v>0.5</v>
      </c>
      <c r="K39" s="23">
        <f t="shared" ref="K39" si="246">K38-AB38</f>
        <v>0.5</v>
      </c>
      <c r="L39" s="23">
        <f t="shared" ref="L39" si="247">L38-AC38</f>
        <v>0.5</v>
      </c>
      <c r="M39" s="23">
        <f t="shared" ref="M39" si="248">M38-AD38</f>
        <v>0.5</v>
      </c>
      <c r="N39" s="23">
        <f t="shared" ref="N39" si="249">N38-AE38</f>
        <v>0.5</v>
      </c>
      <c r="O39" s="23">
        <f t="shared" ref="O39" si="250">O38-AF38</f>
        <v>1</v>
      </c>
      <c r="P39" s="23">
        <f t="shared" ref="P39" si="251">P38-AG38</f>
        <v>1</v>
      </c>
      <c r="Q39" s="23">
        <f t="shared" ref="Q39" si="252">Q38-AH38</f>
        <v>0.5</v>
      </c>
      <c r="R39" s="23">
        <f t="shared" ref="R39" si="253">R38-AI38</f>
        <v>0</v>
      </c>
      <c r="S39" s="23">
        <f t="shared" ref="S39" si="254">S38-AJ38</f>
        <v>0</v>
      </c>
      <c r="U39" s="21" t="s">
        <v>97</v>
      </c>
      <c r="V39" s="22">
        <f>V38-E37-E$6</f>
        <v>0.40299999999999958</v>
      </c>
      <c r="W39" s="22">
        <f t="shared" ref="W39:AJ39" si="255">W38-F37-F$6</f>
        <v>0.25300000000000011</v>
      </c>
      <c r="X39" s="22">
        <f t="shared" si="255"/>
        <v>0.50600000000000023</v>
      </c>
      <c r="Y39" s="22">
        <f t="shared" si="255"/>
        <v>0.35299999999999976</v>
      </c>
      <c r="Z39" s="22">
        <f t="shared" si="255"/>
        <v>0.59199999999999964</v>
      </c>
      <c r="AA39" s="22">
        <f t="shared" si="255"/>
        <v>0.46699999999999964</v>
      </c>
      <c r="AB39" s="22">
        <f t="shared" si="255"/>
        <v>0.34199999999999964</v>
      </c>
      <c r="AC39" s="22">
        <f t="shared" si="255"/>
        <v>0.71699999999999964</v>
      </c>
      <c r="AD39" s="22">
        <f t="shared" si="255"/>
        <v>0.59199999999999964</v>
      </c>
      <c r="AE39" s="22">
        <f t="shared" si="255"/>
        <v>1.2160000000000002</v>
      </c>
      <c r="AF39" s="22">
        <f t="shared" si="255"/>
        <v>0.96600000000000019</v>
      </c>
      <c r="AG39" s="22">
        <f t="shared" si="255"/>
        <v>1.0925000000000002</v>
      </c>
      <c r="AH39" s="22">
        <f t="shared" si="255"/>
        <v>0.84250000000000025</v>
      </c>
      <c r="AI39" s="22">
        <f t="shared" si="255"/>
        <v>1.0925000000000002</v>
      </c>
      <c r="AJ39" s="22">
        <f t="shared" si="255"/>
        <v>1.3425000000000002</v>
      </c>
    </row>
    <row r="40" spans="3:36" x14ac:dyDescent="0.25">
      <c r="U40" s="21" t="s">
        <v>99</v>
      </c>
      <c r="V40" s="22">
        <f>V39/E$6</f>
        <v>0.80599999999999916</v>
      </c>
      <c r="W40" s="22">
        <f t="shared" ref="W40" si="256">W39/F$6</f>
        <v>0.40480000000000016</v>
      </c>
      <c r="X40" s="22">
        <f t="shared" ref="X40" si="257">X39/G$6</f>
        <v>0.67466666666666697</v>
      </c>
      <c r="Y40" s="22">
        <f t="shared" ref="Y40" si="258">Y39/H$6</f>
        <v>0.40342857142857114</v>
      </c>
      <c r="Z40" s="22">
        <f t="shared" ref="Z40" si="259">Z39/I$6</f>
        <v>0.59199999999999964</v>
      </c>
      <c r="AA40" s="22">
        <f t="shared" ref="AA40" si="260">AA39/J$6</f>
        <v>0.41511111111111076</v>
      </c>
      <c r="AB40" s="22">
        <f t="shared" ref="AB40" si="261">AB39/K$6</f>
        <v>0.27359999999999973</v>
      </c>
      <c r="AC40" s="22">
        <f t="shared" ref="AC40" si="262">AC39/L$6</f>
        <v>0.52145454545454517</v>
      </c>
      <c r="AD40" s="22">
        <f t="shared" ref="AD40" si="263">AD39/M$6</f>
        <v>0.39466666666666644</v>
      </c>
      <c r="AE40" s="22">
        <f t="shared" ref="AE40" si="264">AE39/N$6</f>
        <v>0.69485714285714295</v>
      </c>
      <c r="AF40" s="22">
        <f t="shared" ref="AF40" si="265">AF39/O$6</f>
        <v>0.4830000000000001</v>
      </c>
      <c r="AG40" s="22">
        <f t="shared" ref="AG40" si="266">AG39/P$6</f>
        <v>0.49942857142857155</v>
      </c>
      <c r="AH40" s="22">
        <f t="shared" ref="AH40" si="267">AH39/Q$6</f>
        <v>0.34564102564102572</v>
      </c>
      <c r="AI40" s="22">
        <f t="shared" ref="AI40" si="268">AI39/R$6</f>
        <v>0.40651162790697681</v>
      </c>
      <c r="AJ40" s="22">
        <f t="shared" ref="AJ40" si="269">AJ39/S$6</f>
        <v>0.45702127659574476</v>
      </c>
    </row>
    <row r="41" spans="3:36" x14ac:dyDescent="0.25">
      <c r="V41" s="22">
        <f t="shared" ref="V41" si="270">V39-E$5</f>
        <v>-0.59700000000000042</v>
      </c>
      <c r="W41" s="22">
        <f t="shared" ref="W41" si="271">W39-F$5</f>
        <v>-0.99699999999999989</v>
      </c>
      <c r="X41" s="22">
        <f t="shared" ref="X41" si="272">X39-G$5</f>
        <v>-0.86899999999999977</v>
      </c>
      <c r="Y41" s="22">
        <f t="shared" ref="Y41" si="273">Y39-H$5</f>
        <v>-1.1470000000000002</v>
      </c>
      <c r="Z41" s="22">
        <f t="shared" ref="Z41" si="274">Z39-I$5</f>
        <v>-1.1580000000000004</v>
      </c>
      <c r="AA41" s="22">
        <f t="shared" ref="AA41" si="275">AA39-J$5</f>
        <v>-1.5330000000000004</v>
      </c>
      <c r="AB41" s="22">
        <f t="shared" ref="AB41" si="276">AB39-K$5</f>
        <v>-1.6580000000000004</v>
      </c>
      <c r="AC41" s="22">
        <f t="shared" ref="AC41" si="277">AC39-L$5</f>
        <v>-1.5330000000000004</v>
      </c>
      <c r="AD41" s="22">
        <f t="shared" ref="AD41" si="278">AD39-M$5</f>
        <v>-1.6580000000000004</v>
      </c>
      <c r="AE41" s="22">
        <f t="shared" ref="AE41" si="279">AE39-N$5</f>
        <v>-2.7839999999999998</v>
      </c>
      <c r="AF41" s="22">
        <f t="shared" ref="AF41" si="280">AF39-O$5</f>
        <v>-3.5339999999999998</v>
      </c>
      <c r="AG41" s="22">
        <f t="shared" ref="AG41" si="281">AG39-P$5</f>
        <v>-3.9074999999999998</v>
      </c>
      <c r="AH41" s="22">
        <f t="shared" ref="AH41" si="282">AH39-Q$5</f>
        <v>-4.6574999999999998</v>
      </c>
      <c r="AI41" s="22">
        <f t="shared" ref="AI41" si="283">AI39-R$5</f>
        <v>-4.9074999999999998</v>
      </c>
      <c r="AJ41" s="22">
        <f t="shared" ref="AJ41" si="284">AJ39-S$5</f>
        <v>-5.1574999999999998</v>
      </c>
    </row>
  </sheetData>
  <mergeCells count="10">
    <mergeCell ref="C28:C29"/>
    <mergeCell ref="C31:C32"/>
    <mergeCell ref="C34:C35"/>
    <mergeCell ref="C37:C38"/>
    <mergeCell ref="C7:C8"/>
    <mergeCell ref="C13:C14"/>
    <mergeCell ref="C16:C17"/>
    <mergeCell ref="C19:C20"/>
    <mergeCell ref="C22:C23"/>
    <mergeCell ref="C25:C26"/>
  </mergeCells>
  <conditionalFormatting sqref="E27:S27">
    <cfRule type="cellIs" dxfId="17" priority="22" operator="greaterThan">
      <formula>0</formula>
    </cfRule>
    <cfRule type="cellIs" dxfId="16" priority="17" operator="lessThan">
      <formula>0</formula>
    </cfRule>
  </conditionalFormatting>
  <conditionalFormatting sqref="E30:S30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E33:S33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E36:S36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E39:S39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E24:N2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E21:M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E18:M1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E15:H15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BoltDB</vt:lpstr>
      <vt:lpstr>AnchorBoltsJSON</vt:lpstr>
      <vt:lpstr>StructuralBoltsJSON_090517</vt:lpstr>
      <vt:lpstr>StructuralBoltsJSON</vt:lpstr>
      <vt:lpstr>BracketBoltProperties</vt:lpstr>
      <vt:lpstr>FlangeBoltLengths</vt:lpstr>
      <vt:lpstr>BktBoltProps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 Rogers</cp:lastModifiedBy>
  <dcterms:created xsi:type="dcterms:W3CDTF">2006-09-16T00:00:00Z</dcterms:created>
  <dcterms:modified xsi:type="dcterms:W3CDTF">2021-02-01T22:24:32Z</dcterms:modified>
</cp:coreProperties>
</file>