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UnitTestArmBracketAnalysisLib\UnitTests\"/>
    </mc:Choice>
  </mc:AlternateContent>
  <xr:revisionPtr revIDLastSave="0" documentId="13_ncr:1_{C666D7A9-78BE-41E7-B208-19A9727CFBE6}" xr6:coauthVersionLast="41" xr6:coauthVersionMax="41" xr10:uidLastSave="{00000000-0000-0000-0000-000000000000}"/>
  <bookViews>
    <workbookView xWindow="-27600" yWindow="0" windowWidth="24615" windowHeight="15600" xr2:uid="{00000000-000D-0000-FFFF-FFFF00000000}"/>
  </bookViews>
  <sheets>
    <sheet name="Sheet1" sheetId="11" r:id="rId1"/>
    <sheet name="New Std" sheetId="15" r:id="rId2"/>
    <sheet name="FWT Std" sheetId="12" r:id="rId3"/>
    <sheet name="ElementMap" sheetId="16" r:id="rId4"/>
    <sheet name="New Std_Old" sheetId="13" state="hidden" r:id="rId5"/>
    <sheet name="New Std_110717" sheetId="14" state="hidden" r:id="rId6"/>
    <sheet name="Sheet2" sheetId="2" r:id="rId7"/>
    <sheet name="Sheet1 (5)" sheetId="6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Arm_Brkt_Weld" localSheetId="3">[1]Sheet2!$Q$13:$U$19</definedName>
    <definedName name="Arm_Brkt_Weld" localSheetId="1">[2]Sheet2!$Q$13:$U$19</definedName>
    <definedName name="Arm_Brkt_Weld">Sheet2!$Q$13:$U$19</definedName>
    <definedName name="Arm_Initial" localSheetId="3">[1]Sheet1!$AS$5:$AS$6</definedName>
    <definedName name="Arm_Initial" localSheetId="1">[2]Sheet1!$AS$5:$AS$6</definedName>
    <definedName name="Arm_Initial">Sheet1!$AS$5:$AS$6</definedName>
    <definedName name="AVW">[3]Analyze!$U$85</definedName>
    <definedName name="Axial">[3]Analyze!$C$26</definedName>
    <definedName name="BendRds" localSheetId="3">[1]Sheet2!$K$3:$L$8</definedName>
    <definedName name="BendRds" localSheetId="1">[2]Sheet2!$K$3:$L$8</definedName>
    <definedName name="BendRds">Sheet2!$K$3:$L$8</definedName>
    <definedName name="BoltDia" localSheetId="3">[1]Sheet2!$B$14:$B$27</definedName>
    <definedName name="BoltDia" localSheetId="1">[2]Sheet2!$B$14:$B$27</definedName>
    <definedName name="BoltDia">Sheet2!$B$14:$B$27</definedName>
    <definedName name="BoltDim" localSheetId="3">[1]Sheet2!$B$14:$K$27</definedName>
    <definedName name="BoltDim" localSheetId="1">[2]Sheet2!$B$14:$K$27</definedName>
    <definedName name="BoltDim">Sheet2!$B$14:$K$27</definedName>
    <definedName name="BoltProperties" localSheetId="3">[1]Sheet2!$Q$3:$W$8</definedName>
    <definedName name="BoltProperties" localSheetId="1">[2]Sheet2!$Q$3:$W$8</definedName>
    <definedName name="BoltProperties">Sheet2!$Q$3:$W$8</definedName>
    <definedName name="BoltSpec" localSheetId="3">[1]Sheet2!$Q$3:$Q$8</definedName>
    <definedName name="BoltSpec" localSheetId="1">[2]Sheet2!$Q$3:$Q$8</definedName>
    <definedName name="BoltSpec">Sheet2!$Q$3:$Q$8</definedName>
    <definedName name="Bracket">Sheet2!$K$3:$K$8</definedName>
    <definedName name="Cope" localSheetId="3">[1]Sheet2!$I$3:$I$4</definedName>
    <definedName name="Cope" localSheetId="1">[2]Sheet2!$I$3:$I$4</definedName>
    <definedName name="Cope">Sheet2!$I$3:$I$4</definedName>
    <definedName name="cos_22.5">[3]Arm!$H$71</definedName>
    <definedName name="cos_30">[3]Arm!$H$55</definedName>
    <definedName name="CurveRD" localSheetId="3">[1]Sheet2!$J$3:$J$5</definedName>
    <definedName name="CurveRD" localSheetId="1">[2]Sheet2!$J$3:$J$5</definedName>
    <definedName name="CurveRD">Sheet2!$J$3:$J$5</definedName>
    <definedName name="d_">[3]Analyze!$U$89</definedName>
    <definedName name="Design" localSheetId="3">#REF!</definedName>
    <definedName name="Design" localSheetId="1">#REF!</definedName>
    <definedName name="Design" localSheetId="5">#REF!</definedName>
    <definedName name="Design">#REF!</definedName>
    <definedName name="Electrode" localSheetId="3">#REF!</definedName>
    <definedName name="Electrode" localSheetId="1">#REF!</definedName>
    <definedName name="Electrode" localSheetId="5">#REF!</definedName>
    <definedName name="Electrode">#REF!</definedName>
    <definedName name="ElementMap">ElementMap!$A$1:$E$29</definedName>
    <definedName name="FaceDist">[3]Analyze!$R$90</definedName>
    <definedName name="First_Bolt" localSheetId="3">#REF!</definedName>
    <definedName name="First_Bolt" localSheetId="1">#REF!</definedName>
    <definedName name="First_Bolt" localSheetId="5">#REF!</definedName>
    <definedName name="First_Bolt" localSheetId="4">#REF!</definedName>
    <definedName name="First_Bolt" localSheetId="0">Sheet1!$AW$25:$AW$35</definedName>
    <definedName name="First_Bolt">#REF!</definedName>
    <definedName name="Flat">[3]Analyze!$U$83</definedName>
    <definedName name="Grade" localSheetId="3">[1]Sheet2!$N$3:$O$5</definedName>
    <definedName name="Grade" localSheetId="1">[2]Sheet2!$N$3:$O$5</definedName>
    <definedName name="Grade">Sheet2!$N$3:$O$5</definedName>
    <definedName name="H_mom">[3]Analyze!$C$24</definedName>
    <definedName name="H_Shr">[3]Analyze!$C$28</definedName>
    <definedName name="Knuckles">[3]Analyze!$U$84</definedName>
    <definedName name="Orientation" localSheetId="3">[1]Sheet2!$E$3:$E$4</definedName>
    <definedName name="Orientation" localSheetId="1">[2]Sheet2!$E$3:$E$4</definedName>
    <definedName name="Orientation">Sheet2!$E$3:$E$4</definedName>
    <definedName name="Penetration" localSheetId="3">#REF!</definedName>
    <definedName name="Penetration" localSheetId="1">#REF!</definedName>
    <definedName name="Penetration" localSheetId="5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5">'New Std_110717'!$B$2:$AQ$43</definedName>
    <definedName name="_xlnm.Print_Area" localSheetId="4">'New Std_Old'!$B$2:$AN$34</definedName>
    <definedName name="_xlnm.Print_Area" localSheetId="0">Sheet1!$B$2:$AA$70</definedName>
    <definedName name="_xlnm.Print_Area" localSheetId="7">'Sheet1 (5)'!#REF!</definedName>
    <definedName name="Radius">Sheet1!$AW$45:$AW$46</definedName>
    <definedName name="Shape" localSheetId="3">[1]Sheet2!$B$3:$B$7</definedName>
    <definedName name="Shape" localSheetId="1">[2]Sheet2!$B$3:$B$7</definedName>
    <definedName name="Shape">Sheet2!$B$3:$B$7</definedName>
    <definedName name="ShearPlan" localSheetId="3">[1]Sheet2!$M$13:$M$14</definedName>
    <definedName name="ShearPlan" localSheetId="1">[2]Sheet2!$M$13:$M$14</definedName>
    <definedName name="ShearPlan">Sheet2!$M$13:$M$14</definedName>
    <definedName name="sin_30">[3]Arm!$H$54</definedName>
    <definedName name="STS_WELD" localSheetId="3">#REF!</definedName>
    <definedName name="STS_WELD" localSheetId="1">#REF!</definedName>
    <definedName name="STS_WELD" localSheetId="5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3">[1]Sheet2!$G$3:$G$10</definedName>
    <definedName name="Thickness" localSheetId="1">[2]Sheet2!$G$3:$G$10</definedName>
    <definedName name="Thickness">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D19" i="16" l="1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D63" i="11" l="1"/>
  <c r="AQ30" i="11" s="1"/>
  <c r="AS17" i="11" s="1"/>
  <c r="BL49" i="11"/>
  <c r="BL50" i="11" s="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<sst xmlns="http://schemas.openxmlformats.org/spreadsheetml/2006/main" count="2039" uniqueCount="874">
  <si>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</si>
  <si>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</si>
  <si>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</si>
  <si>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</si>
  <si>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</si>
  <si>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</si>
  <si>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</si>
  <si>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</si>
  <si>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</si>
  <si>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</si>
  <si>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</si>
  <si>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</si>
  <si>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</si>
  <si>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</si>
  <si>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</si>
  <si>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</si>
  <si>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</si>
  <si>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</si>
  <si>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</si>
  <si>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</si>
  <si>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</si>
  <si>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</si>
  <si>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</si>
  <si>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</si>
  <si>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</si>
  <si>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</si>
  <si>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</si>
  <si>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</si>
  <si>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</si>
  <si>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</si>
  <si>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</si>
  <si>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</si>
  <si>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</si>
  <si>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</si>
  <si>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</si>
  <si>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</si>
  <si>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</si>
  <si>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</si>
  <si>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</si>
  <si>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</si>
  <si>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</si>
  <si>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</si>
  <si>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</si>
  <si>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</si>
  <si>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</si>
  <si>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</si>
  <si>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</si>
  <si>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</si>
  <si>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</si>
  <si>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</si>
  <si>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</si>
  <si>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</si>
  <si>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</si>
  <si>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</si>
  <si>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</si>
  <si>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</si>
  <si>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</si>
  <si>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</si>
  <si>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</si>
  <si>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</si>
  <si>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</si>
  <si>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</si>
  <si>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</si>
  <si>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</si>
  <si>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</si>
  <si>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</si>
  <si>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</si>
  <si>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</si>
  <si>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</si>
  <si>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</si>
  <si>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</si>
  <si>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</si>
  <si>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</si>
  <si>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</si>
  <si>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</si>
  <si>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</si>
  <si>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</si>
  <si>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</si>
  <si>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</si>
  <si>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</si>
  <si>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</si>
  <si>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</si>
  <si>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</si>
  <si>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</si>
  <si>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</si>
  <si>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</si>
  <si>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</si>
  <si>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</si>
  <si>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</si>
  <si>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</si>
  <si>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</si>
  <si>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</si>
  <si>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</si>
  <si>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</si>
  <si>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</si>
  <si>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</si>
  <si>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</si>
  <si>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</si>
  <si>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</si>
  <si>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</si>
  <si>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</si>
  <si>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</si>
  <si>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</si>
  <si>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</si>
  <si>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</si>
  <si>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</si>
  <si>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</si>
  <si>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</si>
  <si>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</si>
  <si>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</si>
  <si>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</si>
  <si>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</si>
  <si>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</si>
  <si>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</si>
  <si>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</si>
  <si>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</si>
  <si>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</si>
  <si>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</si>
  <si>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</si>
  <si>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</si>
  <si>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</si>
  <si>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</si>
  <si>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</si>
  <si>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</si>
  <si>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</si>
  <si>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</si>
  <si>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</si>
  <si>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</si>
  <si>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</si>
  <si>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</si>
  <si>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</si>
  <si>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</si>
  <si>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</si>
  <si>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</si>
  <si>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</si>
  <si>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</si>
  <si>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</si>
  <si>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</si>
  <si>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</si>
  <si>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</si>
  <si>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</si>
  <si>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</si>
  <si>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</si>
  <si>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</si>
  <si>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</si>
  <si>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</si>
  <si>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</si>
  <si>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</si>
  <si>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</si>
  <si>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</si>
  <si>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</si>
  <si>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</si>
  <si>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</si>
  <si>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</si>
  <si>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</si>
  <si>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</si>
  <si>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</si>
  <si>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</si>
  <si>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</si>
  <si>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</si>
  <si>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</si>
  <si>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</si>
  <si>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</si>
  <si>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</si>
  <si>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</si>
  <si>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</si>
  <si>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</si>
  <si>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</si>
  <si>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</si>
  <si>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</si>
  <si>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</si>
  <si>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</si>
  <si>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</si>
  <si>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</si>
  <si>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</si>
  <si>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</si>
  <si>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</si>
  <si>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</si>
  <si>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</si>
  <si>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</si>
  <si>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</si>
  <si>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</si>
  <si>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</si>
  <si>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</si>
  <si>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</si>
  <si>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</si>
  <si>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</si>
  <si>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</si>
  <si>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</si>
  <si>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</si>
  <si>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</si>
  <si>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</si>
  <si>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</si>
  <si>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</si>
  <si>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</si>
  <si>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</si>
  <si>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</si>
  <si>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</si>
  <si>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</si>
  <si>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</si>
  <si>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</si>
  <si>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</si>
  <si>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</si>
  <si>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</si>
  <si>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</si>
  <si>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</si>
  <si>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</si>
  <si>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</si>
  <si>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</si>
  <si>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</si>
  <si>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</si>
  <si>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</si>
  <si>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</si>
  <si>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</si>
  <si>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</si>
  <si>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</si>
  <si>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</si>
  <si>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</si>
  <si>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</si>
  <si>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</si>
  <si>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</si>
  <si>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</si>
  <si>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</si>
  <si>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</si>
  <si>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</si>
  <si>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</si>
  <si>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</si>
  <si>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</si>
  <si>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</si>
  <si>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</si>
  <si>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</si>
  <si>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</si>
  <si>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</si>
  <si>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</si>
  <si>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</si>
  <si>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</si>
  <si>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</si>
  <si>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</si>
  <si>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</si>
  <si>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</si>
  <si>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</si>
  <si>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</si>
  <si>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</si>
  <si>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</si>
  <si>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</si>
  <si>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</si>
  <si>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</si>
  <si>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</si>
  <si>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</si>
  <si>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</si>
  <si>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</si>
  <si>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</si>
  <si>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</si>
  <si>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</si>
  <si>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</si>
  <si>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</si>
  <si>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</si>
  <si>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</si>
  <si>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</si>
  <si>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</si>
  <si>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</si>
  <si>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</si>
  <si>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</si>
  <si>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</si>
  <si>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</si>
  <si>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</si>
  <si>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</si>
  <si>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</si>
  <si>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</si>
  <si>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</si>
  <si>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</si>
  <si>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</si>
  <si>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</si>
  <si>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</si>
  <si>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</si>
  <si>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</si>
  <si>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</si>
  <si>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</si>
  <si>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</si>
  <si>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</si>
  <si>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</si>
  <si>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</si>
  <si>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</si>
  <si>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</si>
  <si>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</si>
  <si>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</si>
  <si>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</si>
  <si>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</si>
  <si>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</si>
  <si>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</si>
  <si>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</si>
  <si>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</si>
  <si>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</si>
  <si>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</si>
  <si>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</si>
  <si>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</si>
  <si>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</si>
  <si>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</si>
  <si>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</si>
  <si>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</si>
  <si>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</si>
  <si>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</si>
  <si>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</si>
  <si>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</si>
  <si>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</si>
  <si>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</si>
  <si>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</si>
  <si>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</si>
  <si>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</si>
  <si>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</si>
  <si>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</si>
  <si>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</si>
  <si>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</si>
  <si>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</si>
  <si>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</si>
  <si>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</si>
  <si>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</si>
  <si>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</si>
  <si>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</si>
  <si>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</si>
  <si>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</si>
  <si>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</si>
  <si>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</si>
  <si>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</si>
  <si>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</si>
  <si>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</si>
  <si>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</si>
  <si>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</si>
  <si>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</si>
  <si>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</si>
  <si>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</si>
  <si>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</si>
  <si>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</si>
  <si>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</si>
  <si>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</si>
  <si>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</si>
  <si>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</si>
  <si>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</si>
  <si>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</si>
  <si>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</si>
  <si>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</si>
  <si>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</si>
  <si>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</si>
  <si>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</si>
  <si>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</si>
  <si>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</si>
  <si>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</si>
  <si>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</si>
  <si>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</si>
  <si>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</si>
  <si>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</si>
  <si>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</si>
  <si>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</si>
  <si>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</si>
  <si>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</si>
  <si>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</si>
  <si>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</si>
  <si>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</si>
  <si>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</si>
  <si>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</si>
  <si>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</si>
  <si>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</si>
  <si>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</si>
  <si>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</si>
  <si>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</si>
  <si>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</si>
  <si>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</si>
  <si>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</si>
  <si>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</si>
  <si>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</si>
  <si>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</si>
  <si>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</si>
  <si>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</si>
  <si>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</si>
  <si>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</si>
  <si>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</si>
  <si>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</si>
  <si>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</si>
  <si>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</si>
  <si>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</si>
  <si>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</si>
  <si>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</si>
  <si>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</si>
  <si>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</si>
  <si>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</si>
  <si>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</si>
  <si>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</si>
  <si>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</si>
  <si>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</si>
  <si>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</si>
  <si>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</si>
  <si>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</si>
  <si>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</si>
  <si>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</si>
  <si>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</si>
  <si>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</si>
  <si>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</si>
  <si>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</si>
  <si>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</si>
  <si>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</si>
  <si>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</si>
  <si>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</si>
  <si>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</si>
  <si>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</si>
  <si>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</si>
  <si>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</si>
  <si>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</si>
  <si>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</si>
  <si>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</si>
  <si>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</si>
  <si>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</si>
  <si>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</si>
  <si>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</si>
  <si>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</si>
  <si>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</si>
  <si>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</si>
  <si>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</si>
  <si>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</si>
  <si>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</si>
  <si>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</si>
  <si>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</si>
  <si>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</si>
  <si>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</si>
  <si>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</si>
  <si>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</si>
  <si>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</si>
  <si>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</si>
  <si>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</si>
  <si>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</si>
  <si>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</si>
  <si>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</si>
  <si>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</si>
  <si>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</si>
  <si>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</si>
  <si>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</si>
  <si>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</si>
  <si>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</si>
  <si>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</si>
  <si>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</si>
  <si>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</si>
  <si>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</si>
  <si>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</si>
  <si>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</si>
  <si>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</si>
  <si>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</si>
  <si>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</si>
  <si>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</si>
  <si>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</si>
  <si>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</si>
  <si>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</si>
  <si>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</si>
  <si>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</si>
  <si>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</si>
  <si>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</si>
  <si>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</si>
  <si>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</si>
  <si>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</si>
  <si>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</si>
  <si>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</si>
  <si>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</si>
  <si>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</si>
  <si>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</si>
  <si>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</si>
  <si>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</si>
  <si>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</si>
  <si>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</si>
  <si>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</si>
  <si>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</si>
  <si>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</si>
  <si>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</si>
  <si>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</si>
  <si>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</si>
  <si>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</si>
  <si>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</si>
  <si>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</si>
  <si>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</si>
  <si>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</si>
  <si>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</si>
  <si>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</si>
  <si>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</si>
  <si>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</si>
  <si>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</si>
  <si>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</si>
  <si>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</si>
  <si>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</si>
  <si>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</si>
  <si>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</si>
  <si>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</si>
  <si>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</si>
  <si>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</si>
  <si>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</si>
  <si>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</si>
  <si>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</si>
  <si>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</si>
  <si>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</si>
  <si>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</si>
  <si>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</si>
  <si>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</si>
  <si>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</si>
  <si>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</si>
  <si>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</si>
  <si>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</si>
  <si>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</si>
  <si>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</si>
  <si>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</si>
  <si>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</si>
  <si>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</si>
  <si>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</si>
  <si>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</si>
  <si>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</si>
  <si>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</si>
  <si>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</si>
  <si>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</si>
  <si>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</si>
  <si>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</si>
  <si>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</si>
  <si>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</si>
  <si>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</si>
  <si>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</si>
  <si>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</si>
  <si>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</si>
  <si>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</si>
  <si>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</si>
  <si>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</si>
  <si>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</si>
  <si>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</si>
  <si>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</si>
  <si>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</si>
  <si>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</si>
  <si>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</si>
  <si>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</si>
  <si>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</si>
  <si>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</si>
  <si>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</si>
  <si>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</si>
  <si>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</si>
  <si>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</si>
  <si>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</si>
  <si>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</si>
  <si>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</si>
  <si>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</si>
  <si>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</si>
  <si>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</si>
  <si>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</si>
  <si>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</si>
  <si>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</si>
  <si>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</si>
  <si>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</si>
  <si>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</si>
  <si>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</si>
  <si>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</si>
  <si>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</si>
  <si>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</si>
  <si>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</si>
  <si>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</si>
  <si>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</si>
  <si>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</si>
  <si>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</si>
  <si>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</si>
  <si>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</si>
  <si>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</si>
  <si>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</si>
  <si>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</si>
  <si>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</si>
  <si>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</si>
  <si>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</si>
  <si>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</si>
  <si>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</si>
  <si>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</si>
  <si>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</si>
  <si>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</si>
  <si>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</si>
  <si>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</si>
  <si>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</si>
  <si>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</si>
  <si>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</si>
  <si>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</si>
  <si>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</si>
  <si>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</si>
  <si>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</si>
  <si>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</si>
  <si>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</si>
  <si>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</si>
  <si>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</si>
  <si>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</si>
  <si>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</si>
  <si>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</si>
  <si>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</si>
  <si>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</si>
  <si>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</si>
  <si>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</si>
  <si>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</si>
  <si>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</si>
  <si>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</si>
  <si>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</si>
  <si>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</si>
  <si>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</si>
  <si>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</si>
  <si>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</si>
  <si>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</si>
  <si>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</si>
  <si>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</si>
  <si>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</si>
  <si>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</si>
  <si>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</si>
  <si>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</si>
  <si>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</si>
  <si>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</si>
  <si>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</si>
  <si>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</si>
  <si>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</si>
  <si>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</si>
  <si>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</si>
  <si>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</si>
  <si>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</si>
  <si>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</si>
  <si>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</si>
  <si>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</si>
  <si>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</si>
  <si>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</si>
  <si>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</si>
  <si>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</si>
  <si>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</si>
  <si>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</si>
  <si>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</si>
  <si>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</si>
  <si>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</si>
  <si>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</si>
  <si>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</si>
  <si>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</si>
  <si>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</si>
  <si>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</si>
  <si>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</si>
  <si>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</si>
  <si>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</si>
  <si>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</si>
  <si>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</si>
  <si>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</si>
  <si>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</si>
  <si>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</si>
  <si>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</si>
  <si>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</si>
  <si>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</si>
  <si>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</si>
  <si>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</si>
  <si>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</si>
  <si>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</si>
  <si>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</si>
  <si>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</si>
  <si>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</si>
  <si>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</si>
  <si>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</si>
  <si>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</si>
  <si>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</si>
  <si>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</si>
  <si>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</si>
  <si>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</si>
  <si>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</si>
  <si>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</si>
  <si>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</si>
  <si>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</si>
  <si>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</si>
  <si>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</si>
  <si>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</si>
  <si>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</si>
  <si>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</si>
  <si>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</si>
  <si>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</si>
  <si>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</si>
  <si>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</si>
  <si>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</si>
  <si>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</si>
  <si>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</si>
  <si>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</si>
  <si>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</si>
  <si>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</si>
  <si>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</si>
  <si>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</si>
  <si>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</si>
  <si>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</si>
  <si>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</si>
  <si>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</si>
  <si>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</si>
  <si>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</si>
  <si>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</si>
  <si>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</si>
  <si>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</si>
  <si>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</si>
  <si>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</si>
  <si>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</si>
  <si>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</si>
  <si>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</si>
  <si>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</si>
  <si>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</si>
  <si>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</si>
  <si>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</si>
  <si>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</si>
  <si>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</si>
  <si>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</si>
  <si>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</si>
  <si>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</si>
  <si>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</si>
  <si>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</si>
  <si>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</si>
  <si>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</si>
  <si>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</si>
  <si>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</si>
  <si>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</si>
  <si>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</si>
  <si>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</si>
  <si>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</si>
  <si>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</si>
  <si>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</si>
  <si>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</si>
  <si>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</si>
  <si>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</si>
  <si>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</si>
  <si>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</si>
  <si>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</si>
  <si>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</si>
  <si>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</si>
  <si>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</si>
  <si>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</si>
  <si>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</si>
  <si>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</si>
  <si>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</si>
  <si>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</si>
  <si>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</si>
  <si>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</si>
  <si>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</si>
  <si>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</si>
  <si>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</si>
  <si>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</si>
  <si>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</si>
  <si>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</si>
  <si>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</si>
  <si>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</si>
  <si>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</si>
  <si>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</si>
  <si>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</si>
  <si>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</si>
  <si>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</si>
  <si>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</si>
  <si>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</si>
  <si>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</si>
  <si>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</si>
  <si>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</si>
  <si>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</si>
  <si>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</si>
  <si>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</si>
  <si>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</si>
  <si>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</si>
  <si>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</si>
  <si>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</si>
  <si>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</si>
  <si>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</si>
  <si>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</si>
  <si>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</si>
  <si>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</si>
  <si>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</si>
  <si>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</si>
  <si>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</si>
  <si>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</si>
  <si>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</si>
  <si>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</si>
  <si>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</si>
  <si>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</si>
  <si>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</si>
  <si>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</si>
  <si>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</si>
  <si>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</si>
  <si>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</si>
  <si>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</si>
  <si>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</si>
  <si>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</si>
  <si>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</si>
  <si>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</si>
  <si>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</si>
  <si>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</si>
  <si>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</si>
  <si>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</si>
  <si>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</si>
  <si>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</si>
  <si>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</si>
  <si>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</si>
  <si>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</si>
  <si>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</si>
  <si>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</si>
  <si>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</si>
  <si>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</si>
  <si>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Description</t>
  </si>
  <si>
    <t>Address</t>
  </si>
  <si>
    <t>Element Name</t>
  </si>
  <si>
    <t>Column1</t>
  </si>
  <si>
    <t>Column</t>
  </si>
  <si>
    <t>$A$4</t>
  </si>
  <si>
    <t>HEXMinArmBaseDiam</t>
  </si>
  <si>
    <t>B</t>
  </si>
  <si>
    <t>$B$4</t>
  </si>
  <si>
    <t>HEXMaxArmBaseDiam</t>
  </si>
  <si>
    <t>STDMinArmBaseDiam</t>
  </si>
  <si>
    <t>D</t>
  </si>
  <si>
    <t>STDMaxArmBaseDiam</t>
  </si>
  <si>
    <t>$C$4</t>
  </si>
  <si>
    <t>STDMaxArmThick</t>
  </si>
  <si>
    <t>$D$4</t>
  </si>
  <si>
    <t>BracketID</t>
  </si>
  <si>
    <t>G</t>
  </si>
  <si>
    <t>$E$4</t>
  </si>
  <si>
    <t>BracketThick</t>
  </si>
  <si>
    <t>H</t>
  </si>
  <si>
    <t>$H$4</t>
  </si>
  <si>
    <t>BracketOpening</t>
  </si>
  <si>
    <t>$I$4</t>
  </si>
  <si>
    <t>ThruPlateSGLID</t>
  </si>
  <si>
    <t>L</t>
  </si>
  <si>
    <t>$J$4</t>
  </si>
  <si>
    <t>ThruPlateDBLID</t>
  </si>
  <si>
    <t>$K$4</t>
  </si>
  <si>
    <t>ThruPlateThick</t>
  </si>
  <si>
    <t>N</t>
  </si>
  <si>
    <t>$M$4</t>
  </si>
  <si>
    <t>ThruPlateWidth</t>
  </si>
  <si>
    <t>$N$4</t>
  </si>
  <si>
    <t>Height</t>
  </si>
  <si>
    <t>Q</t>
  </si>
  <si>
    <t>$Q$4</t>
  </si>
  <si>
    <t>MinEdgeDist</t>
  </si>
  <si>
    <t>T</t>
  </si>
  <si>
    <t>$R$4</t>
  </si>
  <si>
    <t>StiffenerQty</t>
  </si>
  <si>
    <t>$S$4</t>
  </si>
  <si>
    <t>StiffenerThick</t>
  </si>
  <si>
    <t>V</t>
  </si>
  <si>
    <t>$T$4</t>
  </si>
  <si>
    <t>StiffenerWidth</t>
  </si>
  <si>
    <t>W</t>
  </si>
  <si>
    <t>$V$4</t>
  </si>
  <si>
    <t>StiffenerVertSpacing</t>
  </si>
  <si>
    <t>$W$4</t>
  </si>
  <si>
    <t>BoltQty</t>
  </si>
  <si>
    <t>Z</t>
  </si>
  <si>
    <t>$X$4</t>
  </si>
  <si>
    <t>BoltCenterSpace</t>
  </si>
  <si>
    <t>AA</t>
  </si>
  <si>
    <t>$Y$4</t>
  </si>
  <si>
    <t>BoltSpacing</t>
  </si>
  <si>
    <t>AB</t>
  </si>
  <si>
    <t>$Z$4</t>
  </si>
  <si>
    <t>BoltSpec</t>
  </si>
  <si>
    <t>AC</t>
  </si>
  <si>
    <t>$AA$4</t>
  </si>
  <si>
    <t>BoltDiameter</t>
  </si>
  <si>
    <t>AD</t>
  </si>
  <si>
    <t>With
Lock Nut Only</t>
  </si>
  <si>
    <t>$AC$5</t>
  </si>
  <si>
    <t>BoltLength</t>
  </si>
  <si>
    <t>$AG$4</t>
  </si>
  <si>
    <t>LegDim</t>
  </si>
  <si>
    <t>$AI$4</t>
  </si>
  <si>
    <t>BracketSideWidth</t>
  </si>
  <si>
    <t>AK</t>
  </si>
  <si>
    <t>$AL$4</t>
  </si>
  <si>
    <t>$AM$4</t>
  </si>
  <si>
    <t>AQ</t>
  </si>
  <si>
    <t>O</t>
  </si>
  <si>
    <t>X</t>
  </si>
  <si>
    <t>AE</t>
  </si>
  <si>
    <t>AG</t>
  </si>
  <si>
    <t>AR</t>
  </si>
  <si>
    <t>AL</t>
  </si>
  <si>
    <t>Weather'g Weight</t>
  </si>
  <si>
    <t>Galv'd weight</t>
  </si>
  <si>
    <t>Design Test #5: 2 bolts - Octagonal (point-point)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</si>
</sst>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5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jpe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42" Type="http://schemas.openxmlformats.org/officeDocument/2006/relationships/image" Target="../media/image51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488449</xdr:colOff>
      <xdr:row>67</xdr:row>
      <xdr:rowOff>95252</xdr:rowOff>
    </xdr:from>
    <xdr:to>
      <xdr:col>58</xdr:col>
      <xdr:colOff>473754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7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7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7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7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7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7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7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7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7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7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7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7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7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7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7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080817_Latest_Unprotected-M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anskota/Desktop/arm%20connection%20design%202%202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05651-1E43-465C-B662-2B574DD88924}" name="ElementMap_1" displayName="ElementMap_1" ref="A1:E29" totalsRowShown="0">
  <autoFilter ref="A1:E29" xr:uid="{00000000-0009-0000-0100-000001000000}"/>
  <tableColumns count="5">
    <tableColumn id="1" xr3:uid="{3544D399-3880-45F2-BDEE-0F59AA8B5466}" name="Description" dataDxfId="3"/>
    <tableColumn id="2" xr3:uid="{F8424D50-172E-4194-95F4-0F89FF3D2017}" name="Address" dataDxfId="2"/>
    <tableColumn id="3" xr3:uid="{0963C7BF-56F9-4E96-ADCE-BC9EB35EE4DA}" name="Element Name"/>
    <tableColumn id="5" xr3:uid="{68752EC3-B15E-4C6B-8A5A-209CA6F71573}" name="Column1" dataDxfId="1">
      <calculatedColumnFormula>CODE($E2) - 64</calculatedColumnFormula>
    </tableColumn>
    <tableColumn id="4" xr3:uid="{D9E33CB7-4C5E-44B6-A897-A087749367F9}" name="Colum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4" zoomScale="82" zoomScaleNormal="82" zoomScaleSheetLayoutView="82" workbookViewId="0">
      <selection activeCell="P64" sqref="P64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974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35" t="s">
        <v>0</v>
      </c>
      <c r="C2" s="2235"/>
      <c r="D2" s="2235"/>
      <c r="E2" s="2235"/>
      <c r="F2" s="2235"/>
      <c r="G2" s="2235"/>
      <c r="H2" s="2235"/>
      <c r="I2" s="2235"/>
      <c r="O2" s="2235" t="s">
        <v>0</v>
      </c>
      <c r="P2" s="2235"/>
      <c r="Q2" s="2235"/>
      <c r="R2" s="2235"/>
      <c r="S2" s="2235"/>
      <c r="T2" s="2235"/>
      <c r="U2" s="2235"/>
      <c r="V2" s="2235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2</v>
      </c>
      <c r="AM3" s="55" t="s">
        <v>90</v>
      </c>
      <c r="AN3" s="57">
        <f>MOD(D32,4)</f>
        <v>2</v>
      </c>
      <c r="AO3" s="57">
        <f>INT(D32/4)</f>
        <v>0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0</v>
      </c>
      <c r="BU3" s="974">
        <f t="shared" si="0"/>
        <v>45</v>
      </c>
      <c r="BV3" s="974">
        <f t="shared" si="0"/>
        <v>90</v>
      </c>
      <c r="BW3" s="974">
        <f t="shared" si="0"/>
        <v>135</v>
      </c>
      <c r="BX3" s="974">
        <f t="shared" si="0"/>
        <v>180</v>
      </c>
      <c r="BY3" s="974">
        <f t="shared" si="0"/>
        <v>225</v>
      </c>
      <c r="BZ3" s="974">
        <f t="shared" si="0"/>
        <v>270</v>
      </c>
      <c r="CA3" s="974">
        <f t="shared" si="0"/>
        <v>315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36" t="s">
        <v>1</v>
      </c>
      <c r="E4" s="2236"/>
      <c r="F4" s="160" t="s">
        <v>636</v>
      </c>
      <c r="G4" s="37" t="s">
        <v>6</v>
      </c>
      <c r="H4" s="2238">
        <v>42821</v>
      </c>
      <c r="I4" s="2239"/>
      <c r="O4" s="37" t="s">
        <v>2</v>
      </c>
      <c r="P4" s="123">
        <f>C4</f>
        <v>0</v>
      </c>
      <c r="Q4" s="2236" t="s">
        <v>1</v>
      </c>
      <c r="R4" s="2236"/>
      <c r="S4" s="124" t="str">
        <f>F4</f>
        <v>17-11484</v>
      </c>
      <c r="T4" s="37" t="s">
        <v>6</v>
      </c>
      <c r="U4" s="2237">
        <f>H4</f>
        <v>42821</v>
      </c>
      <c r="V4" s="2237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2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39" t="s">
        <v>637</v>
      </c>
      <c r="D5" s="2239"/>
      <c r="E5" s="2239"/>
      <c r="F5" s="2239"/>
      <c r="G5" s="48" t="s">
        <v>4</v>
      </c>
      <c r="H5" s="2239" t="s">
        <v>638</v>
      </c>
      <c r="I5" s="2239"/>
      <c r="J5" s="2239"/>
      <c r="K5" s="2239"/>
      <c r="L5" s="2239"/>
      <c r="M5" s="2239"/>
      <c r="N5" s="49"/>
      <c r="O5" s="37" t="s">
        <v>3</v>
      </c>
      <c r="P5" s="2237" t="str">
        <f>C5</f>
        <v>PG&amp;E</v>
      </c>
      <c r="Q5" s="2237"/>
      <c r="R5" s="2237"/>
      <c r="S5" s="2237"/>
      <c r="T5" s="126" t="s">
        <v>4</v>
      </c>
      <c r="U5" s="2237" t="str">
        <f>H5</f>
        <v>PT ARM TO POLE CONNECTION</v>
      </c>
      <c r="V5" s="2237"/>
      <c r="W5" s="2237"/>
      <c r="X5" s="2237"/>
      <c r="Y5" s="2237"/>
      <c r="Z5" s="2237"/>
      <c r="AJ5" s="2240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43" t="s">
        <v>873</v>
      </c>
      <c r="D6" s="2243"/>
      <c r="E6" s="2243"/>
      <c r="F6" s="2243"/>
      <c r="G6" s="2239"/>
      <c r="H6" s="2239"/>
      <c r="I6" s="2239"/>
      <c r="O6" s="37" t="s">
        <v>5</v>
      </c>
      <c r="P6" s="2244" t="str">
        <f>C6</f>
        <v>Design Test #5: 2 bolts - Octagonal (point-point)</v>
      </c>
      <c r="Q6" s="2244"/>
      <c r="R6" s="2244"/>
      <c r="S6" s="2244"/>
      <c r="T6" s="2237"/>
      <c r="U6" s="2237"/>
      <c r="V6" s="2237"/>
      <c r="W6" s="125"/>
      <c r="X6" s="125"/>
      <c r="Y6" s="125"/>
      <c r="Z6" s="125"/>
      <c r="AI6" s="11"/>
      <c r="AJ6" s="2240"/>
      <c r="AK6" s="61">
        <f>D32*G32*(D63/2)^2</f>
        <v>100.48</v>
      </c>
      <c r="AL6" s="61">
        <f>4*G32*AL18</f>
        <v>0</v>
      </c>
      <c r="AM6" s="61">
        <f>D32*G32*(D63/2)^2</f>
        <v>100.48</v>
      </c>
      <c r="AN6" s="61">
        <f>D32*G32</f>
        <v>1.57</v>
      </c>
      <c r="AO6" s="62">
        <f>IF(AP6=99,D47+D62+D31+0.75,D47+D62+AP6)</f>
        <v>3</v>
      </c>
      <c r="AP6" s="63">
        <f>VLOOKUP(D31,BoltDim,8,FALSE)</f>
        <v>1.75</v>
      </c>
      <c r="AQ6" s="63">
        <f>IF(AP6=99,D31+1,AP6)</f>
        <v>1.75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</v>
      </c>
      <c r="BU6" s="974">
        <f t="shared" si="1"/>
        <v>0.78539816339744828</v>
      </c>
      <c r="BV6" s="974">
        <f t="shared" si="1"/>
        <v>1.5707963267948966</v>
      </c>
      <c r="BW6" s="974">
        <f t="shared" si="1"/>
        <v>2.3561944901923448</v>
      </c>
      <c r="BX6" s="974">
        <f t="shared" si="1"/>
        <v>3.1415926535897931</v>
      </c>
      <c r="BY6" s="974">
        <f t="shared" si="1"/>
        <v>3.9269908169872414</v>
      </c>
      <c r="BZ6" s="974">
        <f t="shared" si="1"/>
        <v>4.7123889803846897</v>
      </c>
      <c r="CA6" s="974">
        <f t="shared" si="1"/>
        <v>5.497787143782138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0.63694267515923564</v>
      </c>
      <c r="AN8" s="63">
        <f>BA32/AN6</f>
        <v>0.95541401273885351</v>
      </c>
      <c r="AO8" s="63"/>
      <c r="AP8" s="63"/>
      <c r="AQ8" s="63">
        <f>MAX((D50+D47)/2,3)</f>
        <v>3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14.882892754020418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5" t="s">
        <v>464</v>
      </c>
      <c r="BJ8" s="2226"/>
      <c r="BK8" s="2226"/>
      <c r="BL8" s="2226"/>
      <c r="BM8" s="2226"/>
      <c r="BN8" s="2226"/>
      <c r="BO8" s="2226"/>
      <c r="BP8" s="2226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16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7.4414463770102088</v>
      </c>
      <c r="BU9" s="988">
        <f t="shared" ref="BU9:CE9" si="2">IF(BU8&gt;$AX$9,0,$G$11*COS(BU6)/2)</f>
        <v>5.2618971950199853</v>
      </c>
      <c r="BV9" s="988">
        <f t="shared" si="2"/>
        <v>4.5584382655397032E-16</v>
      </c>
      <c r="BW9" s="988">
        <f t="shared" si="2"/>
        <v>-5.2618971950199844</v>
      </c>
      <c r="BX9" s="988">
        <f t="shared" si="2"/>
        <v>-7.4414463770102088</v>
      </c>
      <c r="BY9" s="988">
        <f t="shared" si="2"/>
        <v>-5.2618971950199853</v>
      </c>
      <c r="BZ9" s="988">
        <f t="shared" si="2"/>
        <v>-1.3675314796619109E-15</v>
      </c>
      <c r="CA9" s="988">
        <f t="shared" si="2"/>
        <v>5.2618971950199835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7</v>
      </c>
      <c r="E10" s="12" t="s">
        <v>31</v>
      </c>
      <c r="F10" s="21" t="s">
        <v>157</v>
      </c>
      <c r="G10" s="993">
        <f>IF(D9="Round",D10,D10/COS(AX10))</f>
        <v>7.5767454020467575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Point-Point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0</v>
      </c>
      <c r="AL10" s="63">
        <f>AK10^2</f>
        <v>0</v>
      </c>
      <c r="AM10" s="79">
        <f>IF(D32=2,($BE$34*12*$D$63/2)/$AM$6+$AM$8,IF(AK10=0,0,($BE$32*12*AK10)/$AL$6+($BE$34*12*$D$63/2)/$AM$6+$AM$8))</f>
        <v>134.75318471337582</v>
      </c>
      <c r="AN10" s="79">
        <f>IF(D32=2,($BE$33*12*$D$63/2)/$AK$6+$AN$8,IF(AK10=0,0,($BE$33*12*$D$63/2)/$AK$6+$AN$8))</f>
        <v>6.5923566878980902</v>
      </c>
      <c r="AO10" s="79">
        <f t="shared" ref="AO10:AO17" si="3">SQRT(AM10^2+AN10^2)</f>
        <v>134.91434303697162</v>
      </c>
      <c r="AP10" s="80">
        <f t="shared" ref="AP10:AP17" si="4">AM10*$G$32</f>
        <v>105.78125000000001</v>
      </c>
      <c r="AQ10" s="63">
        <f>AP10*$AQ$30*(3*$AQ$30+2*$AQ$8)/(2*(3*$AQ$30+$AQ$8))</f>
        <v>105.8882747970131</v>
      </c>
      <c r="AR10" s="63">
        <f>AP10*$AQ$30/2</f>
        <v>74.890000141869848</v>
      </c>
      <c r="AS10" s="63">
        <f>3*AP10*$AQ$30*$AQ$30/(2*(3*$AQ$30+$AQ$8))</f>
        <v>43.8917254867266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8.4426562499999989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0</v>
      </c>
      <c r="BU10" s="988">
        <f t="shared" ref="BU10:CE10" si="5">IF(BU8&gt;$AX$9,0,$G$11*SIN(BU6)/2)</f>
        <v>5.2618971950199844</v>
      </c>
      <c r="BV10" s="988">
        <f t="shared" si="5"/>
        <v>7.4414463770102088</v>
      </c>
      <c r="BW10" s="988">
        <f t="shared" si="5"/>
        <v>5.2618971950199853</v>
      </c>
      <c r="BX10" s="988">
        <f t="shared" si="5"/>
        <v>9.1168765310794064E-16</v>
      </c>
      <c r="BY10" s="988">
        <f t="shared" si="5"/>
        <v>-5.2618971950199844</v>
      </c>
      <c r="BZ10" s="988">
        <f t="shared" si="5"/>
        <v>-7.4414463770102088</v>
      </c>
      <c r="CA10" s="988">
        <f t="shared" si="5"/>
        <v>-5.2618971950199853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13.75</v>
      </c>
      <c r="E11" s="12" t="s">
        <v>31</v>
      </c>
      <c r="F11" s="21" t="s">
        <v>119</v>
      </c>
      <c r="G11" s="17">
        <f>IF(D9="Round",D11,D11/COS(AX10))</f>
        <v>14.882892754020418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7</v>
      </c>
      <c r="T11" s="12" t="s">
        <v>31</v>
      </c>
      <c r="U11" s="72"/>
      <c r="V11" s="89" t="s">
        <v>242</v>
      </c>
      <c r="W11" s="84">
        <f>G10</f>
        <v>7.5767454020467575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0</v>
      </c>
      <c r="AL11" s="63">
        <f t="shared" ref="AL11:AL17" si="6">AK11^2</f>
        <v>0</v>
      </c>
      <c r="AM11" s="79">
        <f t="shared" ref="AM11:AM17" si="7">IF(AK11=0,0,($BE$32*12*AK11)/$AL$6+($BE$34*12*$D$63/2)/$AM$6+$AM$8)</f>
        <v>0</v>
      </c>
      <c r="AN11" s="79">
        <f t="shared" ref="AN11:AN17" si="8">IF(AK11=0,0,($BE$33*12*$D$63/2)/$AK$6+$AN$8)</f>
        <v>0</v>
      </c>
      <c r="AO11" s="79">
        <f t="shared" si="3"/>
        <v>0</v>
      </c>
      <c r="AP11" s="80">
        <f t="shared" si="4"/>
        <v>0</v>
      </c>
      <c r="AQ11" s="63">
        <f t="shared" ref="AQ11:AQ17" si="9">AP11*$AQ$30*(3*$AQ$30+2*$AQ$8)/(2*(3*$AQ$30+$AQ$8))</f>
        <v>0</v>
      </c>
      <c r="AR11" s="63">
        <f t="shared" ref="AR11:AR17" si="10">AP11*$AQ$30/2</f>
        <v>0</v>
      </c>
      <c r="AS11" s="63">
        <f t="shared" ref="AS11:AS17" si="11">3*AP11*$AQ$30*$AQ$30/(2*(3*$AQ$30+$AQ$8))</f>
        <v>0</v>
      </c>
      <c r="AT11" s="63"/>
      <c r="AU11" s="67"/>
      <c r="AV11" s="67"/>
      <c r="AW11" s="68" t="s">
        <v>103</v>
      </c>
      <c r="AX11" s="77">
        <f>D11*TAN(AX10)</f>
        <v>5.6954364826300568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409.7553491821289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0.1875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13.75</v>
      </c>
      <c r="T12" s="12" t="s">
        <v>31</v>
      </c>
      <c r="U12" s="72"/>
      <c r="V12" s="89" t="s">
        <v>243</v>
      </c>
      <c r="W12" s="84">
        <f>G11</f>
        <v>14.882892754020418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0</v>
      </c>
      <c r="AL12" s="63">
        <f t="shared" si="6"/>
        <v>0</v>
      </c>
      <c r="AM12" s="79">
        <f t="shared" si="7"/>
        <v>0</v>
      </c>
      <c r="AN12" s="79">
        <f t="shared" si="8"/>
        <v>0</v>
      </c>
      <c r="AO12" s="79">
        <f t="shared" si="3"/>
        <v>0</v>
      </c>
      <c r="AP12" s="80">
        <f t="shared" si="4"/>
        <v>0</v>
      </c>
      <c r="AQ12" s="63">
        <f t="shared" si="9"/>
        <v>0</v>
      </c>
      <c r="AR12" s="63">
        <f t="shared" si="10"/>
        <v>0</v>
      </c>
      <c r="AS12" s="63">
        <f t="shared" si="11"/>
        <v>0</v>
      </c>
      <c r="AT12" s="63"/>
      <c r="AU12" s="74"/>
      <c r="AV12" s="74"/>
      <c r="AW12" s="75" t="s">
        <v>115</v>
      </c>
      <c r="AX12" s="76">
        <f>D63/2</f>
        <v>8</v>
      </c>
      <c r="AY12" s="63"/>
      <c r="AZ12" s="63"/>
      <c r="BA12" s="63"/>
      <c r="BB12" s="63"/>
      <c r="BC12" s="86" t="s">
        <v>123</v>
      </c>
      <c r="BD12" s="63">
        <f>D52+D47</f>
        <v>2.125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204.87767459106445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0.1875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7.5</v>
      </c>
      <c r="AY13" s="63"/>
      <c r="AZ13" s="63"/>
      <c r="BA13" s="63"/>
      <c r="BB13" s="63"/>
      <c r="BC13" s="86" t="s">
        <v>124</v>
      </c>
      <c r="BD13" s="63">
        <f>ACOS((BD12-BD11)/BD12)</f>
        <v>0.34470117979864612</v>
      </c>
      <c r="BE13" s="63"/>
      <c r="BF13" s="63"/>
      <c r="BG13" s="63"/>
      <c r="BH13" s="64"/>
      <c r="BK13" s="958" t="s">
        <v>456</v>
      </c>
      <c r="BL13" s="991">
        <f>BL9*BO13/12</f>
        <v>161.41877392023261</v>
      </c>
      <c r="BM13" s="959"/>
      <c r="BN13" s="960" t="s">
        <v>453</v>
      </c>
      <c r="BO13" s="990">
        <f>2*BP15*BO12/D11</f>
        <v>29.800389031427557</v>
      </c>
      <c r="BP13" s="959"/>
      <c r="BS13" s="149" t="s">
        <v>466</v>
      </c>
      <c r="BT13" s="974">
        <f>BL33/BL10</f>
        <v>0.11844613476949273</v>
      </c>
    </row>
    <row r="14" spans="2:83" ht="15.75" x14ac:dyDescent="0.25">
      <c r="B14" s="25"/>
      <c r="C14" s="21" t="s">
        <v>235</v>
      </c>
      <c r="D14" s="153">
        <v>13.75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13.072916666666666</v>
      </c>
      <c r="T14" s="88" t="s">
        <v>37</v>
      </c>
      <c r="U14" s="72"/>
      <c r="V14" s="89" t="s">
        <v>215</v>
      </c>
      <c r="W14" s="130">
        <f>D16</f>
        <v>0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26.233525616962684</v>
      </c>
      <c r="BP14" s="1249"/>
      <c r="BS14" s="149" t="s">
        <v>482</v>
      </c>
      <c r="BT14" s="974">
        <f>12*BP33*(G11/2)/BL11</f>
        <v>1.2857779759164181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0.17766920215423909</v>
      </c>
    </row>
    <row r="16" spans="2:83" ht="15.75" x14ac:dyDescent="0.25">
      <c r="B16" s="25"/>
      <c r="C16" s="21" t="s">
        <v>34</v>
      </c>
      <c r="D16" s="159">
        <f>IF(F16="",(D11-D10)/2,F16)</f>
        <v>0</v>
      </c>
      <c r="E16" s="12" t="s">
        <v>31</v>
      </c>
      <c r="F16" s="153">
        <v>0</v>
      </c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0.91364918053615107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0.7180703308172538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1.2436844150796738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3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16.071752092385911</v>
      </c>
      <c r="BE17" s="63">
        <f>AX8+0.125</f>
        <v>15.007892754020418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0</v>
      </c>
      <c r="AL18" s="74">
        <f>SUM(AL10:AL17)</f>
        <v>0</v>
      </c>
      <c r="AM18" s="63"/>
      <c r="AN18" s="63"/>
      <c r="AO18" s="99">
        <f>MAX(AO10:AO17)</f>
        <v>134.91434303697162</v>
      </c>
      <c r="AP18" s="100">
        <f>SUM(AP10:AP17)</f>
        <v>105.78125000000001</v>
      </c>
      <c r="AQ18" s="63">
        <f>SUM(AQ10:AQ17)</f>
        <v>105.8882747970131</v>
      </c>
      <c r="AR18" s="63">
        <f>SUM(AR10:AR17)</f>
        <v>74.890000141869848</v>
      </c>
      <c r="AS18" s="63">
        <f>SUM(AS10:AS17)</f>
        <v>43.8917254867266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1.5</v>
      </c>
      <c r="AY18" s="73"/>
      <c r="AZ18" s="63"/>
      <c r="BA18" s="63"/>
      <c r="BB18" s="63"/>
      <c r="BC18" s="86" t="s">
        <v>126</v>
      </c>
      <c r="BD18" s="63">
        <f>CEILING(BD17-0.15625,1)</f>
        <v>16</v>
      </c>
      <c r="BE18" s="63">
        <f>CEILING(BE17,1)</f>
        <v>16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46" t="s">
        <v>216</v>
      </c>
      <c r="W19" s="2247"/>
      <c r="X19" s="2247"/>
      <c r="Y19" s="2247"/>
      <c r="Z19" s="2248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</v>
      </c>
      <c r="AY19" s="79"/>
      <c r="AZ19" s="63"/>
      <c r="BA19" s="63"/>
      <c r="BB19" s="63"/>
      <c r="BC19" s="86" t="s">
        <v>122</v>
      </c>
      <c r="BD19" s="87">
        <f>((D11-2*D12)-(BD18-2*D52))/2</f>
        <v>0.1875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1.6166270523583697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6.7039721025193666</v>
      </c>
      <c r="BU19" s="974">
        <f t="shared" ref="BU19:CE19" si="12">12*($BP$32*BU9+$BP$34*BU10)/$BO$12+$BT$13</f>
        <v>46.656253323411086</v>
      </c>
      <c r="BV19" s="974">
        <f t="shared" si="12"/>
        <v>59.347318256300674</v>
      </c>
      <c r="BW19" s="974">
        <f t="shared" si="12"/>
        <v>37.342913184459022</v>
      </c>
      <c r="BX19" s="974">
        <f t="shared" si="12"/>
        <v>-6.4670798329803736</v>
      </c>
      <c r="BY19" s="974">
        <f t="shared" si="12"/>
        <v>-46.419361053872102</v>
      </c>
      <c r="BZ19" s="974">
        <f t="shared" si="12"/>
        <v>-59.11042598676169</v>
      </c>
      <c r="CA19" s="974">
        <f t="shared" si="12"/>
        <v>-37.106020914920038</v>
      </c>
      <c r="CB19" s="974">
        <f t="shared" si="12"/>
        <v>0.11844613476949273</v>
      </c>
      <c r="CC19" s="974">
        <f t="shared" si="12"/>
        <v>0.11844613476949273</v>
      </c>
      <c r="CD19" s="974">
        <f t="shared" si="12"/>
        <v>0.11844613476949273</v>
      </c>
      <c r="CE19" s="974">
        <f t="shared" si="12"/>
        <v>0.11844613476949273</v>
      </c>
    </row>
    <row r="20" spans="2:83" ht="18" customHeight="1" x14ac:dyDescent="0.25">
      <c r="B20" s="973"/>
      <c r="C20" s="1246"/>
      <c r="D20" s="1246"/>
      <c r="E20" s="1246"/>
      <c r="F20" s="2228" t="s">
        <v>458</v>
      </c>
      <c r="G20" s="2228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11" t="str">
        <f>IF(D34="Include Threads","Note: Threads are included in shear plane!","")</f>
        <v/>
      </c>
      <c r="W20" s="2212"/>
      <c r="X20" s="2212"/>
      <c r="Y20" s="2212"/>
      <c r="Z20" s="2213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8.2882222654876436E-3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0.17766920215423909</v>
      </c>
      <c r="BU20" s="974">
        <f t="shared" ref="BU20:CE20" si="13">$BT$15+BU14*BU10/($G$11/2)</f>
        <v>0.17766920215423909</v>
      </c>
      <c r="BV20" s="974">
        <f t="shared" si="13"/>
        <v>0.17766920215423909</v>
      </c>
      <c r="BW20" s="974">
        <f t="shared" si="13"/>
        <v>0.17766920215423909</v>
      </c>
      <c r="BX20" s="974">
        <f t="shared" si="13"/>
        <v>0.17766920215423909</v>
      </c>
      <c r="BY20" s="974">
        <f t="shared" si="13"/>
        <v>0.17766920215423909</v>
      </c>
      <c r="BZ20" s="974">
        <f t="shared" si="13"/>
        <v>0.17766920215423909</v>
      </c>
      <c r="CA20" s="974">
        <f t="shared" si="13"/>
        <v>0.17766920215423909</v>
      </c>
      <c r="CB20" s="974">
        <f t="shared" si="13"/>
        <v>0.17766920215423909</v>
      </c>
      <c r="CC20" s="974">
        <f t="shared" si="13"/>
        <v>0.17766920215423909</v>
      </c>
      <c r="CD20" s="974">
        <f t="shared" si="13"/>
        <v>0.17766920215423909</v>
      </c>
      <c r="CE20" s="974">
        <f t="shared" si="13"/>
        <v>0.17766920215423909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11" t="str">
        <f>IF(D37=AX19,"", "Warning: Non-standard bolt spacing!")</f>
        <v/>
      </c>
      <c r="W21" s="2212"/>
      <c r="X21" s="2212"/>
      <c r="Y21" s="2212"/>
      <c r="Z21" s="2213"/>
      <c r="AA21" s="64"/>
      <c r="AJ21" s="54" t="s">
        <v>107</v>
      </c>
      <c r="AK21" s="63">
        <f>IF(D54&gt;1,D55,0)</f>
        <v>0.625</v>
      </c>
      <c r="AL21" s="63">
        <f>IF(D54&gt;1,D56,0)</f>
        <v>2.5</v>
      </c>
      <c r="AM21" s="63">
        <f>(D62*D49/2*D62/2+AK21*AL21*(D62+AL21/2))/(D49/2*D62+AK21*AL21)</f>
        <v>0.67169540229885061</v>
      </c>
      <c r="AN21" s="63">
        <f>D62+AL21-AM21</f>
        <v>2.4533045977011492</v>
      </c>
      <c r="AO21" s="63">
        <f>AT26*D62^3/12+AK21*AL21^3/12+AT26*D62*(D62/2-AM21)^2+AK21*AL21*(D62+AL21/2-AM21)^2+IF(D32=2,AK21*AL21^3/12+AK21*AL21*(D62+AL21/2-AM21)^2,0)</f>
        <v>7.6671735914998678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17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4.2099662821832542</v>
      </c>
      <c r="BS21" s="149" t="s">
        <v>481</v>
      </c>
      <c r="BT21" s="974">
        <f>$BT$16+BT14*BT9/($G$11/2)</f>
        <v>2.529462390996092</v>
      </c>
      <c r="BU21" s="974">
        <f t="shared" ref="BU21:CE21" si="14">$BT$16+BU14*BU9/($G$11/2)</f>
        <v>1.2436844150796738</v>
      </c>
      <c r="BV21" s="974">
        <f t="shared" si="14"/>
        <v>1.2436844150796738</v>
      </c>
      <c r="BW21" s="974">
        <f t="shared" si="14"/>
        <v>1.2436844150796738</v>
      </c>
      <c r="BX21" s="974">
        <f t="shared" si="14"/>
        <v>1.2436844150796738</v>
      </c>
      <c r="BY21" s="974">
        <f t="shared" si="14"/>
        <v>1.2436844150796738</v>
      </c>
      <c r="BZ21" s="974">
        <f t="shared" si="14"/>
        <v>1.2436844150796738</v>
      </c>
      <c r="CA21" s="974">
        <f t="shared" si="14"/>
        <v>1.2436844150796738</v>
      </c>
      <c r="CB21" s="974">
        <f t="shared" si="14"/>
        <v>1.2436844150796738</v>
      </c>
      <c r="CC21" s="974">
        <f t="shared" si="14"/>
        <v>1.2436844150796738</v>
      </c>
      <c r="CD21" s="974">
        <f t="shared" si="14"/>
        <v>1.2436844150796738</v>
      </c>
      <c r="CE21" s="974">
        <f t="shared" si="14"/>
        <v>1.2436844150796738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11" t="str">
        <f>IF(OR(D38&lt;AX18,D39&lt;AX18),"Warning: Edge distance not meet minimum!","")</f>
        <v/>
      </c>
      <c r="W22" s="2212"/>
      <c r="X22" s="2212"/>
      <c r="Y22" s="2212"/>
      <c r="Z22" s="2213"/>
      <c r="AA22" s="64"/>
      <c r="AJ22" s="188">
        <v>2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8.0145168881181661</v>
      </c>
      <c r="BU22" s="974">
        <f t="shared" ref="BU22:CE22" si="15">SQRT(BU19^2+3*(BU20^2+BU21^2))</f>
        <v>46.706968709041981</v>
      </c>
      <c r="BV22" s="974">
        <f t="shared" si="15"/>
        <v>59.387196734849823</v>
      </c>
      <c r="BW22" s="974">
        <f t="shared" si="15"/>
        <v>37.406257723957928</v>
      </c>
      <c r="BX22" s="974">
        <f t="shared" si="15"/>
        <v>6.8233476663042785</v>
      </c>
      <c r="BY22" s="974">
        <f t="shared" si="15"/>
        <v>46.470334972526899</v>
      </c>
      <c r="BZ22" s="974">
        <f t="shared" si="15"/>
        <v>59.150464175233239</v>
      </c>
      <c r="CA22" s="974">
        <f t="shared" si="15"/>
        <v>37.169769167262821</v>
      </c>
      <c r="CB22" s="974">
        <f t="shared" si="15"/>
        <v>2.1792157525037337</v>
      </c>
      <c r="CC22" s="974">
        <f t="shared" si="15"/>
        <v>2.1792157525037337</v>
      </c>
      <c r="CD22" s="974">
        <f t="shared" si="15"/>
        <v>2.1792157525037337</v>
      </c>
      <c r="CE22" s="974">
        <f t="shared" si="15"/>
        <v>2.1792157525037337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11" t="str">
        <f>IF(OR(D31=0.875, D31=1.125,D31=1.375),"Warning: Non-standard bolt size!","")</f>
        <v/>
      </c>
      <c r="W23" s="2212"/>
      <c r="X23" s="2212"/>
      <c r="Y23" s="2212"/>
      <c r="Z23" s="2213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0.12330025981720255</v>
      </c>
      <c r="BU23" s="974">
        <f t="shared" ref="BU23:CE23" si="16">ABS(BU22/$BL$9)</f>
        <v>0.71856874936987658</v>
      </c>
      <c r="BV23" s="974">
        <f t="shared" si="16"/>
        <v>0.91364918053615107</v>
      </c>
      <c r="BW23" s="974">
        <f t="shared" si="16"/>
        <v>0.57548088806089126</v>
      </c>
      <c r="BX23" s="974">
        <f t="shared" si="16"/>
        <v>0.10497457948160428</v>
      </c>
      <c r="BY23" s="974">
        <f t="shared" si="16"/>
        <v>0.71492823034656772</v>
      </c>
      <c r="BZ23" s="974">
        <f t="shared" si="16"/>
        <v>0.91000714115743442</v>
      </c>
      <c r="CA23" s="974">
        <f t="shared" si="16"/>
        <v>0.57184260257327413</v>
      </c>
      <c r="CB23" s="974">
        <f t="shared" si="16"/>
        <v>3.3526396192365131E-2</v>
      </c>
      <c r="CC23" s="974">
        <f t="shared" si="16"/>
        <v>3.3526396192365131E-2</v>
      </c>
      <c r="CD23" s="974">
        <f t="shared" si="16"/>
        <v>3.3526396192365131E-2</v>
      </c>
      <c r="CE23" s="974">
        <f t="shared" si="16"/>
        <v>3.3526396192365131E-2</v>
      </c>
    </row>
    <row r="24" spans="2:83" ht="15" customHeight="1" x14ac:dyDescent="0.25">
      <c r="B24" s="54"/>
      <c r="C24" s="2241" t="s">
        <v>40</v>
      </c>
      <c r="D24" s="2241"/>
      <c r="E24" s="1134"/>
      <c r="F24" s="2227" t="s">
        <v>39</v>
      </c>
      <c r="G24" s="2227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11" t="str">
        <f>IF(D48&lt;=BD17-0.03125,"Warning: Shaft will be coped to fit bracket!","")</f>
        <v/>
      </c>
      <c r="W24" s="2212"/>
      <c r="X24" s="2212"/>
      <c r="Y24" s="2212"/>
      <c r="Z24" s="2213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16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1.5</v>
      </c>
      <c r="E25" s="2202" t="s">
        <v>41</v>
      </c>
      <c r="F25" s="978" t="s">
        <v>146</v>
      </c>
      <c r="G25" s="979">
        <v>16.125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13.072916666666666</v>
      </c>
      <c r="T25" s="148" t="s">
        <v>169</v>
      </c>
      <c r="U25" s="63"/>
      <c r="V25" s="2208"/>
      <c r="W25" s="2209"/>
      <c r="X25" s="2209"/>
      <c r="Y25" s="2209"/>
      <c r="Z25" s="2210"/>
      <c r="AA25" s="64"/>
      <c r="AJ25" s="54" t="s">
        <v>650</v>
      </c>
      <c r="AK25" s="1578" t="s">
        <v>651</v>
      </c>
      <c r="AL25" s="974" t="s">
        <v>111</v>
      </c>
      <c r="AM25" s="1578" t="s">
        <v>652</v>
      </c>
      <c r="AN25" s="63" t="s">
        <v>653</v>
      </c>
      <c r="AO25" s="63"/>
      <c r="AP25" s="63"/>
      <c r="AQ25" s="63"/>
      <c r="AR25" s="63">
        <f>AQ26^2/0.75^2</f>
        <v>1.1584358268391175</v>
      </c>
      <c r="AS25" s="63"/>
      <c r="AT25" s="63"/>
      <c r="AU25" s="63"/>
      <c r="AV25" s="73">
        <v>0</v>
      </c>
      <c r="AW25" s="73">
        <f>IF(D32=2,0,IF(AN3=0,D37/2,D37))</f>
        <v>0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0.11844613476949273</v>
      </c>
      <c r="BS25" s="149" t="s">
        <v>484</v>
      </c>
      <c r="BT25" s="974">
        <f>MAX(BT23:CE23)</f>
        <v>0.91364918053615107</v>
      </c>
    </row>
    <row r="26" spans="2:83" ht="15" x14ac:dyDescent="0.25">
      <c r="B26" s="25"/>
      <c r="C26" s="2201" t="s">
        <v>144</v>
      </c>
      <c r="D26" s="979">
        <v>1</v>
      </c>
      <c r="E26" s="2202" t="s">
        <v>41</v>
      </c>
      <c r="F26" s="978" t="s">
        <v>147</v>
      </c>
      <c r="G26" s="979">
        <v>5.9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13.072916666666666</v>
      </c>
      <c r="T26" s="148" t="s">
        <v>169</v>
      </c>
      <c r="U26" s="63"/>
      <c r="V26" s="2211" t="str">
        <f>IF(BE67&gt;0,"Note: Stiffeners required for bracket!","")</f>
        <v>Note: Stiffeners required for bracket!</v>
      </c>
      <c r="W26" s="2212"/>
      <c r="X26" s="2212"/>
      <c r="Y26" s="2212"/>
      <c r="Z26" s="2213"/>
      <c r="AA26" s="64"/>
      <c r="AJ26" s="1578">
        <f>IF(G9="Flat-Flat",D11/2,(D11/COS(AX10)-AX11/2*SIN(AX10))/2)</f>
        <v>6.8965590815126525</v>
      </c>
      <c r="AK26" s="11">
        <f>(AX12*D47^3)/12+(D47*AN26^3)/12+(AX12*D47)*(AL26-D47/2)^2+(D47*AN26)*(D51/2-AL26)^2</f>
        <v>30.698474702380953</v>
      </c>
      <c r="AL26" s="63">
        <f>(AX12*D47/2+AN26*D51/2)/(AX12+AN26)</f>
        <v>1.5982142857142858</v>
      </c>
      <c r="AM26" s="63">
        <f>D51-AL26</f>
        <v>5.0267857142857144</v>
      </c>
      <c r="AN26" s="63">
        <f>D50+D38</f>
        <v>6</v>
      </c>
      <c r="AO26" s="63"/>
      <c r="AP26" s="86" t="s">
        <v>105</v>
      </c>
      <c r="AQ26" s="63">
        <f>SQRT(6*AQ18/(AT26*D45))</f>
        <v>0.80722992548406158</v>
      </c>
      <c r="AR26" s="63">
        <f>6*AQ18/(AT26*D47^2)</f>
        <v>108.42959339214141</v>
      </c>
      <c r="AS26" s="103">
        <f>(AR26/D45)</f>
        <v>1.6681475906483294</v>
      </c>
      <c r="AT26" s="63">
        <f>IF(D32=2,MIN(D49,24*D47),D49/2)</f>
        <v>15</v>
      </c>
      <c r="AU26" s="63"/>
      <c r="AV26" s="73">
        <v>1</v>
      </c>
      <c r="AW26" s="73" t="str">
        <f>IF(D32=2,"",$AW$25+AV26*$D$37/2)</f>
        <v/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1.2436844150796738</v>
      </c>
    </row>
    <row r="27" spans="2:83" ht="15" x14ac:dyDescent="0.25">
      <c r="B27" s="25"/>
      <c r="C27" s="2201" t="s">
        <v>145</v>
      </c>
      <c r="D27" s="979">
        <v>10.5</v>
      </c>
      <c r="E27" s="2202" t="s">
        <v>41</v>
      </c>
      <c r="F27" s="978" t="s">
        <v>148</v>
      </c>
      <c r="G27" s="979">
        <v>143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11" t="str">
        <f>IF(AY21=1,"Note: CJP weld required!","")</f>
        <v/>
      </c>
      <c r="W27" s="2212"/>
      <c r="X27" s="2212"/>
      <c r="Y27" s="2212"/>
      <c r="Z27" s="2213"/>
      <c r="AA27" s="64"/>
      <c r="AJ27" s="1581" t="s">
        <v>649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16.940805389495363</v>
      </c>
      <c r="AR27" s="63"/>
      <c r="AS27" s="103">
        <f>(AQ27/D45)</f>
        <v>0.26062777522300556</v>
      </c>
      <c r="AT27" s="63"/>
      <c r="AU27" s="63"/>
      <c r="AV27" s="73">
        <v>2</v>
      </c>
      <c r="AW27" s="73" t="str">
        <f>IF(D32=2,"",$AW$25+AV27*$D$37/2)</f>
        <v/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0.17766920215423909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</v>
      </c>
      <c r="T28" s="148" t="s">
        <v>168</v>
      </c>
      <c r="U28" s="63"/>
      <c r="V28" s="2220"/>
      <c r="W28" s="2221"/>
      <c r="X28" s="2221"/>
      <c r="Y28" s="2221"/>
      <c r="Z28" s="2222"/>
      <c r="AA28" s="64"/>
      <c r="AJ28" s="1580">
        <v>1</v>
      </c>
      <c r="AK28" s="1578">
        <f t="shared" ref="AK28:AK35" si="17">IF(AK10&gt;$AJ$26,AK10-$AJ$26,0)</f>
        <v>0</v>
      </c>
      <c r="AL28" s="1578">
        <f>AP10*AK28</f>
        <v>0</v>
      </c>
      <c r="AM28" s="63"/>
      <c r="AN28" s="63"/>
      <c r="AO28" s="63"/>
      <c r="AP28" s="86" t="s">
        <v>654</v>
      </c>
      <c r="AQ28" s="63">
        <f>MAX(AQ27,AM36)</f>
        <v>16.940805389495363</v>
      </c>
      <c r="AR28" s="63"/>
      <c r="AS28" s="103">
        <f>(AQ28/D45)</f>
        <v>0.26062777522300556</v>
      </c>
      <c r="AT28" s="63"/>
      <c r="AU28" s="63"/>
      <c r="AV28" s="73">
        <v>3</v>
      </c>
      <c r="AW28" s="73" t="str">
        <f>IF(D32=2,"",$AW$25+AV28*$D$37/2)</f>
        <v/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</v>
      </c>
      <c r="T29" s="148" t="s">
        <v>168</v>
      </c>
      <c r="U29" s="63"/>
      <c r="V29" s="2214" t="str">
        <f>IF(AND(D15&gt;0,S28="NA"), "Curve Arm Will Not Work!","")</f>
        <v/>
      </c>
      <c r="W29" s="2215"/>
      <c r="X29" s="2215"/>
      <c r="Y29" s="2215"/>
      <c r="Z29" s="2216"/>
      <c r="AA29" s="64"/>
      <c r="AJ29" s="1580">
        <v>2</v>
      </c>
      <c r="AK29" s="1578">
        <f t="shared" si="17"/>
        <v>0</v>
      </c>
      <c r="AL29" s="1578">
        <f t="shared" ref="AL29:AL35" si="18">AP11*AK29</f>
        <v>0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 t="str">
        <f>IF(D32=2,"",$AW$25+AV29*$D$37/2)</f>
        <v/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92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17"/>
      <c r="W30" s="2218"/>
      <c r="X30" s="2218"/>
      <c r="Y30" s="2218"/>
      <c r="Z30" s="2219"/>
      <c r="AA30" s="64"/>
      <c r="AJ30" s="1580">
        <v>3</v>
      </c>
      <c r="AK30" s="1578">
        <f t="shared" si="17"/>
        <v>0</v>
      </c>
      <c r="AL30" s="1578">
        <f t="shared" si="18"/>
        <v>0</v>
      </c>
      <c r="AM30" s="63"/>
      <c r="AN30" s="63"/>
      <c r="AO30" s="63"/>
      <c r="AP30" s="86" t="s">
        <v>648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1.415940918487347</v>
      </c>
      <c r="AR30" s="63"/>
      <c r="AS30" s="63"/>
      <c r="AT30" s="63"/>
      <c r="AU30" s="63"/>
      <c r="AV30" s="73">
        <v>5</v>
      </c>
      <c r="AW30" s="73" t="str">
        <f>IF(D32=2,"",$AW$25+AV30*$D$37/2)</f>
        <v/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</v>
      </c>
      <c r="E31" s="12" t="s">
        <v>31</v>
      </c>
      <c r="F31" s="21" t="s">
        <v>54</v>
      </c>
      <c r="G31" s="8">
        <f>VLOOKUP(D30,BoltProperties,AL3+3,FALSE)</f>
        <v>120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280</v>
      </c>
      <c r="T31" s="63" t="s">
        <v>264</v>
      </c>
      <c r="U31" s="63"/>
      <c r="V31" s="2211" t="str">
        <f>IF(D15=0,"",IFERROR(IF(Sheet1!BE63/Sheet1!D12&gt;40,"WARNING! D/T &gt; 40!",""),""))</f>
        <v/>
      </c>
      <c r="W31" s="2212"/>
      <c r="X31" s="2212"/>
      <c r="Y31" s="2212"/>
      <c r="Z31" s="2213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 t="str">
        <f>IF(D32=2,"",$AW$25+AV31*$D$37/2)</f>
        <v/>
      </c>
      <c r="AX31" s="63"/>
      <c r="AY31" s="178"/>
      <c r="AZ31" s="2227" t="s">
        <v>40</v>
      </c>
      <c r="BA31" s="2227"/>
      <c r="BB31" s="12"/>
      <c r="BC31" s="63"/>
      <c r="BD31" s="2227" t="s">
        <v>39</v>
      </c>
      <c r="BE31" s="2227"/>
      <c r="BF31" s="180"/>
      <c r="BG31" s="63"/>
      <c r="BH31" s="64"/>
      <c r="BJ31" s="178"/>
      <c r="BK31" s="2227" t="s">
        <v>40</v>
      </c>
      <c r="BL31" s="2227"/>
      <c r="BM31" s="12"/>
      <c r="BN31" s="63"/>
      <c r="BO31" s="2227" t="s">
        <v>39</v>
      </c>
      <c r="BP31" s="2227"/>
      <c r="BQ31" s="180"/>
    </row>
    <row r="32" spans="2:83" ht="15.75" customHeight="1" thickBot="1" x14ac:dyDescent="0.3">
      <c r="B32" s="25"/>
      <c r="C32" s="21" t="s">
        <v>58</v>
      </c>
      <c r="D32" s="156">
        <v>2</v>
      </c>
      <c r="E32" s="12"/>
      <c r="F32" s="21" t="s">
        <v>60</v>
      </c>
      <c r="G32" s="8">
        <f>VLOOKUP(D31,BoltDim,4,FALSE)</f>
        <v>0.78500000000000003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104</v>
      </c>
      <c r="T32" s="63" t="s">
        <v>264</v>
      </c>
      <c r="U32" s="63"/>
      <c r="V32" s="2211" t="str">
        <f>IF(D15=0,"",IFERROR(IF(Sheet1!BE61&gt;0.65,"WARNING! Taper is to large!",""),""))</f>
        <v/>
      </c>
      <c r="W32" s="2212"/>
      <c r="X32" s="2212"/>
      <c r="Y32" s="2212"/>
      <c r="Z32" s="2213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1.415940918487347</v>
      </c>
      <c r="AR32" s="63">
        <f>6*AR18/(D49/2*D47^2)</f>
        <v>137.35049578258159</v>
      </c>
      <c r="AS32" s="63">
        <f>(AR32/D45)^2</f>
        <v>4.4651263175670923</v>
      </c>
      <c r="AT32" s="63"/>
      <c r="AU32" s="63"/>
      <c r="AV32" s="73">
        <v>7</v>
      </c>
      <c r="AW32" s="73" t="str">
        <f>IF(D32=2,"",$AW$25+AV32*$D$37/2)</f>
        <v/>
      </c>
      <c r="AX32" s="63"/>
      <c r="AY32" s="178"/>
      <c r="AZ32" s="21" t="s">
        <v>143</v>
      </c>
      <c r="BA32" s="980">
        <f>D25</f>
        <v>1.5</v>
      </c>
      <c r="BB32" s="184" t="s">
        <v>41</v>
      </c>
      <c r="BC32" s="88"/>
      <c r="BD32" s="185" t="s">
        <v>146</v>
      </c>
      <c r="BE32" s="980">
        <f>IF(G14="Pole Face", G25-D25*D64/12,G25+D25*(D50+D47)/12)</f>
        <v>15.75</v>
      </c>
      <c r="BF32" s="180" t="s">
        <v>42</v>
      </c>
      <c r="BG32" s="63"/>
      <c r="BH32" s="64"/>
      <c r="BJ32" s="178"/>
      <c r="BK32" s="21" t="s">
        <v>143</v>
      </c>
      <c r="BL32" s="980">
        <f>D25</f>
        <v>1.5</v>
      </c>
      <c r="BM32" s="184" t="s">
        <v>41</v>
      </c>
      <c r="BN32" s="88"/>
      <c r="BO32" s="185" t="s">
        <v>146</v>
      </c>
      <c r="BP32" s="980">
        <f>IF(G14="Pole Face", G25-D25*(D64+D50+D47)/12,G25)</f>
        <v>15.109375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0.60599999999999998</v>
      </c>
      <c r="H33" s="26" t="s">
        <v>68</v>
      </c>
      <c r="I33" s="54"/>
      <c r="J33" s="63"/>
      <c r="K33" s="161">
        <v>2.5</v>
      </c>
      <c r="L33" s="2245">
        <f>G56</f>
        <v>3.5</v>
      </c>
      <c r="M33" s="64"/>
      <c r="N33" s="63"/>
      <c r="O33" s="54"/>
      <c r="P33" s="63"/>
      <c r="Q33" s="63"/>
      <c r="R33" s="86" t="s">
        <v>263</v>
      </c>
      <c r="S33" s="130">
        <f>S31+S32</f>
        <v>384</v>
      </c>
      <c r="T33" s="63" t="s">
        <v>264</v>
      </c>
      <c r="U33" s="63"/>
      <c r="V33" s="2211" t="str">
        <f>IF(D15=0,"",IFERROR(IF(S27&gt;15,"WARNING! Too much rise!",""),""))</f>
        <v/>
      </c>
      <c r="W33" s="2212"/>
      <c r="X33" s="2212"/>
      <c r="Y33" s="2212"/>
      <c r="Z33" s="2213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 t="str">
        <f>IF(D32=2,"",$AW$25+AV33*$D$37/2)</f>
        <v/>
      </c>
      <c r="AX33" s="63"/>
      <c r="AY33" s="178"/>
      <c r="AZ33" s="21" t="s">
        <v>144</v>
      </c>
      <c r="BA33" s="980">
        <f>D26</f>
        <v>1</v>
      </c>
      <c r="BB33" s="184" t="s">
        <v>41</v>
      </c>
      <c r="BC33" s="88"/>
      <c r="BD33" s="185" t="s">
        <v>147</v>
      </c>
      <c r="BE33" s="980">
        <f>G26</f>
        <v>5.9</v>
      </c>
      <c r="BF33" s="180" t="s">
        <v>42</v>
      </c>
      <c r="BG33" s="63"/>
      <c r="BH33" s="64"/>
      <c r="BJ33" s="178"/>
      <c r="BK33" s="21" t="s">
        <v>144</v>
      </c>
      <c r="BL33" s="980">
        <f>D26</f>
        <v>1</v>
      </c>
      <c r="BM33" s="184" t="s">
        <v>41</v>
      </c>
      <c r="BN33" s="88"/>
      <c r="BO33" s="185" t="s">
        <v>147</v>
      </c>
      <c r="BP33" s="980">
        <f>G26</f>
        <v>5.9</v>
      </c>
      <c r="BQ33" s="180" t="s">
        <v>42</v>
      </c>
    </row>
    <row r="34" spans="2:69" ht="15" x14ac:dyDescent="0.25">
      <c r="B34" s="25"/>
      <c r="C34" s="21" t="s">
        <v>62</v>
      </c>
      <c r="D34" s="2242" t="s">
        <v>65</v>
      </c>
      <c r="E34" s="2242"/>
      <c r="F34" s="21" t="s">
        <v>70</v>
      </c>
      <c r="G34" s="6">
        <f>IF(D34="Exclude Threads",0.45,0.35)*G31</f>
        <v>54</v>
      </c>
      <c r="H34" s="26" t="s">
        <v>55</v>
      </c>
      <c r="I34" s="54"/>
      <c r="J34" s="63"/>
      <c r="K34" s="12"/>
      <c r="L34" s="2245"/>
      <c r="M34" s="64"/>
      <c r="N34" s="63"/>
      <c r="O34" s="54"/>
      <c r="P34" s="63"/>
      <c r="Q34" s="63"/>
      <c r="R34" s="63"/>
      <c r="S34" s="63"/>
      <c r="T34" s="63"/>
      <c r="U34" s="63"/>
      <c r="V34" s="2211" t="str">
        <f>IF(D15=0,"",IFERROR(IF(OR(AND(D15=10,S14&lt;6),AND(D15=20,Sheet1!S14&lt;10)),"WARNING! Arm is too short!",IF(OR(AND(D15=10,S23&lt;=2.5),AND(D15=20,S23&lt;=5)),"WARNING! Arm is too short!","")),""))</f>
        <v/>
      </c>
      <c r="W34" s="2212"/>
      <c r="X34" s="2212"/>
      <c r="Y34" s="2212"/>
      <c r="Z34" s="2213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 t="str">
        <f>IF(D32=2,"",$AW$25+AV34*$D$37/2)</f>
        <v/>
      </c>
      <c r="AX34" s="63"/>
      <c r="AY34" s="178"/>
      <c r="AZ34" s="21" t="s">
        <v>145</v>
      </c>
      <c r="BA34" s="980">
        <f>D27</f>
        <v>10.5</v>
      </c>
      <c r="BB34" s="184" t="s">
        <v>41</v>
      </c>
      <c r="BC34" s="88"/>
      <c r="BD34" s="185" t="s">
        <v>148</v>
      </c>
      <c r="BE34" s="980">
        <f>IF(G14="Pole Face", G27-D27*D64/12,G27+D27*(D50+D47)/12)</f>
        <v>140.375</v>
      </c>
      <c r="BF34" s="180" t="s">
        <v>42</v>
      </c>
      <c r="BG34" s="63"/>
      <c r="BH34" s="64"/>
      <c r="BJ34" s="178"/>
      <c r="BK34" s="21" t="s">
        <v>145</v>
      </c>
      <c r="BL34" s="980">
        <f>D27</f>
        <v>10.5</v>
      </c>
      <c r="BM34" s="184" t="s">
        <v>41</v>
      </c>
      <c r="BN34" s="88"/>
      <c r="BO34" s="185" t="s">
        <v>148</v>
      </c>
      <c r="BP34" s="980">
        <f>IF(G14="Pole Face", G27-D27*(D64+D50+D47)/12,G27)</f>
        <v>135.890625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11" t="str">
        <f>IF(D15=0,"",IF(OR(AND(Sheet1!AQ43&gt;7,Sheet1!D15=10),AND(Sheet1!AQ43&gt;10,Sheet1!D15=20)), "WARNING! Tip diameter is too large!",""))</f>
        <v/>
      </c>
      <c r="W35" s="2212"/>
      <c r="X35" s="2212"/>
      <c r="Y35" s="2212"/>
      <c r="Z35" s="2213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655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 t="str">
        <f>IF(D32=2,"",$AW$25+AV35*$D$37/2)</f>
        <v/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0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11" t="str">
        <f>IF(D15=0,"",IFERROR(IF(OR(AND(Sheet1!BE62&gt;11,Sheet1!D15=10),AND(Sheet1!BE62&gt;16.5,Sheet1!D15=20)), "WARNING! Bend end diameter is too large!",""),""))</f>
        <v/>
      </c>
      <c r="W36" s="2212"/>
      <c r="X36" s="2212"/>
      <c r="Y36" s="2212"/>
      <c r="Z36" s="2213"/>
      <c r="AA36" s="64"/>
      <c r="AJ36" s="54"/>
      <c r="AK36" s="63"/>
      <c r="AL36" s="63">
        <f>SUM(AL28:AL35)</f>
        <v>0</v>
      </c>
      <c r="AM36" s="63">
        <f>AL36*AM26/AK26</f>
        <v>0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</v>
      </c>
      <c r="E37" s="12" t="s">
        <v>31</v>
      </c>
      <c r="F37" s="152"/>
      <c r="G37" s="121" t="s">
        <v>35</v>
      </c>
      <c r="H37" s="64"/>
      <c r="I37" s="25"/>
      <c r="J37" s="162">
        <v>16</v>
      </c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32" t="str">
        <f>IF(OR(D15=0,AND(D15=10,D12&gt;0.1875,D12&lt;0.375),AND(D15=20,D12&gt;0.1875,D12&lt;0.4375)),"","WARNING! Incorrect Shaft Thickness")</f>
        <v/>
      </c>
      <c r="W37" s="2233"/>
      <c r="X37" s="2233"/>
      <c r="Y37" s="2233"/>
      <c r="Z37" s="2234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8.375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29" t="s">
        <v>196</v>
      </c>
      <c r="AK39" s="2230"/>
      <c r="AL39" s="2230"/>
      <c r="AM39" s="2230"/>
      <c r="AN39" s="2230"/>
      <c r="AO39" s="2230"/>
      <c r="AP39" s="2230"/>
      <c r="AQ39" s="2230"/>
      <c r="AR39" s="2230"/>
      <c r="AS39" s="2230"/>
      <c r="AT39" s="2230"/>
      <c r="AU39" s="2230"/>
      <c r="AV39" s="2230"/>
      <c r="AW39" s="2231"/>
      <c r="AX39" s="2229" t="s">
        <v>196</v>
      </c>
      <c r="AY39" s="2230"/>
      <c r="AZ39" s="2230"/>
      <c r="BA39" s="2230"/>
      <c r="BB39" s="2230"/>
      <c r="BC39" s="2230"/>
      <c r="BD39" s="2230"/>
      <c r="BE39" s="2230"/>
      <c r="BF39" s="2230"/>
      <c r="BG39" s="2230"/>
      <c r="BH39" s="2231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156.875</v>
      </c>
      <c r="AN43" s="63" t="s">
        <v>31</v>
      </c>
      <c r="AO43" s="63"/>
      <c r="AP43" s="86" t="s">
        <v>211</v>
      </c>
      <c r="AQ43" s="113">
        <f>G10</f>
        <v>7.5767454020467575</v>
      </c>
      <c r="AR43" s="63" t="s">
        <v>210</v>
      </c>
      <c r="AS43" s="63">
        <f>CEILING((AQ44-AQ43)/2,0.5)</f>
        <v>4</v>
      </c>
      <c r="AT43" s="63"/>
      <c r="AU43" s="86" t="s">
        <v>209</v>
      </c>
      <c r="AV43" s="63">
        <f>12*SQRT(Sheet1!S14^2+(Sheet1!D16/12)^2)</f>
        <v>156.875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105.90775928402272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14.882892754020418</v>
      </c>
      <c r="AR44" s="63"/>
      <c r="AS44" s="63"/>
      <c r="AT44" s="63"/>
      <c r="AU44" s="86" t="s">
        <v>206</v>
      </c>
      <c r="AV44" s="63">
        <f>ATAN(Sheet1!D16/(12*Sheet1!S14))</f>
        <v>0</v>
      </c>
      <c r="AW44" s="64"/>
      <c r="AX44" s="54"/>
      <c r="AY44" s="63"/>
      <c r="AZ44" s="86" t="s">
        <v>205</v>
      </c>
      <c r="BA44" s="63">
        <f>AV43*COS(AV44-BE45)</f>
        <v>156.875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156.875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134.91434303697162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0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0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0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2.4984137599439187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0.625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16.125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(2) 1" Dia. x 3"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 t="e">
        <f>(2*($AM$43-$AM$44)+SQRT((-2*($AM$43-$AM$44))^2-4*(AM45+2*$AM$46)*AM45))/(2*(AM45+2*$AM$46))</f>
        <v>#DIV/0!</v>
      </c>
      <c r="AN48" s="63"/>
      <c r="AO48" s="63"/>
      <c r="AP48" s="86" t="s">
        <v>178</v>
      </c>
      <c r="AQ48" s="63" t="e">
        <f>2*ATAN(AM48)</f>
        <v>#DIV/0!</v>
      </c>
      <c r="AR48" s="63"/>
      <c r="AS48" s="63" t="e">
        <f>AQ48*180/PI()</f>
        <v>#DIV/0!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 t="e">
        <f>(2*(BA44-$AM$44)+SQRT((-2*(BA44-$AM$44))^2-4*(BA45+2*$AM$46)*BA45))/(2*(BA45+2*$AM$46))</f>
        <v>#DIV/0!</v>
      </c>
      <c r="BB48" s="63"/>
      <c r="BC48" s="63"/>
      <c r="BD48" s="86" t="s">
        <v>178</v>
      </c>
      <c r="BE48" s="63" t="e">
        <f>2*ATAN(BA48)</f>
        <v>#DIV/0!</v>
      </c>
      <c r="BF48" s="63"/>
      <c r="BG48" s="63" t="e">
        <f>BE48*180/PI()</f>
        <v>#DIV/0!</v>
      </c>
      <c r="BH48" s="64" t="s">
        <v>185</v>
      </c>
      <c r="BK48" s="149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16.75</v>
      </c>
      <c r="E49" s="12" t="s">
        <v>31</v>
      </c>
      <c r="F49" s="153"/>
      <c r="G49" s="12"/>
      <c r="H49" s="26"/>
      <c r="J49" s="164"/>
      <c r="K49" s="165" t="str">
        <f>AQ6 &amp;"""  Thread Length"</f>
        <v>1.75"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 t="e">
        <f>(2*($AM$43-$AM$44)-SQRT((-2*($AM$43-$AM$44))^2-4*(AM45+2*$AM$46)*AM45))/(2*(AM45+2*$AM$46))</f>
        <v>#DIV/0!</v>
      </c>
      <c r="AN49" s="63"/>
      <c r="AO49" s="63"/>
      <c r="AP49" s="86"/>
      <c r="AQ49" s="63" t="e">
        <f>2*ATAN(AM49)</f>
        <v>#DIV/0!</v>
      </c>
      <c r="AR49" s="63"/>
      <c r="AS49" s="63" t="e">
        <f>AQ49*180/PI()</f>
        <v>#DIV/0!</v>
      </c>
      <c r="AT49" s="63" t="s">
        <v>185</v>
      </c>
      <c r="AU49" s="63"/>
      <c r="AV49" s="63"/>
      <c r="AW49" s="64"/>
      <c r="AX49" s="54"/>
      <c r="AY49" s="63"/>
      <c r="AZ49" s="86"/>
      <c r="BA49" s="63" t="e">
        <f>(2*(BA44-$AM$44)-SQRT((-2*(BA44-$AM$44))^2-4*(BA45+2*$AM$46)*BA45))/(2*(BA45+2*$AM$46))</f>
        <v>#DIV/0!</v>
      </c>
      <c r="BB49" s="63"/>
      <c r="BC49" s="63"/>
      <c r="BD49" s="86"/>
      <c r="BE49" s="63" t="e">
        <f>2*ATAN(BA49)</f>
        <v>#DIV/0!</v>
      </c>
      <c r="BF49" s="86" t="s">
        <v>219</v>
      </c>
      <c r="BG49" s="63" t="e">
        <f>(BE50+BE45)*180/PI()</f>
        <v>#DIV/0!</v>
      </c>
      <c r="BH49" s="64" t="s">
        <v>185</v>
      </c>
      <c r="BK49" s="149" t="s">
        <v>173</v>
      </c>
      <c r="BL49" s="11">
        <f>SQRT(BL45^2+BL44^2)/12+IF(D44="Yes",BD20/COS(BL48)/12,0)</f>
        <v>13.072916666666666</v>
      </c>
    </row>
    <row r="50" spans="2:68" x14ac:dyDescent="0.2">
      <c r="B50" s="25"/>
      <c r="C50" s="21" t="s">
        <v>252</v>
      </c>
      <c r="D50" s="133">
        <f>IF(F50="",MAX(D52+D38+0.5,D38+D56+0.5), F50)</f>
        <v>4.5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 t="e">
        <f>MIN(AQ48:AQ49)</f>
        <v>#DIV/0!</v>
      </c>
      <c r="AR50" s="63"/>
      <c r="AS50" s="63" t="e">
        <f>AQ50-AQ45</f>
        <v>#DIV/0!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 t="e">
        <f>MIN(BE48:BE49)</f>
        <v>#DIV/0!</v>
      </c>
      <c r="BF50" s="86" t="s">
        <v>220</v>
      </c>
      <c r="BG50" s="63" t="e">
        <f>BE50*180/PI()</f>
        <v>#DIV/0!</v>
      </c>
      <c r="BH50" s="64" t="s">
        <v>184</v>
      </c>
      <c r="BK50" s="149" t="s">
        <v>170</v>
      </c>
      <c r="BL50" s="11">
        <f>BL49+IF(G9="Point-Point",(AQ43+AQ44)*TAN(BL48)/24,(D10+D11)*TAN(BL48)/24)</f>
        <v>13.072916666666666</v>
      </c>
    </row>
    <row r="51" spans="2:68" x14ac:dyDescent="0.2">
      <c r="B51" s="54"/>
      <c r="C51" s="21" t="s">
        <v>82</v>
      </c>
      <c r="D51" s="133">
        <f>IF(F51="",D50+D38+D47,F51)</f>
        <v>6.625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1.5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16.940805389495363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 t="e">
        <f>$AM$46*TAN(AQ48/2)+$AM$44</f>
        <v>#DIV/0!</v>
      </c>
      <c r="AN52" s="63"/>
      <c r="AO52" s="63"/>
      <c r="AP52" s="86" t="s">
        <v>176</v>
      </c>
      <c r="AQ52" s="63" t="e">
        <f>$AM$46*SIN(AQ50)+$AM$44</f>
        <v>#DIV/0!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 t="e">
        <f>$AM$46*TAN(BE48/2)+$AM$44</f>
        <v>#DIV/0!</v>
      </c>
      <c r="BB52" s="63"/>
      <c r="BC52" s="63"/>
      <c r="BD52" s="86" t="s">
        <v>176</v>
      </c>
      <c r="BE52" s="63" t="e">
        <f>$AM$46*SIN(BE50)+$AM$44</f>
        <v>#DIV/0!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0.26062777522300556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 t="e">
        <f>$AM$46*TAN(AQ49/2)+$AM$44</f>
        <v>#DIV/0!</v>
      </c>
      <c r="AN53" s="63"/>
      <c r="AO53" s="63"/>
      <c r="AP53" s="86" t="s">
        <v>175</v>
      </c>
      <c r="AQ53" s="63" t="e">
        <f>$AM$43-AQ52</f>
        <v>#DIV/0!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 t="e">
        <f>$AM$46*TAN(BE49/2)+$AM$44</f>
        <v>#DIV/0!</v>
      </c>
      <c r="BB53" s="63"/>
      <c r="BC53" s="63"/>
      <c r="BD53" s="86" t="s">
        <v>175</v>
      </c>
      <c r="BE53" s="63" t="e">
        <f>BA44-BE52</f>
        <v>#DIV/0!</v>
      </c>
      <c r="BF53" s="86" t="s">
        <v>174</v>
      </c>
      <c r="BG53" s="63" t="e">
        <f>BE53/(12*COS(BE50))</f>
        <v>#DIV/0!</v>
      </c>
      <c r="BH53" s="64"/>
    </row>
    <row r="54" spans="2:68" x14ac:dyDescent="0.2">
      <c r="B54" s="54"/>
      <c r="C54" s="21"/>
      <c r="D54" s="187">
        <f>AJ22</f>
        <v>2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 t="e">
        <f>MIN(AM52:AM53)</f>
        <v>#DIV/0!</v>
      </c>
      <c r="AN54" s="63"/>
      <c r="AO54" s="63"/>
      <c r="AP54" s="86" t="s">
        <v>173</v>
      </c>
      <c r="AQ54" s="63" t="e">
        <f>(AM44+AQ53/COS(AQ50)+AM46*AQ50)/12</f>
        <v>#DIV/0!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 t="e">
        <f>MIN(BA52:BA53)</f>
        <v>#DIV/0!</v>
      </c>
      <c r="BB54" s="63"/>
      <c r="BC54" s="63"/>
      <c r="BD54" s="86" t="s">
        <v>173</v>
      </c>
      <c r="BE54" s="63" t="e">
        <f>(AM44+BE53/COS(BE50)+AM46*BE50)/12+IF(D44="Yes",BD20/COS(BE50)/12,0)</f>
        <v>#DIV/0!</v>
      </c>
      <c r="BF54" s="63"/>
      <c r="BG54" s="63" t="s">
        <v>171</v>
      </c>
      <c r="BH54" s="114">
        <f>Sheet1!S20+BA45/COS(BE45)</f>
        <v>0</v>
      </c>
    </row>
    <row r="55" spans="2:68" ht="15" x14ac:dyDescent="0.25">
      <c r="B55" s="54"/>
      <c r="C55" s="21" t="s">
        <v>30</v>
      </c>
      <c r="D55" s="150">
        <v>0.625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90.374621255699381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13.072916666666666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2.5</v>
      </c>
      <c r="E56" s="12" t="s">
        <v>31</v>
      </c>
      <c r="F56" s="21" t="s">
        <v>251</v>
      </c>
      <c r="G56" s="163">
        <v>3.5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 t="e">
        <f>$AV$43*COS($AV$44-AQ56)</f>
        <v>#DIV/0!</v>
      </c>
      <c r="AN56" s="63" t="s">
        <v>31</v>
      </c>
      <c r="AO56" s="63"/>
      <c r="AP56" s="86" t="s">
        <v>181</v>
      </c>
      <c r="AQ56" s="63" t="e">
        <f>ATAN(($AQ$44-$AQ$43)/(24*AQ54))</f>
        <v>#DIV/0!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 t="e">
        <f>BE54+(AQ43*TAN(BE45)+AQ44*TAN(BE50+BE45))/24</f>
        <v>#DIV/0!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14.375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2.5104061459916496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 t="e">
        <f>$AV$43*SIN($AV$44-AQ56)</f>
        <v>#DIV/0!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21" t="s">
        <v>268</v>
      </c>
      <c r="BL58" s="2221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169.45241485443634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 t="e">
        <f>(2*(AM56-$AM$44)+SQRT((-2*(AM56-$AM$44))^2-4*(AM57+2*$AM$46)*AM57))/(2*(AM57+2*$AM$46))</f>
        <v>#DIV/0!</v>
      </c>
      <c r="AN59" s="63"/>
      <c r="AO59" s="63"/>
      <c r="AP59" s="86" t="s">
        <v>178</v>
      </c>
      <c r="AQ59" s="63" t="e">
        <f>2*ATAN(AM59)</f>
        <v>#DIV/0!</v>
      </c>
      <c r="AR59" s="63"/>
      <c r="AS59" s="63" t="e">
        <f>AQ59*180/PI()</f>
        <v>#DIV/0!</v>
      </c>
      <c r="AT59" s="63" t="s">
        <v>185</v>
      </c>
      <c r="AU59" s="63"/>
      <c r="AV59" s="63"/>
      <c r="AW59" s="64"/>
      <c r="AX59" s="2229" t="s">
        <v>138</v>
      </c>
      <c r="AY59" s="2230"/>
      <c r="AZ59" s="2230"/>
      <c r="BA59" s="2230"/>
      <c r="BB59" s="2230"/>
      <c r="BC59" s="2230"/>
      <c r="BD59" s="2230"/>
      <c r="BE59" s="2230"/>
      <c r="BF59" s="2230"/>
      <c r="BG59" s="2230"/>
      <c r="BH59" s="2231"/>
      <c r="BK59" s="149" t="s">
        <v>267</v>
      </c>
      <c r="BL59" s="195">
        <f>(D10+D11)/2-D12</f>
        <v>10.1875</v>
      </c>
      <c r="BO59" s="149" t="s">
        <v>612</v>
      </c>
      <c r="BP59" s="11">
        <f>(BL44/3)*(D10+2*D11)/(D10+D11)</f>
        <v>86.942771084337352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 t="e">
        <f>(2*(AM56-$AM$44)-SQRT((-2*(AM56-$AM$44))^2-4*(AM57+2*$AM$46)*AM57))/(2*(AM57+2*$AM$46))</f>
        <v>#DIV/0!</v>
      </c>
      <c r="AN60" s="63"/>
      <c r="AO60" s="63"/>
      <c r="AP60" s="86"/>
      <c r="AQ60" s="63" t="e">
        <f>2*ATAN(AM60)</f>
        <v>#DIV/0!</v>
      </c>
      <c r="AR60" s="63"/>
      <c r="AS60" s="63" t="e">
        <f>AQ60*180/PI()</f>
        <v>#DIV/0!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158.54069148936171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1.1148185187791864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 t="e">
        <f>MIN(AQ59:AQ60)</f>
        <v>#DIV/0!</v>
      </c>
      <c r="AR61" s="63"/>
      <c r="AS61" s="63" t="e">
        <f>AQ61-AQ56</f>
        <v>#DIV/0!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</v>
      </c>
      <c r="BA61" s="63"/>
      <c r="BB61" s="63"/>
      <c r="BC61" s="63"/>
      <c r="BD61" s="86" t="s">
        <v>195</v>
      </c>
      <c r="BE61" s="63" t="e">
        <f>IF(Sheet1!S20=0,($AQ$44-$AQ$43)/(AQ109),($AQ$44-$AQ$43)/(BE54))</f>
        <v>#DIV/0!</v>
      </c>
      <c r="BF61" s="63"/>
      <c r="BG61" s="63"/>
      <c r="BH61" s="64"/>
      <c r="BK61" s="149" t="s">
        <v>266</v>
      </c>
      <c r="BL61" s="195">
        <f>BL60*(BL59-9*D12)+9*D12*PI()</f>
        <v>33.467959844303238</v>
      </c>
      <c r="BO61" s="149" t="s">
        <v>615</v>
      </c>
      <c r="BP61" s="11">
        <f>BL44+D47+(D56+G56)/4</f>
        <v>159</v>
      </c>
    </row>
    <row r="62" spans="2:68" x14ac:dyDescent="0.2">
      <c r="B62" s="54"/>
      <c r="C62" s="21" t="s">
        <v>79</v>
      </c>
      <c r="D62" s="134">
        <f>IF(F62="",D47,F62)</f>
        <v>0.625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 t="e">
        <f>AQ43+ IF(Sheet1!D15=20,10*BE61,6*BE61)</f>
        <v>#DIV/0!</v>
      </c>
      <c r="BF62" s="63"/>
      <c r="BG62" s="63"/>
      <c r="BH62" s="64"/>
      <c r="BO62" s="149" t="s">
        <v>614</v>
      </c>
      <c r="BP62" s="11">
        <f>(BE65*BP59+BE66*BP60+BE67*BP61)/(SUM(BE65:BE67))/12</f>
        <v>8.8629503844834119</v>
      </c>
    </row>
    <row r="63" spans="2:68" ht="15" x14ac:dyDescent="0.25">
      <c r="B63" s="54"/>
      <c r="C63" s="21" t="s">
        <v>67</v>
      </c>
      <c r="D63" s="131">
        <f>IF(F63="",BD24,F63)</f>
        <v>16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0.625 x 16.75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 t="e">
        <f>$AM$46*TAN(AQ59/2)+$AM$44</f>
        <v>#DIV/0!</v>
      </c>
      <c r="AN63" s="63"/>
      <c r="AO63" s="63"/>
      <c r="AP63" s="86" t="s">
        <v>176</v>
      </c>
      <c r="AQ63" s="63" t="e">
        <f>$AM$46*SIN(AQ61)+$AM$44</f>
        <v>#DIV/0!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</v>
      </c>
      <c r="BA63" s="63"/>
      <c r="BB63" s="63"/>
      <c r="BC63" s="63"/>
      <c r="BD63" s="86" t="s">
        <v>193</v>
      </c>
      <c r="BE63" s="63" t="e">
        <f>$AQ$43+IF(Sheet1!S20=0,($AM$44+$AM$46*AQ105)*($AQ$44-$AQ$43)/(12*AQ109),($AM$44+$AM$46*BE50)*($AQ$44-$AQ$43)/(12*BE54))</f>
        <v>#DIV/0!</v>
      </c>
      <c r="BF63" s="63"/>
      <c r="BG63" s="63"/>
      <c r="BH63" s="64"/>
      <c r="BK63" s="2221" t="s">
        <v>77</v>
      </c>
      <c r="BL63" s="2221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 t="e">
        <f>$AM$46*TAN(AQ60/2)+$AM$44</f>
        <v>#DIV/0!</v>
      </c>
      <c r="AN64" s="63"/>
      <c r="AO64" s="63"/>
      <c r="AP64" s="86" t="s">
        <v>175</v>
      </c>
      <c r="AQ64" s="63" t="e">
        <f>AM56-AQ63</f>
        <v>#DIV/0!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304.31752466723606</v>
      </c>
    </row>
    <row r="65" spans="2:64" ht="15" x14ac:dyDescent="0.25">
      <c r="B65" s="54"/>
      <c r="C65" s="21" t="s">
        <v>78</v>
      </c>
      <c r="D65" s="133">
        <f>IF(F65="",D49,F65)</f>
        <v>16.75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0.625 x 16.75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 t="e">
        <f>MIN(AM63:AM64)</f>
        <v>#DIV/0!</v>
      </c>
      <c r="AN65" s="63"/>
      <c r="AO65" s="63"/>
      <c r="AP65" s="86" t="s">
        <v>173</v>
      </c>
      <c r="AQ65" s="63" t="e">
        <f>($AM$44/COS(AQ56)+AQ64/COS(AQ61)+$AM$46*AQ61)/12</f>
        <v>#DIV/0!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280</v>
      </c>
      <c r="BF65" s="63"/>
      <c r="BG65" s="63"/>
      <c r="BH65" s="64"/>
      <c r="BK65" s="149" t="s">
        <v>270</v>
      </c>
      <c r="BL65" s="195">
        <f>D47*(D32*PI()/4*(D31+0.125)^2)</f>
        <v>1.2425244381873692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>Stiffener:</v>
      </c>
      <c r="J66" s="120" t="str">
        <f>IF(D54=0,"","("&amp;D54&amp;") PL "&amp;D55&amp;""" x "&amp;G56&amp;""" x "&amp;D63&amp;""" Spaced @ "&amp;D57&amp;"""")</f>
        <v>(2) PL 0.625" x 3.5" x 16" Spaced @ 14.375"</v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13.072916666666666</v>
      </c>
      <c r="BA66" s="63"/>
      <c r="BB66" s="63"/>
      <c r="BC66" s="63"/>
      <c r="BD66" s="86" t="s">
        <v>261</v>
      </c>
      <c r="BE66" s="87">
        <f>CEILING((BL64-BL65)*0.2836,1)</f>
        <v>86</v>
      </c>
      <c r="BF66" s="63"/>
      <c r="BG66" s="63"/>
      <c r="BH66" s="64"/>
      <c r="BK66" s="149" t="s">
        <v>617</v>
      </c>
      <c r="BL66" s="195">
        <f>D54*D55*D63*(D56+G56)/2</f>
        <v>60</v>
      </c>
    </row>
    <row r="67" spans="2:64" ht="15" x14ac:dyDescent="0.25">
      <c r="B67" s="2223" t="str">
        <f>IF(OR(AND(D48/D47&gt;28,D54&gt;0),AND(D48/D47&gt;24,D54=0)),"Bracket W/T too high!","")</f>
        <v/>
      </c>
      <c r="C67" s="2212"/>
      <c r="D67" s="2212"/>
      <c r="E67" s="2212"/>
      <c r="F67" s="2212"/>
      <c r="G67" s="2212"/>
      <c r="H67" s="2224"/>
      <c r="I67" s="175" t="str">
        <f>IF(D54=0,"","Weld:")</f>
        <v>Weld:</v>
      </c>
      <c r="J67" s="120" t="str">
        <f>IF(D54=0,"","Fillet "&amp;IF(D47&gt;0.75,0.3125,IF(D47&gt;0.5,0.25,IF(D47&gt;0.25,0.1875,0)))&amp;"""")</f>
        <v>Fillet 0.25"</v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 t="e">
        <f>$AV$43*COS($AV$44-AQ67)</f>
        <v>#DIV/0!</v>
      </c>
      <c r="AN67" s="63" t="s">
        <v>31</v>
      </c>
      <c r="AO67" s="63"/>
      <c r="AP67" s="86" t="s">
        <v>181</v>
      </c>
      <c r="AQ67" s="63" t="e">
        <f>ATAN(($AQ$44-$AQ$43)/(24*AQ65))</f>
        <v>#DIV/0!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13.072916666666666</v>
      </c>
      <c r="BA67" s="63"/>
      <c r="BB67" s="63"/>
      <c r="BC67" s="63"/>
      <c r="BD67" s="86" t="s">
        <v>616</v>
      </c>
      <c r="BE67" s="63">
        <f>CEILING(BL66*0.2836,1)</f>
        <v>18</v>
      </c>
      <c r="BF67" s="86" t="s">
        <v>619</v>
      </c>
      <c r="BG67" s="63">
        <f>SUM(BE65:BE67)/1000</f>
        <v>0.38400000000000001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 t="e">
        <f>$AV$43*SIN($AV$44-AQ67)</f>
        <v>#DIV/0!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 t="e">
        <f>(2*(AM67-$AM$44)+SQRT((-2*(AM67-$AM$44))^2-4*(AM68+2*$AM$46)*AM68))/(2*(AM68+2*$AM$46))</f>
        <v>#DIV/0!</v>
      </c>
      <c r="AN70" s="63"/>
      <c r="AO70" s="63"/>
      <c r="AP70" s="86" t="s">
        <v>178</v>
      </c>
      <c r="AQ70" s="63" t="e">
        <f>2*ATAN(AM70)</f>
        <v>#DIV/0!</v>
      </c>
      <c r="AR70" s="63"/>
      <c r="AS70" s="63" t="e">
        <f>AQ70*180/PI()</f>
        <v>#DIV/0!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 t="e">
        <f>(2*(AM67-$AM$44)-SQRT((-2*(AM67-$AM$44))^2-4*(AM68+2*$AM$46)*AM68))/(2*(AM68+2*$AM$46))</f>
        <v>#DIV/0!</v>
      </c>
      <c r="AN71" s="63"/>
      <c r="AO71" s="63"/>
      <c r="AP71" s="86"/>
      <c r="AQ71" s="63" t="e">
        <f>2*ATAN(AM71)</f>
        <v>#DIV/0!</v>
      </c>
      <c r="AR71" s="63"/>
      <c r="AS71" s="63" t="e">
        <f>AQ71*180/PI()</f>
        <v>#DIV/0!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 t="e">
        <f>MIN(AQ70:AQ71)</f>
        <v>#DIV/0!</v>
      </c>
      <c r="AR72" s="63"/>
      <c r="AS72" s="63" t="e">
        <f>AQ72-AQ67</f>
        <v>#DIV/0!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 t="e">
        <f>$AM$46*TAN(AQ70/2)+$AM$44</f>
        <v>#DIV/0!</v>
      </c>
      <c r="AN74" s="63"/>
      <c r="AO74" s="63"/>
      <c r="AP74" s="86" t="s">
        <v>176</v>
      </c>
      <c r="AQ74" s="63" t="e">
        <f>$AM$46*SIN(AQ72)+$AM$44</f>
        <v>#DIV/0!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 t="e">
        <f>$AM$46*TAN(AQ71/2)+$AM$44</f>
        <v>#DIV/0!</v>
      </c>
      <c r="AN75" s="63"/>
      <c r="AO75" s="63"/>
      <c r="AP75" s="86" t="s">
        <v>175</v>
      </c>
      <c r="AQ75" s="63" t="e">
        <f>AM67-AQ74</f>
        <v>#DIV/0!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 t="e">
        <f>MIN(AM74:AM75)</f>
        <v>#DIV/0!</v>
      </c>
      <c r="AN76" s="63"/>
      <c r="AO76" s="63"/>
      <c r="AP76" s="86" t="s">
        <v>173</v>
      </c>
      <c r="AQ76" s="63" t="e">
        <f>($AM$44/COS(AQ67)+AQ75/COS(AQ72)+$AM$46*AQ72)/12</f>
        <v>#DIV/0!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 t="e">
        <f>$AV$43*COS($AV$44-AQ78)</f>
        <v>#DIV/0!</v>
      </c>
      <c r="AN78" s="63" t="s">
        <v>31</v>
      </c>
      <c r="AO78" s="63"/>
      <c r="AP78" s="86" t="s">
        <v>181</v>
      </c>
      <c r="AQ78" s="63" t="e">
        <f>ATAN(($AQ$44-$AQ$43)/(24*AQ76))</f>
        <v>#DIV/0!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 t="e">
        <f>$AV$43*SIN($AV$44-AQ78)</f>
        <v>#DIV/0!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 t="e">
        <f>(2*(AM78-$AM$44)+SQRT((-2*(AM78-$AM$44))^2-4*(AM79+2*$AM$46)*AM79))/(2*(AM79+2*$AM$46))</f>
        <v>#DIV/0!</v>
      </c>
      <c r="AN81" s="63"/>
      <c r="AO81" s="63"/>
      <c r="AP81" s="86" t="s">
        <v>178</v>
      </c>
      <c r="AQ81" s="63" t="e">
        <f>2*ATAN(AM81)</f>
        <v>#DIV/0!</v>
      </c>
      <c r="AR81" s="63"/>
      <c r="AS81" s="63" t="e">
        <f>AQ81*180/PI()</f>
        <v>#DIV/0!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 t="e">
        <f>(2*(AM78-$AM$44)-SQRT((-2*(AM78-$AM$44))^2-4*(AM79+2*$AM$46)*AM79))/(2*(AM79+2*$AM$46))</f>
        <v>#DIV/0!</v>
      </c>
      <c r="AN82" s="63"/>
      <c r="AO82" s="63"/>
      <c r="AP82" s="86"/>
      <c r="AQ82" s="63" t="e">
        <f>2*ATAN(AM82)</f>
        <v>#DIV/0!</v>
      </c>
      <c r="AR82" s="63"/>
      <c r="AS82" s="63" t="e">
        <f>AQ82*180/PI()</f>
        <v>#DIV/0!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 t="e">
        <f>MIN(AQ81:AQ82)</f>
        <v>#DIV/0!</v>
      </c>
      <c r="AR83" s="63"/>
      <c r="AS83" s="63" t="e">
        <f>AQ83-AQ78</f>
        <v>#DIV/0!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 t="e">
        <f>$AM$46*TAN(AQ81/2)+$AM$44</f>
        <v>#DIV/0!</v>
      </c>
      <c r="AN85" s="63"/>
      <c r="AO85" s="63"/>
      <c r="AP85" s="86" t="s">
        <v>176</v>
      </c>
      <c r="AQ85" s="63" t="e">
        <f>$AM$46*SIN(AQ83)+$AM$44</f>
        <v>#DIV/0!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 t="e">
        <f>$AM$46*TAN(AQ82/2)+$AM$44</f>
        <v>#DIV/0!</v>
      </c>
      <c r="AN86" s="63"/>
      <c r="AO86" s="63"/>
      <c r="AP86" s="86" t="s">
        <v>175</v>
      </c>
      <c r="AQ86" s="63" t="e">
        <f>AM78-AQ85</f>
        <v>#DIV/0!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 t="e">
        <f>MIN(AM85:AM86)</f>
        <v>#DIV/0!</v>
      </c>
      <c r="AN87" s="63"/>
      <c r="AO87" s="63"/>
      <c r="AP87" s="86" t="s">
        <v>173</v>
      </c>
      <c r="AQ87" s="63" t="e">
        <f>($AM$44/COS(AQ78)+AQ86/COS(AQ83)+$AM$46*AQ83)/12</f>
        <v>#DIV/0!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 t="e">
        <f>$AV$43*COS($AV$44-AQ89)</f>
        <v>#DIV/0!</v>
      </c>
      <c r="AN89" s="63" t="s">
        <v>31</v>
      </c>
      <c r="AO89" s="63"/>
      <c r="AP89" s="86" t="s">
        <v>181</v>
      </c>
      <c r="AQ89" s="63" t="e">
        <f>ATAN(($AQ$44-$AQ$43)/(24*AQ87))</f>
        <v>#DIV/0!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 t="e">
        <f>$AV$43*SIN($AV$44-AQ89)</f>
        <v>#DIV/0!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 t="e">
        <f>(2*(AM89-$AM$44)+SQRT((-2*(AM89-$AM$44))^2-4*(AM90+2*$AM$46)*AM90))/(2*(AM90+2*$AM$46))</f>
        <v>#DIV/0!</v>
      </c>
      <c r="AN92" s="63"/>
      <c r="AO92" s="63"/>
      <c r="AP92" s="86" t="s">
        <v>178</v>
      </c>
      <c r="AQ92" s="63" t="e">
        <f>2*ATAN(AM92)</f>
        <v>#DIV/0!</v>
      </c>
      <c r="AR92" s="63"/>
      <c r="AS92" s="63" t="e">
        <f>AQ92*180/PI()</f>
        <v>#DIV/0!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 t="e">
        <f>(2*(AM89-$AM$44)-SQRT((-2*(AM89-$AM$44))^2-4*(AM90+2*$AM$46)*AM90))/(2*(AM90+2*$AM$46))</f>
        <v>#DIV/0!</v>
      </c>
      <c r="AN93" s="63"/>
      <c r="AO93" s="63"/>
      <c r="AP93" s="86"/>
      <c r="AQ93" s="63" t="e">
        <f>2*ATAN(AM93)</f>
        <v>#DIV/0!</v>
      </c>
      <c r="AR93" s="63"/>
      <c r="AS93" s="63" t="e">
        <f>AQ93*180/PI()</f>
        <v>#DIV/0!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 t="e">
        <f>MIN(AQ92:AQ93)</f>
        <v>#DIV/0!</v>
      </c>
      <c r="AR94" s="63"/>
      <c r="AS94" s="63" t="e">
        <f>AQ94-AQ89</f>
        <v>#DIV/0!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 t="e">
        <f>$AM$46*TAN(AQ92/2)+$AM$44</f>
        <v>#DIV/0!</v>
      </c>
      <c r="AN96" s="63"/>
      <c r="AO96" s="63"/>
      <c r="AP96" s="86" t="s">
        <v>176</v>
      </c>
      <c r="AQ96" s="63" t="e">
        <f>$AM$46*SIN(AQ94)+$AM$44</f>
        <v>#DIV/0!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 t="e">
        <f>$AM$46*TAN(AQ93/2)+$AM$44</f>
        <v>#DIV/0!</v>
      </c>
      <c r="AN97" s="63"/>
      <c r="AO97" s="63"/>
      <c r="AP97" s="86" t="s">
        <v>175</v>
      </c>
      <c r="AQ97" s="63" t="e">
        <f>AM89-AQ96</f>
        <v>#DIV/0!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 t="e">
        <f>MIN(AM96:AM97)</f>
        <v>#DIV/0!</v>
      </c>
      <c r="AN98" s="63"/>
      <c r="AO98" s="63"/>
      <c r="AP98" s="86" t="s">
        <v>173</v>
      </c>
      <c r="AQ98" s="63" t="e">
        <f>($AM$44/COS(AQ89)+AQ97/COS(AQ94)+$AM$46*AQ94)/12</f>
        <v>#DIV/0!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 t="e">
        <f>$AV$43*COS($AV$44-AQ100)</f>
        <v>#DIV/0!</v>
      </c>
      <c r="AN100" s="63" t="s">
        <v>31</v>
      </c>
      <c r="AO100" s="63"/>
      <c r="AP100" s="86" t="s">
        <v>181</v>
      </c>
      <c r="AQ100" s="63" t="e">
        <f>ATAN(($AQ$44-$AQ$43)/(24*AQ98))</f>
        <v>#DIV/0!</v>
      </c>
      <c r="AR100" s="86" t="s">
        <v>218</v>
      </c>
      <c r="AS100" s="63" t="e">
        <f>AQ100*180/PI()</f>
        <v>#DIV/0!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 t="e">
        <f>$AV$43*SIN($AV$44-AQ100)</f>
        <v>#DIV/0!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 t="e">
        <f>(2*(AM100-$AM$44)+SQRT((-2*(AM100-$AM$44))^2-4*(AM101+2*$AM$46)*AM101))/(2*(AM101+2*$AM$46))</f>
        <v>#DIV/0!</v>
      </c>
      <c r="AN103" s="63"/>
      <c r="AO103" s="63"/>
      <c r="AP103" s="86" t="s">
        <v>178</v>
      </c>
      <c r="AQ103" s="63" t="e">
        <f>2*ATAN(AM103)</f>
        <v>#DIV/0!</v>
      </c>
      <c r="AR103" s="63"/>
      <c r="AS103" s="63" t="e">
        <f>AQ103*180/PI()</f>
        <v>#DIV/0!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 t="e">
        <f>(2*(AM100-$AM$44)-SQRT((-2*(AM100-$AM$44))^2-4*(AM101+2*$AM$46)*AM101))/(2*(AM101+2*$AM$46))</f>
        <v>#DIV/0!</v>
      </c>
      <c r="AN104" s="63"/>
      <c r="AO104" s="63"/>
      <c r="AP104" s="86"/>
      <c r="AQ104" s="63" t="e">
        <f>2*ATAN(AM104)</f>
        <v>#DIV/0!</v>
      </c>
      <c r="AR104" s="86" t="s">
        <v>219</v>
      </c>
      <c r="AS104" s="11" t="e">
        <f>(AQ105+AQ100)*180/PI()</f>
        <v>#DIV/0!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 t="e">
        <f>MIN(AQ103:AQ104)</f>
        <v>#DIV/0!</v>
      </c>
      <c r="AR105" s="86" t="s">
        <v>220</v>
      </c>
      <c r="AS105" s="63" t="e">
        <f>AQ105*180/PI()</f>
        <v>#DIV/0!</v>
      </c>
      <c r="AT105" s="63" t="e">
        <f>AS105-AS100</f>
        <v>#DIV/0!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 t="e">
        <f>$AM$46*TAN(AQ103/2)+$AM$44</f>
        <v>#DIV/0!</v>
      </c>
      <c r="AN107" s="63"/>
      <c r="AO107" s="63"/>
      <c r="AP107" s="86" t="s">
        <v>176</v>
      </c>
      <c r="AQ107" s="63" t="e">
        <f>$AM$46*SIN(AQ105)+$AM$44</f>
        <v>#DIV/0!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 t="e">
        <f>$AM$46*TAN(AQ104/2)+$AM$44</f>
        <v>#DIV/0!</v>
      </c>
      <c r="AN108" s="63"/>
      <c r="AO108" s="63"/>
      <c r="AP108" s="86" t="s">
        <v>175</v>
      </c>
      <c r="AQ108" s="63" t="e">
        <f>AM100-AQ107</f>
        <v>#DIV/0!</v>
      </c>
      <c r="AR108" s="86" t="s">
        <v>174</v>
      </c>
      <c r="AS108" s="63" t="e">
        <f>AQ108/(12*COS(AQ105))</f>
        <v>#DIV/0!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 t="e">
        <f>MIN(AM107:AM108)</f>
        <v>#DIV/0!</v>
      </c>
      <c r="AN109" s="63"/>
      <c r="AO109" s="63"/>
      <c r="AP109" s="86" t="s">
        <v>173</v>
      </c>
      <c r="AQ109" s="63" t="e">
        <f>($AM$44/COS(AQ100)+AQ108/COS(AQ105)+$AM$46*AQ105)/12+IF(D44="Yes",BD20/COS(AQ105)/12,0)</f>
        <v>#DIV/0!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13.072916666666666</v>
      </c>
      <c r="AT110" s="63"/>
      <c r="AU110" s="63" t="s">
        <v>171</v>
      </c>
      <c r="AV110" s="63" t="e">
        <f>AM101/COS(AQ100)+AM43*TAN(AQ100)</f>
        <v>#DIV/0!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 t="e">
        <f>AQ109+(AQ43*TAN(AQ100)+AQ44*TAN(AQ105+AQ100))/24</f>
        <v>#DIV/0!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9" priority="18">
      <formula>COUNTIF(First_Bolt,D36)=0</formula>
    </cfRule>
  </conditionalFormatting>
  <conditionalFormatting sqref="D32">
    <cfRule type="expression" dxfId="38" priority="17">
      <formula>ISODD(D32)</formula>
    </cfRule>
  </conditionalFormatting>
  <conditionalFormatting sqref="D38:D39">
    <cfRule type="cellIs" dxfId="37" priority="26" operator="lessThan">
      <formula>$AX$18</formula>
    </cfRule>
  </conditionalFormatting>
  <conditionalFormatting sqref="D49 D65">
    <cfRule type="cellIs" dxfId="36" priority="27" operator="lessThan">
      <formula>$AX$17</formula>
    </cfRule>
  </conditionalFormatting>
  <conditionalFormatting sqref="D37">
    <cfRule type="cellIs" dxfId="35" priority="29" operator="lessThan">
      <formula>$AX$19</formula>
    </cfRule>
  </conditionalFormatting>
  <conditionalFormatting sqref="V29">
    <cfRule type="cellIs" dxfId="34" priority="15" operator="equal">
      <formula>"Curve Arm Will Not Work!"</formula>
    </cfRule>
  </conditionalFormatting>
  <conditionalFormatting sqref="S22:S29">
    <cfRule type="cellIs" dxfId="33" priority="14" operator="lessThan">
      <formula>0</formula>
    </cfRule>
  </conditionalFormatting>
  <conditionalFormatting sqref="K46">
    <cfRule type="cellIs" dxfId="32" priority="13" operator="greaterThan">
      <formula>1</formula>
    </cfRule>
  </conditionalFormatting>
  <conditionalFormatting sqref="K53">
    <cfRule type="cellIs" dxfId="31" priority="11" operator="greaterThan">
      <formula>1</formula>
    </cfRule>
  </conditionalFormatting>
  <conditionalFormatting sqref="K57">
    <cfRule type="cellIs" dxfId="30" priority="10" operator="greaterThan">
      <formula>1</formula>
    </cfRule>
  </conditionalFormatting>
  <conditionalFormatting sqref="K61">
    <cfRule type="cellIs" dxfId="29" priority="9" operator="greaterThan">
      <formula>1</formula>
    </cfRule>
  </conditionalFormatting>
  <conditionalFormatting sqref="D63">
    <cfRule type="cellIs" dxfId="28" priority="8" operator="lessThan">
      <formula>$BD$24</formula>
    </cfRule>
  </conditionalFormatting>
  <conditionalFormatting sqref="D64">
    <cfRule type="cellIs" dxfId="27" priority="4" operator="lessThan">
      <formula>MAX(VLOOKUP(D31,BoltDim,10,FALSE),D38+0.75)</formula>
    </cfRule>
    <cfRule type="expression" dxfId="26" priority="7">
      <formula>"if $D$61&lt;BD24"</formula>
    </cfRule>
  </conditionalFormatting>
  <conditionalFormatting sqref="D50">
    <cfRule type="cellIs" dxfId="25" priority="30" operator="lessThan">
      <formula>MAX(D52+D38+0.5,D38+D56+0.5)</formula>
    </cfRule>
  </conditionalFormatting>
  <conditionalFormatting sqref="D51">
    <cfRule type="cellIs" dxfId="24" priority="31" operator="lessThan">
      <formula>D50+D38+D47</formula>
    </cfRule>
  </conditionalFormatting>
  <conditionalFormatting sqref="S16">
    <cfRule type="cellIs" dxfId="23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zoomScale="90" zoomScaleNormal="90" workbookViewId="0">
      <selection activeCell="L8" sqref="L8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705</v>
      </c>
      <c r="H2" s="2249">
        <v>43227</v>
      </c>
      <c r="I2" s="2249"/>
    </row>
    <row r="3" spans="1:75" ht="15.75" thickBot="1" x14ac:dyDescent="0.3">
      <c r="BF3" s="2250" t="s">
        <v>675</v>
      </c>
      <c r="BG3" s="2250"/>
      <c r="BH3" s="2250"/>
      <c r="BI3" s="2250"/>
      <c r="BJ3" s="2250"/>
      <c r="BK3" s="2250"/>
    </row>
    <row r="4" spans="1:75" ht="15" customHeight="1" x14ac:dyDescent="0.25">
      <c r="B4" s="2251" t="s">
        <v>273</v>
      </c>
      <c r="C4" s="2252"/>
      <c r="D4" s="2252"/>
      <c r="E4" s="2252"/>
      <c r="F4" s="2252"/>
      <c r="G4" s="2253"/>
      <c r="H4" s="2254" t="s">
        <v>386</v>
      </c>
      <c r="I4" s="2255"/>
      <c r="J4" s="2255"/>
      <c r="K4" s="2255"/>
      <c r="L4" s="2256"/>
      <c r="M4" s="2257" t="s">
        <v>387</v>
      </c>
      <c r="N4" s="2258"/>
      <c r="O4" s="2258"/>
      <c r="P4" s="2258"/>
      <c r="Q4" s="2258"/>
      <c r="R4" s="2259" t="s">
        <v>390</v>
      </c>
      <c r="S4" s="2260"/>
      <c r="T4" s="2260"/>
      <c r="U4" s="2261"/>
      <c r="V4" s="2262" t="s">
        <v>260</v>
      </c>
      <c r="W4" s="2262"/>
      <c r="X4" s="2262"/>
      <c r="Y4" s="2262"/>
      <c r="Z4" s="2262"/>
      <c r="AA4" s="2259" t="s">
        <v>400</v>
      </c>
      <c r="AB4" s="2255"/>
      <c r="AC4" s="2255"/>
      <c r="AD4" s="2255"/>
      <c r="AE4" s="2255"/>
      <c r="AF4" s="2255"/>
      <c r="AG4" s="2255"/>
      <c r="AH4" s="2255"/>
      <c r="AI4" s="2255"/>
      <c r="AJ4" s="2256"/>
      <c r="AK4" s="2262" t="s">
        <v>399</v>
      </c>
      <c r="AL4" s="2258"/>
      <c r="AM4" s="2258"/>
      <c r="AN4" s="2258"/>
      <c r="AO4" s="2258"/>
      <c r="AP4" s="2258"/>
      <c r="AQ4" s="2258"/>
      <c r="AR4" s="2263"/>
      <c r="BI4">
        <v>0.3125</v>
      </c>
      <c r="BK4" t="s">
        <v>669</v>
      </c>
    </row>
    <row r="5" spans="1:75" ht="17.25" customHeight="1" x14ac:dyDescent="0.25">
      <c r="B5" s="2266" t="s">
        <v>656</v>
      </c>
      <c r="C5" s="2267"/>
      <c r="D5" s="2266" t="s">
        <v>657</v>
      </c>
      <c r="E5" s="2267"/>
      <c r="F5" s="2268"/>
      <c r="G5" s="2267" t="s">
        <v>626</v>
      </c>
      <c r="H5" s="2270" t="s">
        <v>643</v>
      </c>
      <c r="I5" s="2272" t="s">
        <v>406</v>
      </c>
      <c r="J5" s="2272" t="s">
        <v>304</v>
      </c>
      <c r="K5" s="2272" t="s">
        <v>388</v>
      </c>
      <c r="L5" s="2274" t="s">
        <v>403</v>
      </c>
      <c r="M5" s="2276" t="s">
        <v>404</v>
      </c>
      <c r="N5" s="2264" t="s">
        <v>405</v>
      </c>
      <c r="O5" s="2264" t="s">
        <v>406</v>
      </c>
      <c r="P5" s="2264" t="s">
        <v>304</v>
      </c>
      <c r="Q5" s="2278" t="s">
        <v>632</v>
      </c>
      <c r="R5" s="2270" t="s">
        <v>389</v>
      </c>
      <c r="S5" s="2272" t="s">
        <v>408</v>
      </c>
      <c r="T5" s="2272" t="s">
        <v>684</v>
      </c>
      <c r="U5" s="2274" t="s">
        <v>685</v>
      </c>
      <c r="V5" s="2276" t="s">
        <v>629</v>
      </c>
      <c r="W5" s="2264" t="s">
        <v>406</v>
      </c>
      <c r="X5" s="2264" t="s">
        <v>630</v>
      </c>
      <c r="Y5" s="2264" t="s">
        <v>304</v>
      </c>
      <c r="Z5" s="2278" t="s">
        <v>631</v>
      </c>
      <c r="AA5" s="2270" t="s">
        <v>645</v>
      </c>
      <c r="AB5" s="2272" t="s">
        <v>392</v>
      </c>
      <c r="AC5" s="2272" t="s">
        <v>393</v>
      </c>
      <c r="AD5" s="2272" t="s">
        <v>391</v>
      </c>
      <c r="AE5" s="2272" t="s">
        <v>409</v>
      </c>
      <c r="AF5" s="2272" t="s">
        <v>410</v>
      </c>
      <c r="AG5" s="2282" t="s">
        <v>398</v>
      </c>
      <c r="AH5" s="2283"/>
      <c r="AI5" s="2283"/>
      <c r="AJ5" s="2284"/>
      <c r="AK5" s="2276" t="s">
        <v>658</v>
      </c>
      <c r="AL5" s="2264" t="s">
        <v>659</v>
      </c>
      <c r="AM5" s="2264" t="s">
        <v>661</v>
      </c>
      <c r="AN5" s="2278" t="s">
        <v>660</v>
      </c>
      <c r="AO5" s="2276"/>
      <c r="AP5" s="2264" t="s">
        <v>402</v>
      </c>
      <c r="AQ5" s="2264" t="s">
        <v>683</v>
      </c>
      <c r="AR5" s="2280" t="s">
        <v>682</v>
      </c>
      <c r="AT5">
        <v>0.45</v>
      </c>
      <c r="BC5">
        <v>0.125</v>
      </c>
      <c r="BI5" t="s">
        <v>666</v>
      </c>
      <c r="BJ5" t="s">
        <v>667</v>
      </c>
      <c r="BK5" t="s">
        <v>668</v>
      </c>
      <c r="BP5" s="1867" t="s">
        <v>666</v>
      </c>
      <c r="BQ5" s="1867" t="s">
        <v>667</v>
      </c>
      <c r="BR5" t="s">
        <v>668</v>
      </c>
      <c r="BS5" s="1867" t="s">
        <v>666</v>
      </c>
      <c r="BT5" s="1867" t="s">
        <v>667</v>
      </c>
      <c r="BU5" t="s">
        <v>668</v>
      </c>
    </row>
    <row r="6" spans="1:75" ht="52.5" customHeight="1" thickBot="1" x14ac:dyDescent="0.3">
      <c r="B6" s="1868" t="s">
        <v>671</v>
      </c>
      <c r="C6" s="1869" t="s">
        <v>670</v>
      </c>
      <c r="D6" s="1870" t="s">
        <v>671</v>
      </c>
      <c r="E6" s="1871" t="s">
        <v>779</v>
      </c>
      <c r="F6" s="1872" t="s">
        <v>670</v>
      </c>
      <c r="G6" s="2269"/>
      <c r="H6" s="2271"/>
      <c r="I6" s="2273"/>
      <c r="J6" s="2273"/>
      <c r="K6" s="2273"/>
      <c r="L6" s="2275"/>
      <c r="M6" s="2277"/>
      <c r="N6" s="2265"/>
      <c r="O6" s="2265"/>
      <c r="P6" s="2265"/>
      <c r="Q6" s="2279"/>
      <c r="R6" s="2271"/>
      <c r="S6" s="2273"/>
      <c r="T6" s="2273"/>
      <c r="U6" s="2275"/>
      <c r="V6" s="2277"/>
      <c r="W6" s="2265"/>
      <c r="X6" s="2265"/>
      <c r="Y6" s="2265"/>
      <c r="Z6" s="2279"/>
      <c r="AA6" s="2271"/>
      <c r="AB6" s="2273"/>
      <c r="AC6" s="2273"/>
      <c r="AD6" s="2273"/>
      <c r="AE6" s="2273"/>
      <c r="AF6" s="2273"/>
      <c r="AG6" s="1873" t="s">
        <v>397</v>
      </c>
      <c r="AH6" s="1874" t="s">
        <v>394</v>
      </c>
      <c r="AI6" s="1875" t="s">
        <v>395</v>
      </c>
      <c r="AJ6" s="1876" t="s">
        <v>396</v>
      </c>
      <c r="AK6" s="2277"/>
      <c r="AL6" s="2265"/>
      <c r="AM6" s="2265"/>
      <c r="AN6" s="1871" t="s">
        <v>662</v>
      </c>
      <c r="AO6" s="1871" t="s">
        <v>663</v>
      </c>
      <c r="AP6" s="2265"/>
      <c r="AQ6" s="2265"/>
      <c r="AR6" s="2281"/>
      <c r="AT6" t="s">
        <v>447</v>
      </c>
      <c r="AU6" t="s">
        <v>679</v>
      </c>
      <c r="AV6" t="s">
        <v>680</v>
      </c>
      <c r="AW6" s="1782" t="s">
        <v>681</v>
      </c>
      <c r="AX6" s="1782" t="s">
        <v>686</v>
      </c>
      <c r="AY6" s="1782" t="s">
        <v>687</v>
      </c>
      <c r="AZ6" s="1782" t="s">
        <v>688</v>
      </c>
      <c r="BA6" t="s">
        <v>640</v>
      </c>
      <c r="BB6" t="s">
        <v>641</v>
      </c>
      <c r="BC6" s="1877" t="s">
        <v>639</v>
      </c>
      <c r="BE6" t="s">
        <v>674</v>
      </c>
      <c r="BF6" s="1783" t="s">
        <v>673</v>
      </c>
      <c r="BG6" s="1783" t="s">
        <v>672</v>
      </c>
      <c r="BH6" s="1783" t="s">
        <v>664</v>
      </c>
      <c r="BI6" s="1878" t="s">
        <v>665</v>
      </c>
      <c r="BJ6" s="1878" t="s">
        <v>665</v>
      </c>
      <c r="BK6" s="1783" t="s">
        <v>665</v>
      </c>
      <c r="BL6" s="1864"/>
      <c r="BM6" s="1783" t="s">
        <v>676</v>
      </c>
      <c r="BN6" s="1783" t="s">
        <v>677</v>
      </c>
      <c r="BO6" s="1783" t="s">
        <v>664</v>
      </c>
      <c r="BP6" s="1879" t="s">
        <v>678</v>
      </c>
      <c r="BQ6" s="1879" t="s">
        <v>678</v>
      </c>
      <c r="BR6" s="1783" t="s">
        <v>678</v>
      </c>
      <c r="BS6" s="1879" t="s">
        <v>678</v>
      </c>
      <c r="BT6" s="1879" t="s">
        <v>678</v>
      </c>
      <c r="BU6" s="1783" t="s">
        <v>678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757</v>
      </c>
      <c r="F7" s="1894">
        <v>5.25</v>
      </c>
      <c r="G7" s="1843">
        <v>0.1875</v>
      </c>
      <c r="H7" s="1601" t="s">
        <v>706</v>
      </c>
      <c r="I7" s="1604">
        <v>0.625</v>
      </c>
      <c r="J7" s="1605">
        <v>65</v>
      </c>
      <c r="K7" s="2193">
        <v>1.5</v>
      </c>
      <c r="L7" s="1902">
        <v>7.125</v>
      </c>
      <c r="M7" s="1608" t="s">
        <v>707</v>
      </c>
      <c r="N7" s="1605" t="s">
        <v>708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16 3/4</v>
      </c>
      <c r="AQ7" s="2196">
        <f>AW7+AY7</f>
        <v>26.015677638660126</v>
      </c>
      <c r="AR7" s="2197">
        <f>(AX7+AZ7)*1.06</f>
        <v>27.281489229119877</v>
      </c>
      <c r="AS7" s="1960"/>
      <c r="AT7" s="1961">
        <f t="shared" ref="AT7:AT44" si="7">CEILING(2*AK7+L7 - 4*K7+(K7+$AT$5*I7)*PI(),0.125)</f>
        <v>16.75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26.015677638660126</v>
      </c>
      <c r="AX7" s="1962">
        <f>I7*(R7*AT7-AU7-AV7)*0.2836</f>
        <v>25.737253989735731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0.375</v>
      </c>
      <c r="BB7" s="1962">
        <f t="shared" ref="BB7:BB44" si="8">K7+I7</f>
        <v>2.125</v>
      </c>
      <c r="BC7" s="1963">
        <f>BB7-SQRT(BB7^2-BA7^2)</f>
        <v>3.3349933664811093E-2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757</v>
      </c>
      <c r="F8" s="1895">
        <v>5.375</v>
      </c>
      <c r="G8" s="1844">
        <v>0.25</v>
      </c>
      <c r="H8" s="1584" t="s">
        <v>709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710</v>
      </c>
      <c r="N8" s="1588" t="s">
        <v>711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758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758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759</v>
      </c>
      <c r="F11" s="1894">
        <v>7.25</v>
      </c>
      <c r="G11" s="1843">
        <v>0.1875</v>
      </c>
      <c r="H11" s="1601" t="s">
        <v>712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713</v>
      </c>
      <c r="N11" s="1605" t="s">
        <v>714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760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761</v>
      </c>
      <c r="F13" s="1894">
        <v>8.625</v>
      </c>
      <c r="G13" s="1843">
        <v>0.1875</v>
      </c>
      <c r="H13" s="1601" t="s">
        <v>715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716</v>
      </c>
      <c r="N13" s="1605" t="s">
        <v>717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762</v>
      </c>
      <c r="F14" s="1895">
        <v>8.75</v>
      </c>
      <c r="G14" s="1844">
        <v>0.3125</v>
      </c>
      <c r="H14" s="1584" t="s">
        <v>718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719</v>
      </c>
      <c r="N14" s="1588" t="s">
        <v>720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763</v>
      </c>
      <c r="F15" s="1894">
        <v>9.625</v>
      </c>
      <c r="G15" s="1843">
        <v>0.25</v>
      </c>
      <c r="H15" s="1601" t="s">
        <v>721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722</v>
      </c>
      <c r="N15" s="1605" t="s">
        <v>723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763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764</v>
      </c>
      <c r="F17" s="1894">
        <v>10.625</v>
      </c>
      <c r="G17" s="1843">
        <v>0.25</v>
      </c>
      <c r="H17" s="1601" t="s">
        <v>724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725</v>
      </c>
      <c r="N17" s="1605" t="s">
        <v>726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764</v>
      </c>
      <c r="F18" s="1895">
        <v>10.875</v>
      </c>
      <c r="G18" s="1844">
        <v>0.3125</v>
      </c>
      <c r="H18" s="1584" t="s">
        <v>727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728</v>
      </c>
      <c r="N18" s="1588" t="s">
        <v>729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765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765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766</v>
      </c>
      <c r="F21" s="1894">
        <v>12.625</v>
      </c>
      <c r="G21" s="1843">
        <v>0.25</v>
      </c>
      <c r="H21" s="1601" t="s">
        <v>730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731</v>
      </c>
      <c r="N21" s="1605" t="s">
        <v>732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766</v>
      </c>
      <c r="F22" s="1890">
        <v>12.875</v>
      </c>
      <c r="G22" s="1845">
        <v>0.375</v>
      </c>
      <c r="H22" s="1302" t="s">
        <v>733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734</v>
      </c>
      <c r="N22" s="1288" t="s">
        <v>735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767</v>
      </c>
      <c r="F23" s="1889">
        <v>13.625</v>
      </c>
      <c r="G23" s="1846">
        <v>0.25</v>
      </c>
      <c r="H23" s="1301" t="s">
        <v>736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737</v>
      </c>
      <c r="N23" s="1281" t="s">
        <v>738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767</v>
      </c>
      <c r="F24" s="1890">
        <v>13.625</v>
      </c>
      <c r="G24" s="1845">
        <v>0.375</v>
      </c>
      <c r="H24" s="1302" t="s">
        <v>739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740</v>
      </c>
      <c r="N24" s="1288" t="s">
        <v>741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768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783</v>
      </c>
      <c r="F27" s="1889">
        <v>15.5</v>
      </c>
      <c r="G27" s="1846">
        <v>0.25</v>
      </c>
      <c r="H27" s="1301" t="s">
        <v>742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743</v>
      </c>
      <c r="N27" s="1281" t="s">
        <v>744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769</v>
      </c>
      <c r="F28" s="1890">
        <v>15.625</v>
      </c>
      <c r="G28" s="1845">
        <v>0.375</v>
      </c>
      <c r="H28" s="1302" t="s">
        <v>745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746</v>
      </c>
      <c r="N28" s="1288" t="s">
        <v>747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770</v>
      </c>
      <c r="F29" s="1889">
        <v>17.375</v>
      </c>
      <c r="G29" s="1846">
        <v>0.25</v>
      </c>
      <c r="H29" s="1301" t="s">
        <v>748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749</v>
      </c>
      <c r="N29" s="1281" t="s">
        <v>750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784</v>
      </c>
      <c r="F30" s="1890">
        <v>17.625</v>
      </c>
      <c r="G30" s="1845">
        <v>0.375</v>
      </c>
      <c r="H30" s="1302" t="s">
        <v>751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752</v>
      </c>
      <c r="N30" s="1288" t="s">
        <v>753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785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771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772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772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786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787</v>
      </c>
      <c r="F36" s="1890">
        <v>21.5</v>
      </c>
      <c r="G36" s="1845">
        <v>0.375</v>
      </c>
      <c r="H36" s="1302" t="s">
        <v>754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755</v>
      </c>
      <c r="N36" s="1288" t="s">
        <v>756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773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788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774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775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789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776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777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778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780</v>
      </c>
      <c r="C45" s="2192" t="s">
        <v>782</v>
      </c>
      <c r="Q45" s="1271"/>
      <c r="R45" s="1271"/>
    </row>
    <row r="46" spans="1:75" x14ac:dyDescent="0.25">
      <c r="B46" s="2189"/>
      <c r="C46" s="2190" t="s">
        <v>781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85" t="s">
        <v>690</v>
      </c>
      <c r="E48" s="2285"/>
      <c r="F48" s="2285" t="s">
        <v>691</v>
      </c>
      <c r="G48" s="2285"/>
      <c r="H48" s="2285" t="s">
        <v>692</v>
      </c>
      <c r="I48" s="2285"/>
    </row>
    <row r="49" spans="4:9" ht="15.75" thickTop="1" x14ac:dyDescent="0.25">
      <c r="D49" s="2286" t="s">
        <v>699</v>
      </c>
      <c r="E49" s="2286"/>
      <c r="F49" s="2287" t="s">
        <v>695</v>
      </c>
      <c r="G49" s="2286"/>
      <c r="H49" s="2286" t="s">
        <v>697</v>
      </c>
      <c r="I49" s="2286"/>
    </row>
    <row r="50" spans="4:9" x14ac:dyDescent="0.25">
      <c r="D50" s="2288" t="s">
        <v>700</v>
      </c>
      <c r="E50" s="2288"/>
      <c r="F50" s="2289" t="s">
        <v>696</v>
      </c>
      <c r="G50" s="2288"/>
      <c r="H50" s="2288" t="s">
        <v>697</v>
      </c>
      <c r="I50" s="2288"/>
    </row>
    <row r="51" spans="4:9" x14ac:dyDescent="0.25">
      <c r="D51" s="2288" t="s">
        <v>701</v>
      </c>
      <c r="E51" s="2288"/>
      <c r="F51" s="2289" t="s">
        <v>703</v>
      </c>
      <c r="G51" s="2288"/>
      <c r="H51" s="2288" t="s">
        <v>697</v>
      </c>
      <c r="I51" s="2288"/>
    </row>
    <row r="52" spans="4:9" x14ac:dyDescent="0.25">
      <c r="D52" s="2288" t="s">
        <v>701</v>
      </c>
      <c r="E52" s="2288"/>
      <c r="F52" s="2289" t="s">
        <v>704</v>
      </c>
      <c r="G52" s="2288"/>
      <c r="H52" s="2288" t="s">
        <v>694</v>
      </c>
      <c r="I52" s="2288"/>
    </row>
    <row r="53" spans="4:9" x14ac:dyDescent="0.25">
      <c r="D53" s="2288" t="s">
        <v>702</v>
      </c>
      <c r="E53" s="2288"/>
      <c r="F53" s="2289" t="s">
        <v>698</v>
      </c>
      <c r="G53" s="2288"/>
      <c r="H53" s="2288" t="s">
        <v>693</v>
      </c>
      <c r="I53" s="2288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22" priority="19" operator="greaterThan">
      <formula>$BC$5</formula>
    </cfRule>
  </conditionalFormatting>
  <conditionalFormatting sqref="BC10">
    <cfRule type="cellIs" dxfId="21" priority="14" operator="greaterThan">
      <formula>$BC$5</formula>
    </cfRule>
  </conditionalFormatting>
  <conditionalFormatting sqref="BC13">
    <cfRule type="cellIs" dxfId="20" priority="11" operator="greaterThan">
      <formula>$BC$5</formula>
    </cfRule>
  </conditionalFormatting>
  <conditionalFormatting sqref="BC15">
    <cfRule type="cellIs" dxfId="19" priority="9" operator="greaterThan">
      <formula>$BC$5</formula>
    </cfRule>
  </conditionalFormatting>
  <conditionalFormatting sqref="BC11">
    <cfRule type="cellIs" dxfId="18" priority="13" operator="greaterThan">
      <formula>$BC$5</formula>
    </cfRule>
  </conditionalFormatting>
  <conditionalFormatting sqref="BC16">
    <cfRule type="cellIs" dxfId="17" priority="8" operator="greaterThan">
      <formula>$BC$5</formula>
    </cfRule>
  </conditionalFormatting>
  <conditionalFormatting sqref="BC31:BC32">
    <cfRule type="cellIs" dxfId="16" priority="18" operator="greaterThan">
      <formula>$BC$5</formula>
    </cfRule>
  </conditionalFormatting>
  <conditionalFormatting sqref="BC9">
    <cfRule type="cellIs" dxfId="15" priority="17" operator="greaterThan">
      <formula>$BC$5</formula>
    </cfRule>
  </conditionalFormatting>
  <conditionalFormatting sqref="BC19">
    <cfRule type="cellIs" dxfId="14" priority="5" operator="greaterThan">
      <formula>$BC$5</formula>
    </cfRule>
  </conditionalFormatting>
  <conditionalFormatting sqref="BC14">
    <cfRule type="cellIs" dxfId="13" priority="10" operator="greaterThan">
      <formula>$BC$5</formula>
    </cfRule>
  </conditionalFormatting>
  <conditionalFormatting sqref="BC17">
    <cfRule type="cellIs" dxfId="12" priority="7" operator="greaterThan">
      <formula>$BC$5</formula>
    </cfRule>
  </conditionalFormatting>
  <conditionalFormatting sqref="BC21">
    <cfRule type="cellIs" dxfId="11" priority="1" operator="greaterThan">
      <formula>$BC$5</formula>
    </cfRule>
  </conditionalFormatting>
  <conditionalFormatting sqref="BC22">
    <cfRule type="cellIs" dxfId="10" priority="4" operator="greaterThan">
      <formula>$BC$5</formula>
    </cfRule>
  </conditionalFormatting>
  <conditionalFormatting sqref="BC8">
    <cfRule type="cellIs" dxfId="9" priority="16" operator="greaterThan">
      <formula>$BC$5</formula>
    </cfRule>
  </conditionalFormatting>
  <conditionalFormatting sqref="BC7">
    <cfRule type="cellIs" dxfId="8" priority="15" operator="greaterThan">
      <formula>$BC$5</formula>
    </cfRule>
  </conditionalFormatting>
  <conditionalFormatting sqref="BC12">
    <cfRule type="cellIs" dxfId="7" priority="12" operator="greaterThan">
      <formula>$BC$5</formula>
    </cfRule>
  </conditionalFormatting>
  <conditionalFormatting sqref="BC18">
    <cfRule type="cellIs" dxfId="6" priority="6" operator="greaterThan">
      <formula>$BC$5</formula>
    </cfRule>
  </conditionalFormatting>
  <conditionalFormatting sqref="BC23">
    <cfRule type="cellIs" dxfId="5" priority="3" operator="greaterThan">
      <formula>$BC$5</formula>
    </cfRule>
  </conditionalFormatting>
  <conditionalFormatting sqref="BC24">
    <cfRule type="cellIs" dxfId="4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90" t="s">
        <v>512</v>
      </c>
      <c r="C4" s="2291"/>
      <c r="D4" s="2291"/>
      <c r="E4" s="2292"/>
      <c r="F4" s="2302" t="s">
        <v>513</v>
      </c>
      <c r="G4" s="2303"/>
      <c r="H4" s="2303"/>
      <c r="I4" s="2303"/>
      <c r="J4" s="2304"/>
      <c r="K4" s="2305" t="s">
        <v>514</v>
      </c>
      <c r="L4" s="2296"/>
      <c r="M4" s="2296"/>
      <c r="N4" s="2296"/>
      <c r="O4" s="2296"/>
      <c r="P4" s="2301"/>
      <c r="Q4" s="2295" t="s">
        <v>303</v>
      </c>
      <c r="R4" s="2296"/>
      <c r="S4" s="2301"/>
      <c r="T4" s="2295" t="s">
        <v>44</v>
      </c>
      <c r="U4" s="2296"/>
      <c r="V4" s="2296"/>
      <c r="W4" s="2296"/>
      <c r="X4" s="2296"/>
      <c r="Y4" s="2296"/>
      <c r="Z4" s="2296"/>
      <c r="AA4" s="2296"/>
      <c r="AB4" s="2297"/>
      <c r="AC4" s="2298" t="s">
        <v>515</v>
      </c>
      <c r="AD4" s="2299"/>
      <c r="AE4" s="2299"/>
      <c r="AF4" s="2299"/>
      <c r="AG4" s="2299"/>
      <c r="AH4" s="2300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93" t="s">
        <v>297</v>
      </c>
      <c r="AF5" s="2294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5D18-77E9-4ED6-ADAB-F14011F3E8BF}">
  <sheetPr codeName="Sheet10"/>
  <dimension ref="A1:E728"/>
  <sheetViews>
    <sheetView workbookViewId="0">
      <selection activeCell="A32" sqref="A32"/>
    </sheetView>
  </sheetViews>
  <sheetFormatPr defaultRowHeight="15" x14ac:dyDescent="0.25"/>
  <cols>
    <col min="1" max="1" width="36" customWidth="1"/>
    <col min="2" max="2" width="19.5703125" style="2207" customWidth="1"/>
    <col min="3" max="3" width="20.7109375" bestFit="1" customWidth="1"/>
    <col min="4" max="4" width="20.7109375" style="2203" customWidth="1"/>
    <col min="5" max="5" width="12.7109375" style="2207" bestFit="1" customWidth="1"/>
  </cols>
  <sheetData>
    <row r="1" spans="1:5" s="2204" customFormat="1" x14ac:dyDescent="0.25">
      <c r="A1" s="2204" t="s">
        <v>790</v>
      </c>
      <c r="B1" s="2205" t="s">
        <v>791</v>
      </c>
      <c r="C1" s="2204" t="s">
        <v>792</v>
      </c>
      <c r="D1" s="2204" t="s">
        <v>793</v>
      </c>
      <c r="E1" s="2205" t="s">
        <v>794</v>
      </c>
    </row>
    <row r="2" spans="1:5" x14ac:dyDescent="0.25">
      <c r="A2" s="2206" t="s">
        <v>628</v>
      </c>
      <c r="B2" s="2207" t="s">
        <v>795</v>
      </c>
      <c r="C2" t="s">
        <v>796</v>
      </c>
      <c r="D2" s="2203">
        <f t="shared" ref="D2:D19" si="0">CODE($E2) - 64</f>
        <v>2</v>
      </c>
      <c r="E2" s="2207" t="s">
        <v>797</v>
      </c>
    </row>
    <row r="3" spans="1:5" x14ac:dyDescent="0.25">
      <c r="A3" s="2206" t="s">
        <v>627</v>
      </c>
      <c r="B3" s="2207" t="s">
        <v>798</v>
      </c>
      <c r="C3" t="s">
        <v>799</v>
      </c>
      <c r="D3" s="2203">
        <f t="shared" si="0"/>
        <v>3</v>
      </c>
      <c r="E3" s="2207" t="s">
        <v>112</v>
      </c>
    </row>
    <row r="4" spans="1:5" x14ac:dyDescent="0.25">
      <c r="A4" s="2206" t="s">
        <v>628</v>
      </c>
      <c r="B4" s="2207" t="s">
        <v>795</v>
      </c>
      <c r="C4" t="s">
        <v>800</v>
      </c>
      <c r="D4" s="2203">
        <f t="shared" si="0"/>
        <v>4</v>
      </c>
      <c r="E4" s="2207" t="s">
        <v>801</v>
      </c>
    </row>
    <row r="5" spans="1:5" x14ac:dyDescent="0.25">
      <c r="A5" s="2206" t="s">
        <v>627</v>
      </c>
      <c r="B5" s="2207" t="s">
        <v>798</v>
      </c>
      <c r="C5" t="s">
        <v>802</v>
      </c>
      <c r="D5" s="2203">
        <f t="shared" si="0"/>
        <v>6</v>
      </c>
      <c r="E5" s="2207" t="s">
        <v>647</v>
      </c>
    </row>
    <row r="6" spans="1:5" x14ac:dyDescent="0.25">
      <c r="A6" s="2206" t="s">
        <v>626</v>
      </c>
      <c r="B6" s="2207" t="s">
        <v>803</v>
      </c>
      <c r="C6" t="s">
        <v>804</v>
      </c>
      <c r="D6" s="2203">
        <f t="shared" si="0"/>
        <v>7</v>
      </c>
      <c r="E6" s="2207" t="s">
        <v>807</v>
      </c>
    </row>
    <row r="7" spans="1:5" x14ac:dyDescent="0.25">
      <c r="A7" s="2206" t="s">
        <v>643</v>
      </c>
      <c r="B7" s="2207" t="s">
        <v>805</v>
      </c>
      <c r="C7" t="s">
        <v>806</v>
      </c>
      <c r="D7" s="2203">
        <f t="shared" si="0"/>
        <v>8</v>
      </c>
      <c r="E7" s="2207" t="s">
        <v>810</v>
      </c>
    </row>
    <row r="8" spans="1:5" x14ac:dyDescent="0.25">
      <c r="A8" s="2206" t="s">
        <v>406</v>
      </c>
      <c r="B8" s="2207" t="s">
        <v>808</v>
      </c>
      <c r="C8" t="s">
        <v>809</v>
      </c>
      <c r="D8" s="2203">
        <f t="shared" si="0"/>
        <v>9</v>
      </c>
      <c r="E8" s="2207" t="s">
        <v>110</v>
      </c>
    </row>
    <row r="9" spans="1:5" x14ac:dyDescent="0.25">
      <c r="A9" s="2206" t="s">
        <v>403</v>
      </c>
      <c r="B9" s="2207" t="s">
        <v>811</v>
      </c>
      <c r="C9" t="s">
        <v>812</v>
      </c>
      <c r="D9" s="2203">
        <f t="shared" si="0"/>
        <v>12</v>
      </c>
      <c r="E9" s="2207" t="s">
        <v>815</v>
      </c>
    </row>
    <row r="10" spans="1:5" x14ac:dyDescent="0.25">
      <c r="A10" s="2206" t="s">
        <v>404</v>
      </c>
      <c r="B10" s="2207" t="s">
        <v>813</v>
      </c>
      <c r="C10" t="s">
        <v>814</v>
      </c>
      <c r="D10" s="2203">
        <f t="shared" si="0"/>
        <v>13</v>
      </c>
      <c r="E10" s="2207" t="s">
        <v>104</v>
      </c>
    </row>
    <row r="11" spans="1:5" x14ac:dyDescent="0.25">
      <c r="A11" s="2206" t="s">
        <v>405</v>
      </c>
      <c r="B11" s="2207" t="s">
        <v>816</v>
      </c>
      <c r="C11" t="s">
        <v>817</v>
      </c>
      <c r="D11" s="2203">
        <f t="shared" si="0"/>
        <v>14</v>
      </c>
      <c r="E11" s="2207" t="s">
        <v>820</v>
      </c>
    </row>
    <row r="12" spans="1:5" x14ac:dyDescent="0.25">
      <c r="A12" s="2206" t="s">
        <v>406</v>
      </c>
      <c r="B12" s="2207" t="s">
        <v>818</v>
      </c>
      <c r="C12" t="s">
        <v>819</v>
      </c>
      <c r="D12" s="2203">
        <f t="shared" si="0"/>
        <v>15</v>
      </c>
      <c r="E12" s="2207" t="s">
        <v>865</v>
      </c>
    </row>
    <row r="13" spans="1:5" x14ac:dyDescent="0.25">
      <c r="A13" s="2206" t="s">
        <v>632</v>
      </c>
      <c r="B13" s="2207" t="s">
        <v>821</v>
      </c>
      <c r="C13" t="s">
        <v>822</v>
      </c>
      <c r="D13" s="2203">
        <f t="shared" si="0"/>
        <v>17</v>
      </c>
      <c r="E13" s="2207" t="s">
        <v>825</v>
      </c>
    </row>
    <row r="14" spans="1:5" x14ac:dyDescent="0.25">
      <c r="A14" s="2206" t="s">
        <v>389</v>
      </c>
      <c r="B14" s="2207" t="s">
        <v>823</v>
      </c>
      <c r="C14" t="s">
        <v>824</v>
      </c>
      <c r="D14" s="2203">
        <f t="shared" si="0"/>
        <v>18</v>
      </c>
      <c r="E14" s="2207" t="s">
        <v>641</v>
      </c>
    </row>
    <row r="15" spans="1:5" x14ac:dyDescent="0.25">
      <c r="A15" s="2206" t="s">
        <v>407</v>
      </c>
      <c r="B15" s="2207" t="s">
        <v>826</v>
      </c>
      <c r="C15" t="s">
        <v>827</v>
      </c>
      <c r="D15" s="2203">
        <f t="shared" si="0"/>
        <v>20</v>
      </c>
      <c r="E15" s="2207" t="s">
        <v>828</v>
      </c>
    </row>
    <row r="16" spans="1:5" x14ac:dyDescent="0.25">
      <c r="A16" s="2206" t="s">
        <v>629</v>
      </c>
      <c r="B16" s="2207" t="s">
        <v>829</v>
      </c>
      <c r="C16" t="s">
        <v>830</v>
      </c>
      <c r="D16" s="2203">
        <f t="shared" si="0"/>
        <v>22</v>
      </c>
      <c r="E16" s="2207" t="s">
        <v>833</v>
      </c>
    </row>
    <row r="17" spans="1:5" x14ac:dyDescent="0.25">
      <c r="A17" s="2206" t="s">
        <v>406</v>
      </c>
      <c r="B17" s="2207" t="s">
        <v>831</v>
      </c>
      <c r="C17" t="s">
        <v>832</v>
      </c>
      <c r="D17" s="2203">
        <f t="shared" si="0"/>
        <v>23</v>
      </c>
      <c r="E17" s="2207" t="s">
        <v>836</v>
      </c>
    </row>
    <row r="18" spans="1:5" x14ac:dyDescent="0.25">
      <c r="A18" s="2206" t="s">
        <v>630</v>
      </c>
      <c r="B18" s="2207" t="s">
        <v>834</v>
      </c>
      <c r="C18" t="s">
        <v>835</v>
      </c>
      <c r="D18" s="2203">
        <f t="shared" si="0"/>
        <v>24</v>
      </c>
      <c r="E18" s="2207" t="s">
        <v>866</v>
      </c>
    </row>
    <row r="19" spans="1:5" x14ac:dyDescent="0.25">
      <c r="A19" s="2206" t="s">
        <v>631</v>
      </c>
      <c r="B19" s="2207" t="s">
        <v>837</v>
      </c>
      <c r="C19" t="s">
        <v>838</v>
      </c>
      <c r="D19" s="2203">
        <f t="shared" si="0"/>
        <v>26</v>
      </c>
      <c r="E19" s="2207" t="s">
        <v>841</v>
      </c>
    </row>
    <row r="20" spans="1:5" x14ac:dyDescent="0.25">
      <c r="A20" s="2206" t="s">
        <v>645</v>
      </c>
      <c r="B20" s="2207" t="s">
        <v>839</v>
      </c>
      <c r="C20" t="s">
        <v>840</v>
      </c>
      <c r="D20" s="2203">
        <v>27</v>
      </c>
      <c r="E20" s="2207" t="s">
        <v>844</v>
      </c>
    </row>
    <row r="21" spans="1:5" x14ac:dyDescent="0.25">
      <c r="A21" s="2206" t="s">
        <v>392</v>
      </c>
      <c r="B21" s="2207" t="s">
        <v>842</v>
      </c>
      <c r="C21" t="s">
        <v>843</v>
      </c>
      <c r="D21" s="2203">
        <v>28</v>
      </c>
      <c r="E21" s="2207" t="s">
        <v>847</v>
      </c>
    </row>
    <row r="22" spans="1:5" x14ac:dyDescent="0.25">
      <c r="A22" s="2206" t="s">
        <v>393</v>
      </c>
      <c r="B22" s="2207" t="s">
        <v>845</v>
      </c>
      <c r="C22" t="s">
        <v>846</v>
      </c>
      <c r="D22" s="2203">
        <v>29</v>
      </c>
      <c r="E22" s="2207" t="s">
        <v>850</v>
      </c>
    </row>
    <row r="23" spans="1:5" x14ac:dyDescent="0.25">
      <c r="A23" s="2206" t="s">
        <v>391</v>
      </c>
      <c r="B23" s="2207" t="s">
        <v>848</v>
      </c>
      <c r="C23" t="s">
        <v>849</v>
      </c>
      <c r="D23" s="2203">
        <v>30</v>
      </c>
      <c r="E23" s="2207" t="s">
        <v>853</v>
      </c>
    </row>
    <row r="24" spans="1:5" x14ac:dyDescent="0.25">
      <c r="A24" s="2206" t="s">
        <v>409</v>
      </c>
      <c r="B24" s="2207" t="s">
        <v>851</v>
      </c>
      <c r="C24" t="s">
        <v>852</v>
      </c>
      <c r="D24" s="2203">
        <v>31</v>
      </c>
      <c r="E24" s="2207" t="s">
        <v>867</v>
      </c>
    </row>
    <row r="25" spans="1:5" x14ac:dyDescent="0.25">
      <c r="A25" s="2206" t="s">
        <v>854</v>
      </c>
      <c r="B25" s="2207" t="s">
        <v>855</v>
      </c>
      <c r="C25" t="s">
        <v>856</v>
      </c>
      <c r="D25" s="2203">
        <v>33</v>
      </c>
      <c r="E25" s="2207" t="s">
        <v>868</v>
      </c>
    </row>
    <row r="26" spans="1:5" x14ac:dyDescent="0.25">
      <c r="A26" s="2206" t="s">
        <v>295</v>
      </c>
      <c r="B26" s="2207" t="s">
        <v>857</v>
      </c>
      <c r="C26" t="s">
        <v>858</v>
      </c>
      <c r="D26" s="2203">
        <v>37</v>
      </c>
      <c r="E26" s="2207" t="s">
        <v>861</v>
      </c>
    </row>
    <row r="27" spans="1:5" x14ac:dyDescent="0.25">
      <c r="A27" s="2206" t="s">
        <v>445</v>
      </c>
      <c r="B27" s="2207" t="s">
        <v>859</v>
      </c>
      <c r="C27" t="s">
        <v>860</v>
      </c>
      <c r="D27" s="2203">
        <v>38</v>
      </c>
      <c r="E27" s="2207" t="s">
        <v>870</v>
      </c>
    </row>
    <row r="28" spans="1:5" x14ac:dyDescent="0.25">
      <c r="A28" s="2206" t="s">
        <v>871</v>
      </c>
      <c r="B28" s="2207" t="s">
        <v>862</v>
      </c>
      <c r="C28" t="s">
        <v>871</v>
      </c>
      <c r="D28" s="2203">
        <v>43</v>
      </c>
      <c r="E28" s="2207" t="s">
        <v>864</v>
      </c>
    </row>
    <row r="29" spans="1:5" x14ac:dyDescent="0.25">
      <c r="A29" s="2206" t="s">
        <v>872</v>
      </c>
      <c r="B29" s="2207" t="s">
        <v>863</v>
      </c>
      <c r="C29" t="s">
        <v>872</v>
      </c>
      <c r="D29" s="2203">
        <v>44</v>
      </c>
      <c r="E29" s="2207" t="s">
        <v>869</v>
      </c>
    </row>
    <row r="30" spans="1:5" x14ac:dyDescent="0.25">
      <c r="A30" s="1782"/>
    </row>
    <row r="31" spans="1:5" x14ac:dyDescent="0.25">
      <c r="A31" s="1782"/>
    </row>
    <row r="32" spans="1:5" x14ac:dyDescent="0.25">
      <c r="A32" s="1782"/>
    </row>
    <row r="33" spans="1:1" x14ac:dyDescent="0.25">
      <c r="A33" s="1782"/>
    </row>
    <row r="34" spans="1:1" x14ac:dyDescent="0.25">
      <c r="A34" s="1782"/>
    </row>
    <row r="35" spans="1:1" x14ac:dyDescent="0.25">
      <c r="A35" s="1782"/>
    </row>
    <row r="36" spans="1:1" x14ac:dyDescent="0.25">
      <c r="A36" s="1782"/>
    </row>
    <row r="37" spans="1:1" x14ac:dyDescent="0.25">
      <c r="A37" s="1782"/>
    </row>
    <row r="38" spans="1:1" x14ac:dyDescent="0.25">
      <c r="A38" s="1782"/>
    </row>
    <row r="39" spans="1:1" x14ac:dyDescent="0.25">
      <c r="A39" s="1782"/>
    </row>
    <row r="40" spans="1:1" x14ac:dyDescent="0.25">
      <c r="A40" s="1782"/>
    </row>
    <row r="41" spans="1:1" x14ac:dyDescent="0.25">
      <c r="A41" s="1782"/>
    </row>
    <row r="43" spans="1:1" x14ac:dyDescent="0.25">
      <c r="A43" s="1782"/>
    </row>
    <row r="45" spans="1:1" x14ac:dyDescent="0.25">
      <c r="A45" s="1782"/>
    </row>
    <row r="47" spans="1:1" x14ac:dyDescent="0.25">
      <c r="A47" s="1782"/>
    </row>
    <row r="48" spans="1:1" x14ac:dyDescent="0.25">
      <c r="A48" s="1782"/>
    </row>
    <row r="50" spans="1:1" x14ac:dyDescent="0.25">
      <c r="A50" s="1782"/>
    </row>
    <row r="51" spans="1:1" x14ac:dyDescent="0.25">
      <c r="A51" s="1782"/>
    </row>
    <row r="52" spans="1:1" x14ac:dyDescent="0.25">
      <c r="A52" s="1782"/>
    </row>
    <row r="56" spans="1:1" x14ac:dyDescent="0.25">
      <c r="A56" s="1782"/>
    </row>
    <row r="57" spans="1:1" x14ac:dyDescent="0.25">
      <c r="A57" s="1782"/>
    </row>
    <row r="58" spans="1:1" x14ac:dyDescent="0.25">
      <c r="A58" s="1782"/>
    </row>
    <row r="59" spans="1:1" x14ac:dyDescent="0.25">
      <c r="A59" s="1782"/>
    </row>
    <row r="60" spans="1:1" x14ac:dyDescent="0.25">
      <c r="A60" s="1782"/>
    </row>
    <row r="61" spans="1:1" x14ac:dyDescent="0.25">
      <c r="A61" s="1782"/>
    </row>
    <row r="62" spans="1:1" x14ac:dyDescent="0.25">
      <c r="A62" s="1782"/>
    </row>
    <row r="63" spans="1:1" x14ac:dyDescent="0.25">
      <c r="A63" s="1782"/>
    </row>
    <row r="64" spans="1:1" x14ac:dyDescent="0.25">
      <c r="A64" s="1782"/>
    </row>
    <row r="65" spans="1:1" x14ac:dyDescent="0.25">
      <c r="A65" s="1782"/>
    </row>
    <row r="66" spans="1:1" x14ac:dyDescent="0.25">
      <c r="A66" s="1782"/>
    </row>
    <row r="67" spans="1:1" x14ac:dyDescent="0.25">
      <c r="A67" s="1782"/>
    </row>
    <row r="69" spans="1:1" x14ac:dyDescent="0.25">
      <c r="A69" s="1782"/>
    </row>
    <row r="71" spans="1:1" x14ac:dyDescent="0.25">
      <c r="A71" s="1782"/>
    </row>
    <row r="73" spans="1:1" x14ac:dyDescent="0.25">
      <c r="A73" s="1782"/>
    </row>
    <row r="74" spans="1:1" x14ac:dyDescent="0.25">
      <c r="A74" s="1782"/>
    </row>
    <row r="76" spans="1:1" x14ac:dyDescent="0.25">
      <c r="A76" s="1782"/>
    </row>
    <row r="77" spans="1:1" x14ac:dyDescent="0.25">
      <c r="A77" s="1782"/>
    </row>
    <row r="78" spans="1:1" x14ac:dyDescent="0.25">
      <c r="A78" s="1782"/>
    </row>
    <row r="82" spans="1:1" x14ac:dyDescent="0.25">
      <c r="A82" s="1782"/>
    </row>
    <row r="83" spans="1:1" x14ac:dyDescent="0.25">
      <c r="A83" s="1782"/>
    </row>
    <row r="84" spans="1:1" x14ac:dyDescent="0.25">
      <c r="A84" s="1782"/>
    </row>
    <row r="85" spans="1:1" x14ac:dyDescent="0.25">
      <c r="A85" s="1782"/>
    </row>
    <row r="86" spans="1:1" x14ac:dyDescent="0.25">
      <c r="A86" s="1782"/>
    </row>
    <row r="87" spans="1:1" x14ac:dyDescent="0.25">
      <c r="A87" s="1782"/>
    </row>
    <row r="88" spans="1:1" x14ac:dyDescent="0.25">
      <c r="A88" s="1782"/>
    </row>
    <row r="89" spans="1:1" x14ac:dyDescent="0.25">
      <c r="A89" s="1782"/>
    </row>
    <row r="90" spans="1:1" x14ac:dyDescent="0.25">
      <c r="A90" s="1782"/>
    </row>
    <row r="91" spans="1:1" x14ac:dyDescent="0.25">
      <c r="A91" s="1782"/>
    </row>
    <row r="92" spans="1:1" x14ac:dyDescent="0.25">
      <c r="A92" s="1782"/>
    </row>
    <row r="93" spans="1:1" x14ac:dyDescent="0.25">
      <c r="A93" s="1782"/>
    </row>
    <row r="95" spans="1:1" x14ac:dyDescent="0.25">
      <c r="A95" s="1782"/>
    </row>
    <row r="97" spans="1:1" x14ac:dyDescent="0.25">
      <c r="A97" s="1782"/>
    </row>
    <row r="99" spans="1:1" x14ac:dyDescent="0.25">
      <c r="A99" s="1782"/>
    </row>
    <row r="100" spans="1:1" x14ac:dyDescent="0.25">
      <c r="A100" s="1782"/>
    </row>
    <row r="102" spans="1:1" x14ac:dyDescent="0.25">
      <c r="A102" s="1782"/>
    </row>
    <row r="103" spans="1:1" x14ac:dyDescent="0.25">
      <c r="A103" s="1782"/>
    </row>
    <row r="104" spans="1:1" x14ac:dyDescent="0.25">
      <c r="A104" s="1782"/>
    </row>
    <row r="108" spans="1:1" x14ac:dyDescent="0.25">
      <c r="A108" s="1782"/>
    </row>
    <row r="109" spans="1:1" x14ac:dyDescent="0.25">
      <c r="A109" s="1782"/>
    </row>
    <row r="110" spans="1:1" x14ac:dyDescent="0.25">
      <c r="A110" s="1782"/>
    </row>
    <row r="111" spans="1:1" x14ac:dyDescent="0.25">
      <c r="A111" s="1782"/>
    </row>
    <row r="112" spans="1:1" x14ac:dyDescent="0.25">
      <c r="A112" s="1782"/>
    </row>
    <row r="113" spans="1:1" x14ac:dyDescent="0.25">
      <c r="A113" s="1782"/>
    </row>
    <row r="114" spans="1:1" x14ac:dyDescent="0.25">
      <c r="A114" s="1782"/>
    </row>
    <row r="115" spans="1:1" x14ac:dyDescent="0.25">
      <c r="A115" s="1782"/>
    </row>
    <row r="116" spans="1:1" x14ac:dyDescent="0.25">
      <c r="A116" s="1782"/>
    </row>
    <row r="117" spans="1:1" x14ac:dyDescent="0.25">
      <c r="A117" s="1782"/>
    </row>
    <row r="118" spans="1:1" x14ac:dyDescent="0.25">
      <c r="A118" s="1782"/>
    </row>
    <row r="119" spans="1:1" x14ac:dyDescent="0.25">
      <c r="A119" s="1782"/>
    </row>
    <row r="121" spans="1:1" x14ac:dyDescent="0.25">
      <c r="A121" s="1782"/>
    </row>
    <row r="123" spans="1:1" x14ac:dyDescent="0.25">
      <c r="A123" s="1782"/>
    </row>
    <row r="125" spans="1:1" x14ac:dyDescent="0.25">
      <c r="A125" s="1782"/>
    </row>
    <row r="126" spans="1:1" x14ac:dyDescent="0.25">
      <c r="A126" s="1782"/>
    </row>
    <row r="128" spans="1:1" x14ac:dyDescent="0.25">
      <c r="A128" s="1782"/>
    </row>
    <row r="129" spans="1:1" x14ac:dyDescent="0.25">
      <c r="A129" s="1782"/>
    </row>
    <row r="130" spans="1:1" x14ac:dyDescent="0.25">
      <c r="A130" s="1782"/>
    </row>
    <row r="134" spans="1:1" x14ac:dyDescent="0.25">
      <c r="A134" s="1782"/>
    </row>
    <row r="135" spans="1:1" x14ac:dyDescent="0.25">
      <c r="A135" s="1782"/>
    </row>
    <row r="136" spans="1:1" x14ac:dyDescent="0.25">
      <c r="A136" s="1782"/>
    </row>
    <row r="137" spans="1:1" x14ac:dyDescent="0.25">
      <c r="A137" s="1782"/>
    </row>
    <row r="138" spans="1:1" x14ac:dyDescent="0.25">
      <c r="A138" s="1782"/>
    </row>
    <row r="139" spans="1:1" x14ac:dyDescent="0.25">
      <c r="A139" s="1782"/>
    </row>
    <row r="140" spans="1:1" x14ac:dyDescent="0.25">
      <c r="A140" s="1782"/>
    </row>
    <row r="141" spans="1:1" x14ac:dyDescent="0.25">
      <c r="A141" s="1782"/>
    </row>
    <row r="142" spans="1:1" x14ac:dyDescent="0.25">
      <c r="A142" s="1782"/>
    </row>
    <row r="143" spans="1:1" x14ac:dyDescent="0.25">
      <c r="A143" s="1782"/>
    </row>
    <row r="144" spans="1:1" x14ac:dyDescent="0.25">
      <c r="A144" s="1782"/>
    </row>
    <row r="145" spans="1:1" x14ac:dyDescent="0.25">
      <c r="A145" s="1782"/>
    </row>
    <row r="147" spans="1:1" x14ac:dyDescent="0.25">
      <c r="A147" s="1782"/>
    </row>
    <row r="149" spans="1:1" x14ac:dyDescent="0.25">
      <c r="A149" s="1782"/>
    </row>
    <row r="151" spans="1:1" x14ac:dyDescent="0.25">
      <c r="A151" s="1782"/>
    </row>
    <row r="152" spans="1:1" x14ac:dyDescent="0.25">
      <c r="A152" s="1782"/>
    </row>
    <row r="154" spans="1:1" x14ac:dyDescent="0.25">
      <c r="A154" s="1782"/>
    </row>
    <row r="155" spans="1:1" x14ac:dyDescent="0.25">
      <c r="A155" s="1782"/>
    </row>
    <row r="156" spans="1:1" x14ac:dyDescent="0.25">
      <c r="A156" s="1782"/>
    </row>
    <row r="160" spans="1:1" x14ac:dyDescent="0.25">
      <c r="A160" s="1782"/>
    </row>
    <row r="161" spans="1:1" x14ac:dyDescent="0.25">
      <c r="A161" s="1782"/>
    </row>
    <row r="162" spans="1:1" x14ac:dyDescent="0.25">
      <c r="A162" s="1782"/>
    </row>
    <row r="163" spans="1:1" x14ac:dyDescent="0.25">
      <c r="A163" s="1782"/>
    </row>
    <row r="164" spans="1:1" x14ac:dyDescent="0.25">
      <c r="A164" s="1782"/>
    </row>
    <row r="165" spans="1:1" x14ac:dyDescent="0.25">
      <c r="A165" s="1782"/>
    </row>
    <row r="166" spans="1:1" x14ac:dyDescent="0.25">
      <c r="A166" s="1782"/>
    </row>
    <row r="167" spans="1:1" x14ac:dyDescent="0.25">
      <c r="A167" s="1782"/>
    </row>
    <row r="168" spans="1:1" x14ac:dyDescent="0.25">
      <c r="A168" s="1782"/>
    </row>
    <row r="169" spans="1:1" x14ac:dyDescent="0.25">
      <c r="A169" s="1782"/>
    </row>
    <row r="170" spans="1:1" x14ac:dyDescent="0.25">
      <c r="A170" s="1782"/>
    </row>
    <row r="171" spans="1:1" x14ac:dyDescent="0.25">
      <c r="A171" s="1782"/>
    </row>
    <row r="173" spans="1:1" x14ac:dyDescent="0.25">
      <c r="A173" s="1782"/>
    </row>
    <row r="175" spans="1:1" x14ac:dyDescent="0.25">
      <c r="A175" s="1782"/>
    </row>
    <row r="177" spans="1:1" x14ac:dyDescent="0.25">
      <c r="A177" s="1782"/>
    </row>
    <row r="178" spans="1:1" x14ac:dyDescent="0.25">
      <c r="A178" s="1782"/>
    </row>
    <row r="180" spans="1:1" x14ac:dyDescent="0.25">
      <c r="A180" s="1782"/>
    </row>
    <row r="181" spans="1:1" x14ac:dyDescent="0.25">
      <c r="A181" s="1782"/>
    </row>
    <row r="182" spans="1:1" x14ac:dyDescent="0.25">
      <c r="A182" s="1782"/>
    </row>
    <row r="186" spans="1:1" x14ac:dyDescent="0.25">
      <c r="A186" s="1782"/>
    </row>
    <row r="187" spans="1:1" x14ac:dyDescent="0.25">
      <c r="A187" s="1782"/>
    </row>
    <row r="188" spans="1:1" x14ac:dyDescent="0.25">
      <c r="A188" s="1782"/>
    </row>
    <row r="189" spans="1:1" x14ac:dyDescent="0.25">
      <c r="A189" s="1782"/>
    </row>
    <row r="190" spans="1:1" x14ac:dyDescent="0.25">
      <c r="A190" s="1782"/>
    </row>
    <row r="191" spans="1:1" x14ac:dyDescent="0.25">
      <c r="A191" s="1782"/>
    </row>
    <row r="192" spans="1:1" x14ac:dyDescent="0.25">
      <c r="A192" s="1782"/>
    </row>
    <row r="193" spans="1:1" x14ac:dyDescent="0.25">
      <c r="A193" s="1782"/>
    </row>
    <row r="194" spans="1:1" x14ac:dyDescent="0.25">
      <c r="A194" s="1782"/>
    </row>
    <row r="195" spans="1:1" x14ac:dyDescent="0.25">
      <c r="A195" s="1782"/>
    </row>
    <row r="196" spans="1:1" x14ac:dyDescent="0.25">
      <c r="A196" s="1782"/>
    </row>
    <row r="197" spans="1:1" x14ac:dyDescent="0.25">
      <c r="A197" s="1782"/>
    </row>
    <row r="199" spans="1:1" x14ac:dyDescent="0.25">
      <c r="A199" s="1782"/>
    </row>
    <row r="201" spans="1:1" x14ac:dyDescent="0.25">
      <c r="A201" s="1782"/>
    </row>
    <row r="203" spans="1:1" x14ac:dyDescent="0.25">
      <c r="A203" s="1782"/>
    </row>
    <row r="204" spans="1:1" x14ac:dyDescent="0.25">
      <c r="A204" s="1782"/>
    </row>
    <row r="206" spans="1:1" x14ac:dyDescent="0.25">
      <c r="A206" s="1782"/>
    </row>
    <row r="207" spans="1:1" x14ac:dyDescent="0.25">
      <c r="A207" s="1782"/>
    </row>
    <row r="208" spans="1:1" x14ac:dyDescent="0.25">
      <c r="A208" s="1782"/>
    </row>
    <row r="212" spans="1:1" x14ac:dyDescent="0.25">
      <c r="A212" s="1782"/>
    </row>
    <row r="213" spans="1:1" x14ac:dyDescent="0.25">
      <c r="A213" s="1782"/>
    </row>
    <row r="214" spans="1:1" x14ac:dyDescent="0.25">
      <c r="A214" s="1782"/>
    </row>
    <row r="215" spans="1:1" x14ac:dyDescent="0.25">
      <c r="A215" s="1782"/>
    </row>
    <row r="216" spans="1:1" x14ac:dyDescent="0.25">
      <c r="A216" s="1782"/>
    </row>
    <row r="217" spans="1:1" x14ac:dyDescent="0.25">
      <c r="A217" s="1782"/>
    </row>
    <row r="218" spans="1:1" x14ac:dyDescent="0.25">
      <c r="A218" s="1782"/>
    </row>
    <row r="219" spans="1:1" x14ac:dyDescent="0.25">
      <c r="A219" s="1782"/>
    </row>
    <row r="220" spans="1:1" x14ac:dyDescent="0.25">
      <c r="A220" s="1782"/>
    </row>
    <row r="221" spans="1:1" x14ac:dyDescent="0.25">
      <c r="A221" s="1782"/>
    </row>
    <row r="222" spans="1:1" x14ac:dyDescent="0.25">
      <c r="A222" s="1782"/>
    </row>
    <row r="223" spans="1:1" x14ac:dyDescent="0.25">
      <c r="A223" s="1782"/>
    </row>
    <row r="225" spans="1:1" x14ac:dyDescent="0.25">
      <c r="A225" s="1782"/>
    </row>
    <row r="227" spans="1:1" x14ac:dyDescent="0.25">
      <c r="A227" s="1782"/>
    </row>
    <row r="229" spans="1:1" x14ac:dyDescent="0.25">
      <c r="A229" s="1782"/>
    </row>
    <row r="230" spans="1:1" x14ac:dyDescent="0.25">
      <c r="A230" s="1782"/>
    </row>
    <row r="232" spans="1:1" x14ac:dyDescent="0.25">
      <c r="A232" s="1782"/>
    </row>
    <row r="233" spans="1:1" x14ac:dyDescent="0.25">
      <c r="A233" s="1782"/>
    </row>
    <row r="234" spans="1:1" x14ac:dyDescent="0.25">
      <c r="A234" s="1782"/>
    </row>
    <row r="238" spans="1:1" x14ac:dyDescent="0.25">
      <c r="A238" s="1782"/>
    </row>
    <row r="239" spans="1:1" x14ac:dyDescent="0.25">
      <c r="A239" s="1782"/>
    </row>
    <row r="240" spans="1:1" x14ac:dyDescent="0.25">
      <c r="A240" s="1782"/>
    </row>
    <row r="241" spans="1:1" x14ac:dyDescent="0.25">
      <c r="A241" s="1782"/>
    </row>
    <row r="242" spans="1:1" x14ac:dyDescent="0.25">
      <c r="A242" s="1782"/>
    </row>
    <row r="243" spans="1:1" x14ac:dyDescent="0.25">
      <c r="A243" s="1782"/>
    </row>
    <row r="244" spans="1:1" x14ac:dyDescent="0.25">
      <c r="A244" s="1782"/>
    </row>
    <row r="245" spans="1:1" x14ac:dyDescent="0.25">
      <c r="A245" s="1782"/>
    </row>
    <row r="246" spans="1:1" x14ac:dyDescent="0.25">
      <c r="A246" s="1782"/>
    </row>
    <row r="247" spans="1:1" x14ac:dyDescent="0.25">
      <c r="A247" s="1782"/>
    </row>
    <row r="248" spans="1:1" x14ac:dyDescent="0.25">
      <c r="A248" s="1782"/>
    </row>
    <row r="249" spans="1:1" x14ac:dyDescent="0.25">
      <c r="A249" s="1782"/>
    </row>
    <row r="251" spans="1:1" x14ac:dyDescent="0.25">
      <c r="A251" s="1782"/>
    </row>
    <row r="253" spans="1:1" x14ac:dyDescent="0.25">
      <c r="A253" s="1782"/>
    </row>
    <row r="255" spans="1:1" x14ac:dyDescent="0.25">
      <c r="A255" s="1782"/>
    </row>
    <row r="256" spans="1:1" x14ac:dyDescent="0.25">
      <c r="A256" s="1782"/>
    </row>
    <row r="258" spans="1:1" x14ac:dyDescent="0.25">
      <c r="A258" s="1782"/>
    </row>
    <row r="259" spans="1:1" x14ac:dyDescent="0.25">
      <c r="A259" s="1782"/>
    </row>
    <row r="260" spans="1:1" x14ac:dyDescent="0.25">
      <c r="A260" s="1782"/>
    </row>
    <row r="264" spans="1:1" x14ac:dyDescent="0.25">
      <c r="A264" s="1782"/>
    </row>
    <row r="265" spans="1:1" x14ac:dyDescent="0.25">
      <c r="A265" s="1782"/>
    </row>
    <row r="266" spans="1:1" x14ac:dyDescent="0.25">
      <c r="A266" s="1782"/>
    </row>
    <row r="267" spans="1:1" x14ac:dyDescent="0.25">
      <c r="A267" s="1782"/>
    </row>
    <row r="268" spans="1:1" x14ac:dyDescent="0.25">
      <c r="A268" s="1782"/>
    </row>
    <row r="269" spans="1:1" x14ac:dyDescent="0.25">
      <c r="A269" s="1782"/>
    </row>
    <row r="270" spans="1:1" x14ac:dyDescent="0.25">
      <c r="A270" s="1782"/>
    </row>
    <row r="271" spans="1:1" x14ac:dyDescent="0.25">
      <c r="A271" s="1782"/>
    </row>
    <row r="272" spans="1:1" x14ac:dyDescent="0.25">
      <c r="A272" s="1782"/>
    </row>
    <row r="273" spans="1:1" x14ac:dyDescent="0.25">
      <c r="A273" s="1782"/>
    </row>
    <row r="274" spans="1:1" x14ac:dyDescent="0.25">
      <c r="A274" s="1782"/>
    </row>
    <row r="275" spans="1:1" x14ac:dyDescent="0.25">
      <c r="A275" s="1782"/>
    </row>
    <row r="277" spans="1:1" x14ac:dyDescent="0.25">
      <c r="A277" s="1782"/>
    </row>
    <row r="279" spans="1:1" x14ac:dyDescent="0.25">
      <c r="A279" s="1782"/>
    </row>
    <row r="281" spans="1:1" x14ac:dyDescent="0.25">
      <c r="A281" s="1782"/>
    </row>
    <row r="282" spans="1:1" x14ac:dyDescent="0.25">
      <c r="A282" s="1782"/>
    </row>
    <row r="284" spans="1:1" x14ac:dyDescent="0.25">
      <c r="A284" s="1782"/>
    </row>
    <row r="285" spans="1:1" x14ac:dyDescent="0.25">
      <c r="A285" s="1782"/>
    </row>
    <row r="286" spans="1:1" x14ac:dyDescent="0.25">
      <c r="A286" s="1782"/>
    </row>
    <row r="290" spans="1:1" x14ac:dyDescent="0.25">
      <c r="A290" s="1782"/>
    </row>
    <row r="291" spans="1:1" x14ac:dyDescent="0.25">
      <c r="A291" s="1782"/>
    </row>
    <row r="292" spans="1:1" x14ac:dyDescent="0.25">
      <c r="A292" s="1782"/>
    </row>
    <row r="293" spans="1:1" x14ac:dyDescent="0.25">
      <c r="A293" s="1782"/>
    </row>
    <row r="294" spans="1:1" x14ac:dyDescent="0.25">
      <c r="A294" s="1782"/>
    </row>
    <row r="295" spans="1:1" x14ac:dyDescent="0.25">
      <c r="A295" s="1782"/>
    </row>
    <row r="296" spans="1:1" x14ac:dyDescent="0.25">
      <c r="A296" s="1782"/>
    </row>
    <row r="297" spans="1:1" x14ac:dyDescent="0.25">
      <c r="A297" s="1782"/>
    </row>
    <row r="298" spans="1:1" x14ac:dyDescent="0.25">
      <c r="A298" s="1782"/>
    </row>
    <row r="299" spans="1:1" x14ac:dyDescent="0.25">
      <c r="A299" s="1782"/>
    </row>
    <row r="300" spans="1:1" x14ac:dyDescent="0.25">
      <c r="A300" s="1782"/>
    </row>
    <row r="301" spans="1:1" x14ac:dyDescent="0.25">
      <c r="A301" s="1782"/>
    </row>
    <row r="303" spans="1:1" x14ac:dyDescent="0.25">
      <c r="A303" s="1782"/>
    </row>
    <row r="305" spans="1:1" x14ac:dyDescent="0.25">
      <c r="A305" s="1782"/>
    </row>
    <row r="307" spans="1:1" x14ac:dyDescent="0.25">
      <c r="A307" s="1782"/>
    </row>
    <row r="308" spans="1:1" x14ac:dyDescent="0.25">
      <c r="A308" s="1782"/>
    </row>
    <row r="310" spans="1:1" x14ac:dyDescent="0.25">
      <c r="A310" s="1782"/>
    </row>
    <row r="311" spans="1:1" x14ac:dyDescent="0.25">
      <c r="A311" s="1782"/>
    </row>
    <row r="312" spans="1:1" x14ac:dyDescent="0.25">
      <c r="A312" s="1782"/>
    </row>
    <row r="316" spans="1:1" x14ac:dyDescent="0.25">
      <c r="A316" s="1782"/>
    </row>
    <row r="317" spans="1:1" x14ac:dyDescent="0.25">
      <c r="A317" s="1782"/>
    </row>
    <row r="318" spans="1:1" x14ac:dyDescent="0.25">
      <c r="A318" s="1782"/>
    </row>
    <row r="319" spans="1:1" x14ac:dyDescent="0.25">
      <c r="A319" s="1782"/>
    </row>
    <row r="320" spans="1:1" x14ac:dyDescent="0.25">
      <c r="A320" s="1782"/>
    </row>
    <row r="321" spans="1:1" x14ac:dyDescent="0.25">
      <c r="A321" s="1782"/>
    </row>
    <row r="322" spans="1:1" x14ac:dyDescent="0.25">
      <c r="A322" s="1782"/>
    </row>
    <row r="323" spans="1:1" x14ac:dyDescent="0.25">
      <c r="A323" s="1782"/>
    </row>
    <row r="324" spans="1:1" x14ac:dyDescent="0.25">
      <c r="A324" s="1782"/>
    </row>
    <row r="325" spans="1:1" x14ac:dyDescent="0.25">
      <c r="A325" s="1782"/>
    </row>
    <row r="326" spans="1:1" x14ac:dyDescent="0.25">
      <c r="A326" s="1782"/>
    </row>
    <row r="327" spans="1:1" x14ac:dyDescent="0.25">
      <c r="A327" s="1782"/>
    </row>
    <row r="329" spans="1:1" x14ac:dyDescent="0.25">
      <c r="A329" s="1782"/>
    </row>
    <row r="331" spans="1:1" x14ac:dyDescent="0.25">
      <c r="A331" s="1782"/>
    </row>
    <row r="333" spans="1:1" x14ac:dyDescent="0.25">
      <c r="A333" s="1782"/>
    </row>
    <row r="334" spans="1:1" x14ac:dyDescent="0.25">
      <c r="A334" s="1782"/>
    </row>
    <row r="336" spans="1:1" x14ac:dyDescent="0.25">
      <c r="A336" s="1782"/>
    </row>
    <row r="337" spans="1:1" x14ac:dyDescent="0.25">
      <c r="A337" s="1782"/>
    </row>
    <row r="338" spans="1:1" x14ac:dyDescent="0.25">
      <c r="A338" s="1782"/>
    </row>
    <row r="342" spans="1:1" x14ac:dyDescent="0.25">
      <c r="A342" s="1782"/>
    </row>
    <row r="343" spans="1:1" x14ac:dyDescent="0.25">
      <c r="A343" s="1782"/>
    </row>
    <row r="344" spans="1:1" x14ac:dyDescent="0.25">
      <c r="A344" s="1782"/>
    </row>
    <row r="345" spans="1:1" x14ac:dyDescent="0.25">
      <c r="A345" s="1782"/>
    </row>
    <row r="346" spans="1:1" x14ac:dyDescent="0.25">
      <c r="A346" s="1782"/>
    </row>
    <row r="347" spans="1:1" x14ac:dyDescent="0.25">
      <c r="A347" s="1782"/>
    </row>
    <row r="348" spans="1:1" x14ac:dyDescent="0.25">
      <c r="A348" s="1782"/>
    </row>
    <row r="349" spans="1:1" x14ac:dyDescent="0.25">
      <c r="A349" s="1782"/>
    </row>
    <row r="350" spans="1:1" x14ac:dyDescent="0.25">
      <c r="A350" s="1782"/>
    </row>
    <row r="351" spans="1:1" x14ac:dyDescent="0.25">
      <c r="A351" s="1782"/>
    </row>
    <row r="352" spans="1:1" x14ac:dyDescent="0.25">
      <c r="A352" s="1782"/>
    </row>
    <row r="353" spans="1:1" x14ac:dyDescent="0.25">
      <c r="A353" s="1782"/>
    </row>
    <row r="355" spans="1:1" x14ac:dyDescent="0.25">
      <c r="A355" s="1782"/>
    </row>
    <row r="357" spans="1:1" x14ac:dyDescent="0.25">
      <c r="A357" s="1782"/>
    </row>
    <row r="359" spans="1:1" x14ac:dyDescent="0.25">
      <c r="A359" s="1782"/>
    </row>
    <row r="360" spans="1:1" x14ac:dyDescent="0.25">
      <c r="A360" s="1782"/>
    </row>
    <row r="362" spans="1:1" x14ac:dyDescent="0.25">
      <c r="A362" s="1782"/>
    </row>
    <row r="363" spans="1:1" x14ac:dyDescent="0.25">
      <c r="A363" s="1782"/>
    </row>
    <row r="364" spans="1:1" x14ac:dyDescent="0.25">
      <c r="A364" s="1782"/>
    </row>
    <row r="368" spans="1:1" x14ac:dyDescent="0.25">
      <c r="A368" s="1782"/>
    </row>
    <row r="369" spans="1:1" x14ac:dyDescent="0.25">
      <c r="A369" s="1782"/>
    </row>
    <row r="370" spans="1:1" x14ac:dyDescent="0.25">
      <c r="A370" s="1782"/>
    </row>
    <row r="371" spans="1:1" x14ac:dyDescent="0.25">
      <c r="A371" s="1782"/>
    </row>
    <row r="372" spans="1:1" x14ac:dyDescent="0.25">
      <c r="A372" s="1782"/>
    </row>
    <row r="373" spans="1:1" x14ac:dyDescent="0.25">
      <c r="A373" s="1782"/>
    </row>
    <row r="374" spans="1:1" x14ac:dyDescent="0.25">
      <c r="A374" s="1782"/>
    </row>
    <row r="375" spans="1:1" x14ac:dyDescent="0.25">
      <c r="A375" s="1782"/>
    </row>
    <row r="376" spans="1:1" x14ac:dyDescent="0.25">
      <c r="A376" s="1782"/>
    </row>
    <row r="377" spans="1:1" x14ac:dyDescent="0.25">
      <c r="A377" s="1782"/>
    </row>
    <row r="378" spans="1:1" x14ac:dyDescent="0.25">
      <c r="A378" s="1782"/>
    </row>
    <row r="379" spans="1:1" x14ac:dyDescent="0.25">
      <c r="A379" s="1782"/>
    </row>
    <row r="381" spans="1:1" x14ac:dyDescent="0.25">
      <c r="A381" s="1782"/>
    </row>
    <row r="383" spans="1:1" x14ac:dyDescent="0.25">
      <c r="A383" s="1782"/>
    </row>
    <row r="385" spans="1:1" x14ac:dyDescent="0.25">
      <c r="A385" s="1782"/>
    </row>
    <row r="386" spans="1:1" x14ac:dyDescent="0.25">
      <c r="A386" s="1782"/>
    </row>
    <row r="388" spans="1:1" x14ac:dyDescent="0.25">
      <c r="A388" s="1782"/>
    </row>
    <row r="389" spans="1:1" x14ac:dyDescent="0.25">
      <c r="A389" s="1782"/>
    </row>
    <row r="390" spans="1:1" x14ac:dyDescent="0.25">
      <c r="A390" s="1782"/>
    </row>
    <row r="394" spans="1:1" x14ac:dyDescent="0.25">
      <c r="A394" s="1782"/>
    </row>
    <row r="395" spans="1:1" x14ac:dyDescent="0.25">
      <c r="A395" s="1782"/>
    </row>
    <row r="396" spans="1:1" x14ac:dyDescent="0.25">
      <c r="A396" s="1782"/>
    </row>
    <row r="397" spans="1:1" x14ac:dyDescent="0.25">
      <c r="A397" s="1782"/>
    </row>
    <row r="398" spans="1:1" x14ac:dyDescent="0.25">
      <c r="A398" s="1782"/>
    </row>
    <row r="399" spans="1:1" x14ac:dyDescent="0.25">
      <c r="A399" s="1782"/>
    </row>
    <row r="400" spans="1:1" x14ac:dyDescent="0.25">
      <c r="A400" s="1782"/>
    </row>
    <row r="401" spans="1:1" x14ac:dyDescent="0.25">
      <c r="A401" s="1782"/>
    </row>
    <row r="402" spans="1:1" x14ac:dyDescent="0.25">
      <c r="A402" s="1782"/>
    </row>
    <row r="403" spans="1:1" x14ac:dyDescent="0.25">
      <c r="A403" s="1782"/>
    </row>
    <row r="404" spans="1:1" x14ac:dyDescent="0.25">
      <c r="A404" s="1782"/>
    </row>
    <row r="405" spans="1:1" x14ac:dyDescent="0.25">
      <c r="A405" s="1782"/>
    </row>
    <row r="407" spans="1:1" x14ac:dyDescent="0.25">
      <c r="A407" s="1782"/>
    </row>
    <row r="409" spans="1:1" x14ac:dyDescent="0.25">
      <c r="A409" s="1782"/>
    </row>
    <row r="411" spans="1:1" x14ac:dyDescent="0.25">
      <c r="A411" s="1782"/>
    </row>
    <row r="412" spans="1:1" x14ac:dyDescent="0.25">
      <c r="A412" s="1782"/>
    </row>
    <row r="414" spans="1:1" x14ac:dyDescent="0.25">
      <c r="A414" s="1782"/>
    </row>
    <row r="415" spans="1:1" x14ac:dyDescent="0.25">
      <c r="A415" s="1782"/>
    </row>
    <row r="416" spans="1:1" x14ac:dyDescent="0.25">
      <c r="A416" s="1782"/>
    </row>
    <row r="420" spans="1:1" x14ac:dyDescent="0.25">
      <c r="A420" s="1782"/>
    </row>
    <row r="421" spans="1:1" x14ac:dyDescent="0.25">
      <c r="A421" s="1782"/>
    </row>
    <row r="422" spans="1:1" x14ac:dyDescent="0.25">
      <c r="A422" s="1782"/>
    </row>
    <row r="423" spans="1:1" x14ac:dyDescent="0.25">
      <c r="A423" s="1782"/>
    </row>
    <row r="424" spans="1:1" x14ac:dyDescent="0.25">
      <c r="A424" s="1782"/>
    </row>
    <row r="425" spans="1:1" x14ac:dyDescent="0.25">
      <c r="A425" s="1782"/>
    </row>
    <row r="426" spans="1:1" x14ac:dyDescent="0.25">
      <c r="A426" s="1782"/>
    </row>
    <row r="427" spans="1:1" x14ac:dyDescent="0.25">
      <c r="A427" s="1782"/>
    </row>
    <row r="428" spans="1:1" x14ac:dyDescent="0.25">
      <c r="A428" s="1782"/>
    </row>
    <row r="429" spans="1:1" x14ac:dyDescent="0.25">
      <c r="A429" s="1782"/>
    </row>
    <row r="430" spans="1:1" x14ac:dyDescent="0.25">
      <c r="A430" s="1782"/>
    </row>
    <row r="431" spans="1:1" x14ac:dyDescent="0.25">
      <c r="A431" s="1782"/>
    </row>
    <row r="433" spans="1:1" x14ac:dyDescent="0.25">
      <c r="A433" s="1782"/>
    </row>
    <row r="435" spans="1:1" x14ac:dyDescent="0.25">
      <c r="A435" s="1782"/>
    </row>
    <row r="437" spans="1:1" x14ac:dyDescent="0.25">
      <c r="A437" s="1782"/>
    </row>
    <row r="438" spans="1:1" x14ac:dyDescent="0.25">
      <c r="A438" s="1782"/>
    </row>
    <row r="440" spans="1:1" x14ac:dyDescent="0.25">
      <c r="A440" s="1782"/>
    </row>
    <row r="441" spans="1:1" x14ac:dyDescent="0.25">
      <c r="A441" s="1782"/>
    </row>
    <row r="442" spans="1:1" x14ac:dyDescent="0.25">
      <c r="A442" s="1782"/>
    </row>
    <row r="446" spans="1:1" x14ac:dyDescent="0.25">
      <c r="A446" s="1782"/>
    </row>
    <row r="447" spans="1:1" x14ac:dyDescent="0.25">
      <c r="A447" s="1782"/>
    </row>
    <row r="448" spans="1:1" x14ac:dyDescent="0.25">
      <c r="A448" s="1782"/>
    </row>
    <row r="449" spans="1:1" x14ac:dyDescent="0.25">
      <c r="A449" s="1782"/>
    </row>
    <row r="450" spans="1:1" x14ac:dyDescent="0.25">
      <c r="A450" s="1782"/>
    </row>
    <row r="451" spans="1:1" x14ac:dyDescent="0.25">
      <c r="A451" s="1782"/>
    </row>
    <row r="452" spans="1:1" x14ac:dyDescent="0.25">
      <c r="A452" s="1782"/>
    </row>
    <row r="453" spans="1:1" x14ac:dyDescent="0.25">
      <c r="A453" s="1782"/>
    </row>
    <row r="454" spans="1:1" x14ac:dyDescent="0.25">
      <c r="A454" s="1782"/>
    </row>
    <row r="455" spans="1:1" x14ac:dyDescent="0.25">
      <c r="A455" s="1782"/>
    </row>
    <row r="456" spans="1:1" x14ac:dyDescent="0.25">
      <c r="A456" s="1782"/>
    </row>
    <row r="457" spans="1:1" x14ac:dyDescent="0.25">
      <c r="A457" s="1782"/>
    </row>
    <row r="459" spans="1:1" x14ac:dyDescent="0.25">
      <c r="A459" s="1782"/>
    </row>
    <row r="461" spans="1:1" x14ac:dyDescent="0.25">
      <c r="A461" s="1782"/>
    </row>
    <row r="463" spans="1:1" x14ac:dyDescent="0.25">
      <c r="A463" s="1782"/>
    </row>
    <row r="464" spans="1:1" x14ac:dyDescent="0.25">
      <c r="A464" s="1782"/>
    </row>
    <row r="466" spans="1:1" x14ac:dyDescent="0.25">
      <c r="A466" s="1782"/>
    </row>
    <row r="467" spans="1:1" x14ac:dyDescent="0.25">
      <c r="A467" s="1782"/>
    </row>
    <row r="468" spans="1:1" x14ac:dyDescent="0.25">
      <c r="A468" s="1782"/>
    </row>
    <row r="472" spans="1:1" x14ac:dyDescent="0.25">
      <c r="A472" s="1782"/>
    </row>
    <row r="473" spans="1:1" x14ac:dyDescent="0.25">
      <c r="A473" s="1782"/>
    </row>
    <row r="474" spans="1:1" x14ac:dyDescent="0.25">
      <c r="A474" s="1782"/>
    </row>
    <row r="475" spans="1:1" x14ac:dyDescent="0.25">
      <c r="A475" s="1782"/>
    </row>
    <row r="476" spans="1:1" x14ac:dyDescent="0.25">
      <c r="A476" s="1782"/>
    </row>
    <row r="477" spans="1:1" x14ac:dyDescent="0.25">
      <c r="A477" s="1782"/>
    </row>
    <row r="478" spans="1:1" x14ac:dyDescent="0.25">
      <c r="A478" s="1782"/>
    </row>
    <row r="479" spans="1:1" x14ac:dyDescent="0.25">
      <c r="A479" s="1782"/>
    </row>
    <row r="480" spans="1:1" x14ac:dyDescent="0.25">
      <c r="A480" s="1782"/>
    </row>
    <row r="481" spans="1:1" x14ac:dyDescent="0.25">
      <c r="A481" s="1782"/>
    </row>
    <row r="482" spans="1:1" x14ac:dyDescent="0.25">
      <c r="A482" s="1782"/>
    </row>
    <row r="483" spans="1:1" x14ac:dyDescent="0.25">
      <c r="A483" s="1782"/>
    </row>
    <row r="485" spans="1:1" x14ac:dyDescent="0.25">
      <c r="A485" s="1782"/>
    </row>
    <row r="487" spans="1:1" x14ac:dyDescent="0.25">
      <c r="A487" s="1782"/>
    </row>
    <row r="489" spans="1:1" x14ac:dyDescent="0.25">
      <c r="A489" s="1782"/>
    </row>
    <row r="490" spans="1:1" x14ac:dyDescent="0.25">
      <c r="A490" s="1782"/>
    </row>
    <row r="492" spans="1:1" x14ac:dyDescent="0.25">
      <c r="A492" s="1782"/>
    </row>
    <row r="493" spans="1:1" x14ac:dyDescent="0.25">
      <c r="A493" s="1782"/>
    </row>
    <row r="494" spans="1:1" x14ac:dyDescent="0.25">
      <c r="A494" s="1782"/>
    </row>
    <row r="498" spans="1:1" x14ac:dyDescent="0.25">
      <c r="A498" s="1782"/>
    </row>
    <row r="499" spans="1:1" x14ac:dyDescent="0.25">
      <c r="A499" s="1782"/>
    </row>
    <row r="500" spans="1:1" x14ac:dyDescent="0.25">
      <c r="A500" s="1782"/>
    </row>
    <row r="501" spans="1:1" x14ac:dyDescent="0.25">
      <c r="A501" s="1782"/>
    </row>
    <row r="502" spans="1:1" x14ac:dyDescent="0.25">
      <c r="A502" s="1782"/>
    </row>
    <row r="503" spans="1:1" x14ac:dyDescent="0.25">
      <c r="A503" s="1782"/>
    </row>
    <row r="504" spans="1:1" x14ac:dyDescent="0.25">
      <c r="A504" s="1782"/>
    </row>
    <row r="505" spans="1:1" x14ac:dyDescent="0.25">
      <c r="A505" s="1782"/>
    </row>
    <row r="506" spans="1:1" x14ac:dyDescent="0.25">
      <c r="A506" s="1782"/>
    </row>
    <row r="507" spans="1:1" x14ac:dyDescent="0.25">
      <c r="A507" s="1782"/>
    </row>
    <row r="508" spans="1:1" x14ac:dyDescent="0.25">
      <c r="A508" s="1782"/>
    </row>
    <row r="509" spans="1:1" x14ac:dyDescent="0.25">
      <c r="A509" s="1782"/>
    </row>
    <row r="511" spans="1:1" x14ac:dyDescent="0.25">
      <c r="A511" s="1782"/>
    </row>
    <row r="513" spans="1:1" x14ac:dyDescent="0.25">
      <c r="A513" s="1782"/>
    </row>
    <row r="515" spans="1:1" x14ac:dyDescent="0.25">
      <c r="A515" s="1782"/>
    </row>
    <row r="516" spans="1:1" x14ac:dyDescent="0.25">
      <c r="A516" s="1782"/>
    </row>
    <row r="518" spans="1:1" x14ac:dyDescent="0.25">
      <c r="A518" s="1782"/>
    </row>
    <row r="519" spans="1:1" x14ac:dyDescent="0.25">
      <c r="A519" s="1782"/>
    </row>
    <row r="520" spans="1:1" x14ac:dyDescent="0.25">
      <c r="A520" s="1782"/>
    </row>
    <row r="524" spans="1:1" x14ac:dyDescent="0.25">
      <c r="A524" s="1782"/>
    </row>
    <row r="525" spans="1:1" x14ac:dyDescent="0.25">
      <c r="A525" s="1782"/>
    </row>
    <row r="526" spans="1:1" x14ac:dyDescent="0.25">
      <c r="A526" s="1782"/>
    </row>
    <row r="527" spans="1:1" x14ac:dyDescent="0.25">
      <c r="A527" s="1782"/>
    </row>
    <row r="528" spans="1:1" x14ac:dyDescent="0.25">
      <c r="A528" s="1782"/>
    </row>
    <row r="529" spans="1:1" x14ac:dyDescent="0.25">
      <c r="A529" s="1782"/>
    </row>
    <row r="530" spans="1:1" x14ac:dyDescent="0.25">
      <c r="A530" s="1782"/>
    </row>
    <row r="531" spans="1:1" x14ac:dyDescent="0.25">
      <c r="A531" s="1782"/>
    </row>
    <row r="532" spans="1:1" x14ac:dyDescent="0.25">
      <c r="A532" s="1782"/>
    </row>
    <row r="533" spans="1:1" x14ac:dyDescent="0.25">
      <c r="A533" s="1782"/>
    </row>
    <row r="534" spans="1:1" x14ac:dyDescent="0.25">
      <c r="A534" s="1782"/>
    </row>
    <row r="535" spans="1:1" x14ac:dyDescent="0.25">
      <c r="A535" s="1782"/>
    </row>
    <row r="537" spans="1:1" x14ac:dyDescent="0.25">
      <c r="A537" s="1782"/>
    </row>
    <row r="539" spans="1:1" x14ac:dyDescent="0.25">
      <c r="A539" s="1782"/>
    </row>
    <row r="541" spans="1:1" x14ac:dyDescent="0.25">
      <c r="A541" s="1782"/>
    </row>
    <row r="542" spans="1:1" x14ac:dyDescent="0.25">
      <c r="A542" s="1782"/>
    </row>
    <row r="544" spans="1:1" x14ac:dyDescent="0.25">
      <c r="A544" s="1782"/>
    </row>
    <row r="545" spans="1:1" x14ac:dyDescent="0.25">
      <c r="A545" s="1782"/>
    </row>
    <row r="546" spans="1:1" x14ac:dyDescent="0.25">
      <c r="A546" s="1782"/>
    </row>
    <row r="550" spans="1:1" x14ac:dyDescent="0.25">
      <c r="A550" s="1782"/>
    </row>
    <row r="551" spans="1:1" x14ac:dyDescent="0.25">
      <c r="A551" s="1782"/>
    </row>
    <row r="552" spans="1:1" x14ac:dyDescent="0.25">
      <c r="A552" s="1782"/>
    </row>
    <row r="553" spans="1:1" x14ac:dyDescent="0.25">
      <c r="A553" s="1782"/>
    </row>
    <row r="554" spans="1:1" x14ac:dyDescent="0.25">
      <c r="A554" s="1782"/>
    </row>
    <row r="555" spans="1:1" x14ac:dyDescent="0.25">
      <c r="A555" s="1782"/>
    </row>
    <row r="556" spans="1:1" x14ac:dyDescent="0.25">
      <c r="A556" s="1782"/>
    </row>
    <row r="557" spans="1:1" x14ac:dyDescent="0.25">
      <c r="A557" s="1782"/>
    </row>
    <row r="558" spans="1:1" x14ac:dyDescent="0.25">
      <c r="A558" s="1782"/>
    </row>
    <row r="559" spans="1:1" x14ac:dyDescent="0.25">
      <c r="A559" s="1782"/>
    </row>
    <row r="560" spans="1:1" x14ac:dyDescent="0.25">
      <c r="A560" s="1782"/>
    </row>
    <row r="561" spans="1:1" x14ac:dyDescent="0.25">
      <c r="A561" s="1782"/>
    </row>
    <row r="563" spans="1:1" x14ac:dyDescent="0.25">
      <c r="A563" s="1782"/>
    </row>
    <row r="565" spans="1:1" x14ac:dyDescent="0.25">
      <c r="A565" s="1782"/>
    </row>
    <row r="567" spans="1:1" x14ac:dyDescent="0.25">
      <c r="A567" s="1782"/>
    </row>
    <row r="568" spans="1:1" x14ac:dyDescent="0.25">
      <c r="A568" s="1782"/>
    </row>
    <row r="570" spans="1:1" x14ac:dyDescent="0.25">
      <c r="A570" s="1782"/>
    </row>
    <row r="571" spans="1:1" x14ac:dyDescent="0.25">
      <c r="A571" s="1782"/>
    </row>
    <row r="572" spans="1:1" x14ac:dyDescent="0.25">
      <c r="A572" s="1782"/>
    </row>
    <row r="576" spans="1:1" x14ac:dyDescent="0.25">
      <c r="A576" s="1782"/>
    </row>
    <row r="577" spans="1:1" x14ac:dyDescent="0.25">
      <c r="A577" s="1782"/>
    </row>
    <row r="578" spans="1:1" x14ac:dyDescent="0.25">
      <c r="A578" s="1782"/>
    </row>
    <row r="579" spans="1:1" x14ac:dyDescent="0.25">
      <c r="A579" s="1782"/>
    </row>
    <row r="580" spans="1:1" x14ac:dyDescent="0.25">
      <c r="A580" s="1782"/>
    </row>
    <row r="581" spans="1:1" x14ac:dyDescent="0.25">
      <c r="A581" s="1782"/>
    </row>
    <row r="582" spans="1:1" x14ac:dyDescent="0.25">
      <c r="A582" s="1782"/>
    </row>
    <row r="583" spans="1:1" x14ac:dyDescent="0.25">
      <c r="A583" s="1782"/>
    </row>
    <row r="584" spans="1:1" x14ac:dyDescent="0.25">
      <c r="A584" s="1782"/>
    </row>
    <row r="585" spans="1:1" x14ac:dyDescent="0.25">
      <c r="A585" s="1782"/>
    </row>
    <row r="586" spans="1:1" x14ac:dyDescent="0.25">
      <c r="A586" s="1782"/>
    </row>
    <row r="587" spans="1:1" x14ac:dyDescent="0.25">
      <c r="A587" s="1782"/>
    </row>
    <row r="589" spans="1:1" x14ac:dyDescent="0.25">
      <c r="A589" s="1782"/>
    </row>
    <row r="591" spans="1:1" x14ac:dyDescent="0.25">
      <c r="A591" s="1782"/>
    </row>
    <row r="593" spans="1:1" x14ac:dyDescent="0.25">
      <c r="A593" s="1782"/>
    </row>
    <row r="594" spans="1:1" x14ac:dyDescent="0.25">
      <c r="A594" s="1782"/>
    </row>
    <row r="596" spans="1:1" x14ac:dyDescent="0.25">
      <c r="A596" s="1782"/>
    </row>
    <row r="597" spans="1:1" x14ac:dyDescent="0.25">
      <c r="A597" s="1782"/>
    </row>
    <row r="598" spans="1:1" x14ac:dyDescent="0.25">
      <c r="A598" s="1782"/>
    </row>
    <row r="602" spans="1:1" x14ac:dyDescent="0.25">
      <c r="A602" s="1782"/>
    </row>
    <row r="603" spans="1:1" x14ac:dyDescent="0.25">
      <c r="A603" s="1782"/>
    </row>
    <row r="604" spans="1:1" x14ac:dyDescent="0.25">
      <c r="A604" s="1782"/>
    </row>
    <row r="605" spans="1:1" x14ac:dyDescent="0.25">
      <c r="A605" s="1782"/>
    </row>
    <row r="606" spans="1:1" x14ac:dyDescent="0.25">
      <c r="A606" s="1782"/>
    </row>
    <row r="607" spans="1:1" x14ac:dyDescent="0.25">
      <c r="A607" s="1782"/>
    </row>
    <row r="608" spans="1:1" x14ac:dyDescent="0.25">
      <c r="A608" s="1782"/>
    </row>
    <row r="609" spans="1:1" x14ac:dyDescent="0.25">
      <c r="A609" s="1782"/>
    </row>
    <row r="610" spans="1:1" x14ac:dyDescent="0.25">
      <c r="A610" s="1782"/>
    </row>
    <row r="611" spans="1:1" x14ac:dyDescent="0.25">
      <c r="A611" s="1782"/>
    </row>
    <row r="612" spans="1:1" x14ac:dyDescent="0.25">
      <c r="A612" s="1782"/>
    </row>
    <row r="613" spans="1:1" x14ac:dyDescent="0.25">
      <c r="A613" s="1782"/>
    </row>
    <row r="615" spans="1:1" x14ac:dyDescent="0.25">
      <c r="A615" s="1782"/>
    </row>
    <row r="617" spans="1:1" x14ac:dyDescent="0.25">
      <c r="A617" s="1782"/>
    </row>
    <row r="619" spans="1:1" x14ac:dyDescent="0.25">
      <c r="A619" s="1782"/>
    </row>
    <row r="620" spans="1:1" x14ac:dyDescent="0.25">
      <c r="A620" s="1782"/>
    </row>
    <row r="622" spans="1:1" x14ac:dyDescent="0.25">
      <c r="A622" s="1782"/>
    </row>
    <row r="623" spans="1:1" x14ac:dyDescent="0.25">
      <c r="A623" s="1782"/>
    </row>
    <row r="624" spans="1:1" x14ac:dyDescent="0.25">
      <c r="A624" s="1782"/>
    </row>
    <row r="628" spans="1:1" x14ac:dyDescent="0.25">
      <c r="A628" s="1782"/>
    </row>
    <row r="629" spans="1:1" x14ac:dyDescent="0.25">
      <c r="A629" s="1782"/>
    </row>
    <row r="630" spans="1:1" x14ac:dyDescent="0.25">
      <c r="A630" s="1782"/>
    </row>
    <row r="631" spans="1:1" x14ac:dyDescent="0.25">
      <c r="A631" s="1782"/>
    </row>
    <row r="632" spans="1:1" x14ac:dyDescent="0.25">
      <c r="A632" s="1782"/>
    </row>
    <row r="633" spans="1:1" x14ac:dyDescent="0.25">
      <c r="A633" s="1782"/>
    </row>
    <row r="634" spans="1:1" x14ac:dyDescent="0.25">
      <c r="A634" s="1782"/>
    </row>
    <row r="635" spans="1:1" x14ac:dyDescent="0.25">
      <c r="A635" s="1782"/>
    </row>
    <row r="636" spans="1:1" x14ac:dyDescent="0.25">
      <c r="A636" s="1782"/>
    </row>
    <row r="637" spans="1:1" x14ac:dyDescent="0.25">
      <c r="A637" s="1782"/>
    </row>
    <row r="638" spans="1:1" x14ac:dyDescent="0.25">
      <c r="A638" s="1782"/>
    </row>
    <row r="639" spans="1:1" x14ac:dyDescent="0.25">
      <c r="A639" s="1782"/>
    </row>
    <row r="641" spans="1:1" x14ac:dyDescent="0.25">
      <c r="A641" s="1782"/>
    </row>
    <row r="643" spans="1:1" x14ac:dyDescent="0.25">
      <c r="A643" s="1782"/>
    </row>
    <row r="645" spans="1:1" x14ac:dyDescent="0.25">
      <c r="A645" s="1782"/>
    </row>
    <row r="646" spans="1:1" x14ac:dyDescent="0.25">
      <c r="A646" s="1782"/>
    </row>
    <row r="648" spans="1:1" x14ac:dyDescent="0.25">
      <c r="A648" s="1782"/>
    </row>
    <row r="649" spans="1:1" x14ac:dyDescent="0.25">
      <c r="A649" s="1782"/>
    </row>
    <row r="650" spans="1:1" x14ac:dyDescent="0.25">
      <c r="A650" s="1782"/>
    </row>
    <row r="654" spans="1:1" x14ac:dyDescent="0.25">
      <c r="A654" s="1782"/>
    </row>
    <row r="655" spans="1:1" x14ac:dyDescent="0.25">
      <c r="A655" s="1782"/>
    </row>
    <row r="656" spans="1:1" x14ac:dyDescent="0.25">
      <c r="A656" s="1782"/>
    </row>
    <row r="657" spans="1:1" x14ac:dyDescent="0.25">
      <c r="A657" s="1782"/>
    </row>
    <row r="658" spans="1:1" x14ac:dyDescent="0.25">
      <c r="A658" s="1782"/>
    </row>
    <row r="659" spans="1:1" x14ac:dyDescent="0.25">
      <c r="A659" s="1782"/>
    </row>
    <row r="660" spans="1:1" x14ac:dyDescent="0.25">
      <c r="A660" s="1782"/>
    </row>
    <row r="661" spans="1:1" x14ac:dyDescent="0.25">
      <c r="A661" s="1782"/>
    </row>
    <row r="662" spans="1:1" x14ac:dyDescent="0.25">
      <c r="A662" s="1782"/>
    </row>
    <row r="663" spans="1:1" x14ac:dyDescent="0.25">
      <c r="A663" s="1782"/>
    </row>
    <row r="664" spans="1:1" x14ac:dyDescent="0.25">
      <c r="A664" s="1782"/>
    </row>
    <row r="665" spans="1:1" x14ac:dyDescent="0.25">
      <c r="A665" s="1782"/>
    </row>
    <row r="667" spans="1:1" x14ac:dyDescent="0.25">
      <c r="A667" s="1782"/>
    </row>
    <row r="669" spans="1:1" x14ac:dyDescent="0.25">
      <c r="A669" s="1782"/>
    </row>
    <row r="671" spans="1:1" x14ac:dyDescent="0.25">
      <c r="A671" s="1782"/>
    </row>
    <row r="672" spans="1:1" x14ac:dyDescent="0.25">
      <c r="A672" s="1782"/>
    </row>
    <row r="674" spans="1:1" x14ac:dyDescent="0.25">
      <c r="A674" s="1782"/>
    </row>
    <row r="675" spans="1:1" x14ac:dyDescent="0.25">
      <c r="A675" s="1782"/>
    </row>
    <row r="676" spans="1:1" x14ac:dyDescent="0.25">
      <c r="A676" s="1782"/>
    </row>
    <row r="680" spans="1:1" x14ac:dyDescent="0.25">
      <c r="A680" s="1782"/>
    </row>
    <row r="681" spans="1:1" x14ac:dyDescent="0.25">
      <c r="A681" s="1782"/>
    </row>
    <row r="682" spans="1:1" x14ac:dyDescent="0.25">
      <c r="A682" s="1782"/>
    </row>
    <row r="683" spans="1:1" x14ac:dyDescent="0.25">
      <c r="A683" s="1782"/>
    </row>
    <row r="684" spans="1:1" x14ac:dyDescent="0.25">
      <c r="A684" s="1782"/>
    </row>
    <row r="685" spans="1:1" x14ac:dyDescent="0.25">
      <c r="A685" s="1782"/>
    </row>
    <row r="686" spans="1:1" x14ac:dyDescent="0.25">
      <c r="A686" s="1782"/>
    </row>
    <row r="687" spans="1:1" x14ac:dyDescent="0.25">
      <c r="A687" s="1782"/>
    </row>
    <row r="688" spans="1:1" x14ac:dyDescent="0.25">
      <c r="A688" s="1782"/>
    </row>
    <row r="689" spans="1:1" x14ac:dyDescent="0.25">
      <c r="A689" s="1782"/>
    </row>
    <row r="690" spans="1:1" x14ac:dyDescent="0.25">
      <c r="A690" s="1782"/>
    </row>
    <row r="691" spans="1:1" x14ac:dyDescent="0.25">
      <c r="A691" s="1782"/>
    </row>
    <row r="693" spans="1:1" x14ac:dyDescent="0.25">
      <c r="A693" s="1782"/>
    </row>
    <row r="695" spans="1:1" x14ac:dyDescent="0.25">
      <c r="A695" s="1782"/>
    </row>
    <row r="697" spans="1:1" x14ac:dyDescent="0.25">
      <c r="A697" s="1782"/>
    </row>
    <row r="698" spans="1:1" x14ac:dyDescent="0.25">
      <c r="A698" s="1782"/>
    </row>
    <row r="700" spans="1:1" x14ac:dyDescent="0.25">
      <c r="A700" s="1782"/>
    </row>
    <row r="701" spans="1:1" x14ac:dyDescent="0.25">
      <c r="A701" s="1782"/>
    </row>
    <row r="702" spans="1:1" x14ac:dyDescent="0.25">
      <c r="A702" s="1782"/>
    </row>
    <row r="706" spans="1:1" x14ac:dyDescent="0.25">
      <c r="A706" s="1782"/>
    </row>
    <row r="707" spans="1:1" x14ac:dyDescent="0.25">
      <c r="A707" s="1782"/>
    </row>
    <row r="708" spans="1:1" x14ac:dyDescent="0.25">
      <c r="A708" s="1782"/>
    </row>
    <row r="709" spans="1:1" x14ac:dyDescent="0.25">
      <c r="A709" s="1782"/>
    </row>
    <row r="710" spans="1:1" x14ac:dyDescent="0.25">
      <c r="A710" s="1782"/>
    </row>
    <row r="711" spans="1:1" x14ac:dyDescent="0.25">
      <c r="A711" s="1782"/>
    </row>
    <row r="712" spans="1:1" x14ac:dyDescent="0.25">
      <c r="A712" s="1782"/>
    </row>
    <row r="713" spans="1:1" x14ac:dyDescent="0.25">
      <c r="A713" s="1782"/>
    </row>
    <row r="714" spans="1:1" x14ac:dyDescent="0.25">
      <c r="A714" s="1782"/>
    </row>
    <row r="715" spans="1:1" x14ac:dyDescent="0.25">
      <c r="A715" s="1782"/>
    </row>
    <row r="716" spans="1:1" x14ac:dyDescent="0.25">
      <c r="A716" s="1782"/>
    </row>
    <row r="717" spans="1:1" x14ac:dyDescent="0.25">
      <c r="A717" s="1782"/>
    </row>
    <row r="719" spans="1:1" x14ac:dyDescent="0.25">
      <c r="A719" s="1782"/>
    </row>
    <row r="721" spans="1:1" x14ac:dyDescent="0.25">
      <c r="A721" s="1782"/>
    </row>
    <row r="723" spans="1:1" x14ac:dyDescent="0.25">
      <c r="A723" s="1782"/>
    </row>
    <row r="724" spans="1:1" x14ac:dyDescent="0.25">
      <c r="A724" s="1782"/>
    </row>
    <row r="726" spans="1:1" x14ac:dyDescent="0.25">
      <c r="A726" s="1782"/>
    </row>
    <row r="727" spans="1:1" x14ac:dyDescent="0.25">
      <c r="A727" s="1782"/>
    </row>
    <row r="728" spans="1:1" x14ac:dyDescent="0.25">
      <c r="A728" s="1782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13" t="s">
        <v>273</v>
      </c>
      <c r="C4" s="2314"/>
      <c r="D4" s="2314"/>
      <c r="E4" s="2313" t="s">
        <v>386</v>
      </c>
      <c r="F4" s="2314"/>
      <c r="G4" s="2314"/>
      <c r="H4" s="2314"/>
      <c r="I4" s="2315"/>
      <c r="J4" s="2316" t="s">
        <v>387</v>
      </c>
      <c r="K4" s="2314"/>
      <c r="L4" s="2314"/>
      <c r="M4" s="2314"/>
      <c r="N4" s="2314"/>
      <c r="O4" s="2317" t="s">
        <v>390</v>
      </c>
      <c r="P4" s="2318"/>
      <c r="Q4" s="2318"/>
      <c r="R4" s="2319"/>
      <c r="S4" s="2318" t="s">
        <v>260</v>
      </c>
      <c r="T4" s="2318"/>
      <c r="U4" s="2318"/>
      <c r="V4" s="2318"/>
      <c r="W4" s="2318"/>
      <c r="X4" s="2317" t="s">
        <v>400</v>
      </c>
      <c r="Y4" s="2314"/>
      <c r="Z4" s="2314"/>
      <c r="AA4" s="2314"/>
      <c r="AB4" s="2314"/>
      <c r="AC4" s="2314"/>
      <c r="AD4" s="2314"/>
      <c r="AE4" s="2314"/>
      <c r="AF4" s="2314"/>
      <c r="AG4" s="2315"/>
      <c r="AH4" s="2318" t="s">
        <v>399</v>
      </c>
      <c r="AI4" s="2314"/>
      <c r="AJ4" s="2314"/>
      <c r="AK4" s="2314"/>
      <c r="AL4" s="2314"/>
      <c r="AM4" s="2314"/>
      <c r="AN4" s="2315"/>
    </row>
    <row r="5" spans="2:46" ht="15" customHeight="1" x14ac:dyDescent="0.25">
      <c r="B5" s="2306" t="s">
        <v>628</v>
      </c>
      <c r="C5" s="2264" t="s">
        <v>627</v>
      </c>
      <c r="D5" s="2278" t="s">
        <v>626</v>
      </c>
      <c r="E5" s="2306" t="s">
        <v>643</v>
      </c>
      <c r="F5" s="2264" t="s">
        <v>406</v>
      </c>
      <c r="G5" s="2264" t="s">
        <v>304</v>
      </c>
      <c r="H5" s="2307" t="s">
        <v>388</v>
      </c>
      <c r="I5" s="2308" t="s">
        <v>403</v>
      </c>
      <c r="J5" s="2276" t="s">
        <v>404</v>
      </c>
      <c r="K5" s="2264" t="s">
        <v>405</v>
      </c>
      <c r="L5" s="2307" t="s">
        <v>406</v>
      </c>
      <c r="M5" s="2307" t="s">
        <v>304</v>
      </c>
      <c r="N5" s="2278" t="s">
        <v>632</v>
      </c>
      <c r="O5" s="2306" t="s">
        <v>389</v>
      </c>
      <c r="P5" s="2307" t="s">
        <v>408</v>
      </c>
      <c r="Q5" s="2307" t="s">
        <v>625</v>
      </c>
      <c r="R5" s="2280" t="s">
        <v>407</v>
      </c>
      <c r="S5" s="2276" t="s">
        <v>629</v>
      </c>
      <c r="T5" s="2307" t="s">
        <v>406</v>
      </c>
      <c r="U5" s="2264" t="s">
        <v>630</v>
      </c>
      <c r="V5" s="2307" t="s">
        <v>304</v>
      </c>
      <c r="W5" s="2320" t="s">
        <v>631</v>
      </c>
      <c r="X5" s="2306" t="s">
        <v>645</v>
      </c>
      <c r="Y5" s="2264" t="s">
        <v>392</v>
      </c>
      <c r="Z5" s="2264" t="s">
        <v>393</v>
      </c>
      <c r="AA5" s="2264" t="s">
        <v>391</v>
      </c>
      <c r="AB5" s="2264" t="s">
        <v>409</v>
      </c>
      <c r="AC5" s="2307" t="s">
        <v>410</v>
      </c>
      <c r="AD5" s="2310" t="s">
        <v>398</v>
      </c>
      <c r="AE5" s="2311"/>
      <c r="AF5" s="2311"/>
      <c r="AG5" s="2312"/>
      <c r="AH5" s="2309" t="s">
        <v>295</v>
      </c>
      <c r="AI5" s="2307" t="s">
        <v>296</v>
      </c>
      <c r="AJ5" s="2307" t="s">
        <v>445</v>
      </c>
      <c r="AK5" s="2307" t="s">
        <v>446</v>
      </c>
      <c r="AL5" s="2307" t="s">
        <v>402</v>
      </c>
      <c r="AM5" s="2307" t="s">
        <v>642</v>
      </c>
      <c r="AN5" s="2308" t="s">
        <v>401</v>
      </c>
      <c r="AP5">
        <v>0.45</v>
      </c>
    </row>
    <row r="6" spans="2:46" ht="51" customHeight="1" x14ac:dyDescent="0.25">
      <c r="B6" s="2306"/>
      <c r="C6" s="2264"/>
      <c r="D6" s="2278"/>
      <c r="E6" s="2306"/>
      <c r="F6" s="2264"/>
      <c r="G6" s="2264"/>
      <c r="H6" s="2307"/>
      <c r="I6" s="2308"/>
      <c r="J6" s="2276"/>
      <c r="K6" s="2264"/>
      <c r="L6" s="2307"/>
      <c r="M6" s="2307"/>
      <c r="N6" s="2278"/>
      <c r="O6" s="2306"/>
      <c r="P6" s="2307"/>
      <c r="Q6" s="2307"/>
      <c r="R6" s="2280"/>
      <c r="S6" s="2276"/>
      <c r="T6" s="2307"/>
      <c r="U6" s="2264"/>
      <c r="V6" s="2307"/>
      <c r="W6" s="2320"/>
      <c r="X6" s="2306"/>
      <c r="Y6" s="2264"/>
      <c r="Z6" s="2264"/>
      <c r="AA6" s="2264"/>
      <c r="AB6" s="2264"/>
      <c r="AC6" s="2307"/>
      <c r="AD6" s="224" t="s">
        <v>397</v>
      </c>
      <c r="AE6" s="227" t="s">
        <v>394</v>
      </c>
      <c r="AF6" s="228" t="s">
        <v>395</v>
      </c>
      <c r="AG6" s="1344" t="s">
        <v>396</v>
      </c>
      <c r="AH6" s="2309"/>
      <c r="AI6" s="2307"/>
      <c r="AJ6" s="2307"/>
      <c r="AK6" s="2307"/>
      <c r="AL6" s="2307"/>
      <c r="AM6" s="2307"/>
      <c r="AN6" s="2308"/>
      <c r="AP6" t="s">
        <v>447</v>
      </c>
      <c r="AQ6" t="s">
        <v>644</v>
      </c>
      <c r="AR6" t="s">
        <v>640</v>
      </c>
      <c r="AS6" t="s">
        <v>641</v>
      </c>
      <c r="AT6" t="s">
        <v>639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49">
        <v>43024</v>
      </c>
      <c r="H2" s="2249"/>
    </row>
    <row r="3" spans="2:72" ht="15.75" thickBot="1" x14ac:dyDescent="0.3">
      <c r="BE3" s="2250" t="s">
        <v>675</v>
      </c>
      <c r="BF3" s="2250"/>
      <c r="BG3" s="2250"/>
      <c r="BH3" s="2250"/>
      <c r="BI3" s="2250"/>
      <c r="BJ3" s="2250"/>
    </row>
    <row r="4" spans="2:72" ht="15" customHeight="1" x14ac:dyDescent="0.25">
      <c r="B4" s="2251" t="s">
        <v>273</v>
      </c>
      <c r="C4" s="2252"/>
      <c r="D4" s="2252"/>
      <c r="E4" s="2252"/>
      <c r="F4" s="2253"/>
      <c r="G4" s="2254" t="s">
        <v>386</v>
      </c>
      <c r="H4" s="2255"/>
      <c r="I4" s="2255"/>
      <c r="J4" s="2255"/>
      <c r="K4" s="2256"/>
      <c r="L4" s="2257" t="s">
        <v>387</v>
      </c>
      <c r="M4" s="2258"/>
      <c r="N4" s="2258"/>
      <c r="O4" s="2258"/>
      <c r="P4" s="2258"/>
      <c r="Q4" s="2259" t="s">
        <v>390</v>
      </c>
      <c r="R4" s="2260"/>
      <c r="S4" s="2260"/>
      <c r="T4" s="2261"/>
      <c r="U4" s="2262" t="s">
        <v>260</v>
      </c>
      <c r="V4" s="2262"/>
      <c r="W4" s="2262"/>
      <c r="X4" s="2262"/>
      <c r="Y4" s="2262"/>
      <c r="Z4" s="2259" t="s">
        <v>400</v>
      </c>
      <c r="AA4" s="2255"/>
      <c r="AB4" s="2255"/>
      <c r="AC4" s="2255"/>
      <c r="AD4" s="2255"/>
      <c r="AE4" s="2255"/>
      <c r="AF4" s="2255"/>
      <c r="AG4" s="2255"/>
      <c r="AH4" s="2255"/>
      <c r="AI4" s="2256"/>
      <c r="AJ4" s="2262" t="s">
        <v>399</v>
      </c>
      <c r="AK4" s="2258"/>
      <c r="AL4" s="2258"/>
      <c r="AM4" s="2258"/>
      <c r="AN4" s="2258"/>
      <c r="AO4" s="2258"/>
      <c r="AP4" s="2258"/>
      <c r="AQ4" s="2263"/>
      <c r="BH4">
        <v>0.3125</v>
      </c>
      <c r="BJ4" t="s">
        <v>669</v>
      </c>
    </row>
    <row r="5" spans="2:72" ht="17.25" customHeight="1" x14ac:dyDescent="0.25">
      <c r="B5" s="2322" t="s">
        <v>656</v>
      </c>
      <c r="C5" s="2321"/>
      <c r="D5" s="2322" t="s">
        <v>657</v>
      </c>
      <c r="E5" s="2323"/>
      <c r="F5" s="2321" t="s">
        <v>626</v>
      </c>
      <c r="G5" s="2270" t="s">
        <v>643</v>
      </c>
      <c r="H5" s="2272" t="s">
        <v>406</v>
      </c>
      <c r="I5" s="2272" t="s">
        <v>304</v>
      </c>
      <c r="J5" s="2272" t="s">
        <v>388</v>
      </c>
      <c r="K5" s="2274" t="s">
        <v>403</v>
      </c>
      <c r="L5" s="2276" t="s">
        <v>404</v>
      </c>
      <c r="M5" s="2264" t="s">
        <v>405</v>
      </c>
      <c r="N5" s="2264" t="s">
        <v>406</v>
      </c>
      <c r="O5" s="2264" t="s">
        <v>304</v>
      </c>
      <c r="P5" s="2278" t="s">
        <v>632</v>
      </c>
      <c r="Q5" s="2270" t="s">
        <v>389</v>
      </c>
      <c r="R5" s="2272" t="s">
        <v>408</v>
      </c>
      <c r="S5" s="2272" t="s">
        <v>684</v>
      </c>
      <c r="T5" s="2274" t="s">
        <v>685</v>
      </c>
      <c r="U5" s="2276" t="s">
        <v>629</v>
      </c>
      <c r="V5" s="2264" t="s">
        <v>406</v>
      </c>
      <c r="W5" s="2264" t="s">
        <v>630</v>
      </c>
      <c r="X5" s="2264" t="s">
        <v>304</v>
      </c>
      <c r="Y5" s="2278" t="s">
        <v>631</v>
      </c>
      <c r="Z5" s="2270" t="s">
        <v>645</v>
      </c>
      <c r="AA5" s="2272" t="s">
        <v>392</v>
      </c>
      <c r="AB5" s="2272" t="s">
        <v>393</v>
      </c>
      <c r="AC5" s="2272" t="s">
        <v>391</v>
      </c>
      <c r="AD5" s="2272" t="s">
        <v>409</v>
      </c>
      <c r="AE5" s="2272" t="s">
        <v>410</v>
      </c>
      <c r="AF5" s="2282" t="s">
        <v>398</v>
      </c>
      <c r="AG5" s="2283"/>
      <c r="AH5" s="2283"/>
      <c r="AI5" s="2284"/>
      <c r="AJ5" s="2276" t="s">
        <v>658</v>
      </c>
      <c r="AK5" s="2264" t="s">
        <v>659</v>
      </c>
      <c r="AL5" s="2264" t="s">
        <v>661</v>
      </c>
      <c r="AM5" s="2278" t="s">
        <v>660</v>
      </c>
      <c r="AN5" s="2276"/>
      <c r="AO5" s="2264" t="s">
        <v>402</v>
      </c>
      <c r="AP5" s="2264" t="s">
        <v>683</v>
      </c>
      <c r="AQ5" s="2280" t="s">
        <v>682</v>
      </c>
      <c r="AS5">
        <v>0.45</v>
      </c>
      <c r="BH5" t="s">
        <v>666</v>
      </c>
      <c r="BI5" t="s">
        <v>667</v>
      </c>
      <c r="BJ5" t="s">
        <v>668</v>
      </c>
      <c r="BO5" t="s">
        <v>666</v>
      </c>
      <c r="BP5" t="s">
        <v>667</v>
      </c>
      <c r="BQ5" t="s">
        <v>668</v>
      </c>
      <c r="BR5" t="s">
        <v>666</v>
      </c>
      <c r="BS5" t="s">
        <v>667</v>
      </c>
      <c r="BT5" t="s">
        <v>668</v>
      </c>
    </row>
    <row r="6" spans="2:72" ht="52.5" customHeight="1" x14ac:dyDescent="0.25">
      <c r="B6" s="1775" t="s">
        <v>671</v>
      </c>
      <c r="C6" s="1838" t="s">
        <v>670</v>
      </c>
      <c r="D6" s="1775" t="s">
        <v>671</v>
      </c>
      <c r="E6" s="1776" t="s">
        <v>670</v>
      </c>
      <c r="F6" s="2267"/>
      <c r="G6" s="2270"/>
      <c r="H6" s="2272"/>
      <c r="I6" s="2272"/>
      <c r="J6" s="2272"/>
      <c r="K6" s="2274"/>
      <c r="L6" s="2276"/>
      <c r="M6" s="2264"/>
      <c r="N6" s="2264"/>
      <c r="O6" s="2264"/>
      <c r="P6" s="2278"/>
      <c r="Q6" s="2270"/>
      <c r="R6" s="2272"/>
      <c r="S6" s="2272"/>
      <c r="T6" s="2274"/>
      <c r="U6" s="2276"/>
      <c r="V6" s="2264"/>
      <c r="W6" s="2264"/>
      <c r="X6" s="2264"/>
      <c r="Y6" s="2278"/>
      <c r="Z6" s="2270"/>
      <c r="AA6" s="2272"/>
      <c r="AB6" s="2272"/>
      <c r="AC6" s="2272"/>
      <c r="AD6" s="2272"/>
      <c r="AE6" s="2272"/>
      <c r="AF6" s="1834" t="s">
        <v>397</v>
      </c>
      <c r="AG6" s="1835" t="s">
        <v>394</v>
      </c>
      <c r="AH6" s="1836" t="s">
        <v>395</v>
      </c>
      <c r="AI6" s="1837" t="s">
        <v>396</v>
      </c>
      <c r="AJ6" s="2276"/>
      <c r="AK6" s="2264"/>
      <c r="AL6" s="2264"/>
      <c r="AM6" s="1774" t="s">
        <v>662</v>
      </c>
      <c r="AN6" s="1774" t="s">
        <v>663</v>
      </c>
      <c r="AO6" s="2264"/>
      <c r="AP6" s="2264"/>
      <c r="AQ6" s="2280"/>
      <c r="AS6" t="s">
        <v>447</v>
      </c>
      <c r="AT6" t="s">
        <v>679</v>
      </c>
      <c r="AU6" t="s">
        <v>680</v>
      </c>
      <c r="AV6" s="1782" t="s">
        <v>681</v>
      </c>
      <c r="AW6" s="1782" t="s">
        <v>686</v>
      </c>
      <c r="AX6" s="1782" t="s">
        <v>687</v>
      </c>
      <c r="AY6" s="1782" t="s">
        <v>688</v>
      </c>
      <c r="AZ6" t="s">
        <v>640</v>
      </c>
      <c r="BA6" t="s">
        <v>641</v>
      </c>
      <c r="BB6" t="s">
        <v>639</v>
      </c>
      <c r="BD6" t="s">
        <v>674</v>
      </c>
      <c r="BE6" s="1783" t="s">
        <v>673</v>
      </c>
      <c r="BF6" s="1783" t="s">
        <v>672</v>
      </c>
      <c r="BG6" s="1783" t="s">
        <v>664</v>
      </c>
      <c r="BH6" s="1783" t="s">
        <v>665</v>
      </c>
      <c r="BI6" s="1783" t="s">
        <v>665</v>
      </c>
      <c r="BJ6" s="1783" t="s">
        <v>665</v>
      </c>
      <c r="BK6" s="1777"/>
      <c r="BL6" s="1783" t="s">
        <v>676</v>
      </c>
      <c r="BM6" s="1783" t="s">
        <v>677</v>
      </c>
      <c r="BN6" s="1783" t="s">
        <v>664</v>
      </c>
      <c r="BO6" s="1783" t="s">
        <v>678</v>
      </c>
      <c r="BP6" s="1783" t="s">
        <v>678</v>
      </c>
      <c r="BQ6" s="1783" t="s">
        <v>678</v>
      </c>
      <c r="BR6" s="1783" t="s">
        <v>678</v>
      </c>
      <c r="BS6" s="1783" t="s">
        <v>678</v>
      </c>
      <c r="BT6" s="1783" t="s">
        <v>678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689</v>
      </c>
    </row>
    <row r="37" spans="1:62" ht="32.25" customHeight="1" thickBot="1" x14ac:dyDescent="0.3">
      <c r="C37" s="2285" t="s">
        <v>690</v>
      </c>
      <c r="D37" s="2285"/>
      <c r="E37" s="2285" t="s">
        <v>691</v>
      </c>
      <c r="F37" s="2285"/>
      <c r="G37" s="2285" t="s">
        <v>692</v>
      </c>
      <c r="H37" s="2285"/>
    </row>
    <row r="38" spans="1:62" ht="15.75" thickTop="1" x14ac:dyDescent="0.25">
      <c r="C38" s="2286" t="s">
        <v>699</v>
      </c>
      <c r="D38" s="2286"/>
      <c r="E38" s="2287" t="s">
        <v>695</v>
      </c>
      <c r="F38" s="2286"/>
      <c r="G38" s="2286" t="s">
        <v>697</v>
      </c>
      <c r="H38" s="2286"/>
    </row>
    <row r="39" spans="1:62" x14ac:dyDescent="0.25">
      <c r="C39" s="2288" t="s">
        <v>700</v>
      </c>
      <c r="D39" s="2288"/>
      <c r="E39" s="2289" t="s">
        <v>696</v>
      </c>
      <c r="F39" s="2288"/>
      <c r="G39" s="2288" t="s">
        <v>697</v>
      </c>
      <c r="H39" s="2288"/>
    </row>
    <row r="40" spans="1:62" x14ac:dyDescent="0.25">
      <c r="C40" s="2288" t="s">
        <v>701</v>
      </c>
      <c r="D40" s="2288"/>
      <c r="E40" s="2289" t="s">
        <v>703</v>
      </c>
      <c r="F40" s="2288"/>
      <c r="G40" s="2288" t="s">
        <v>697</v>
      </c>
      <c r="H40" s="2288"/>
    </row>
    <row r="41" spans="1:62" x14ac:dyDescent="0.25">
      <c r="C41" s="2288" t="s">
        <v>701</v>
      </c>
      <c r="D41" s="2288"/>
      <c r="E41" s="2289" t="s">
        <v>704</v>
      </c>
      <c r="F41" s="2288"/>
      <c r="G41" s="2288" t="s">
        <v>694</v>
      </c>
      <c r="H41" s="2288"/>
    </row>
    <row r="42" spans="1:62" x14ac:dyDescent="0.25">
      <c r="C42" s="2288" t="s">
        <v>702</v>
      </c>
      <c r="D42" s="2288"/>
      <c r="E42" s="2289" t="s">
        <v>698</v>
      </c>
      <c r="F42" s="2288"/>
      <c r="G42" s="2288" t="s">
        <v>693</v>
      </c>
      <c r="H42" s="2288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3" sqref="M3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24" t="s">
        <v>56</v>
      </c>
      <c r="S2" s="2324"/>
      <c r="T2" s="2324"/>
      <c r="U2" s="2324" t="s">
        <v>57</v>
      </c>
      <c r="V2" s="2324"/>
      <c r="W2" s="2324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50" t="s">
        <v>258</v>
      </c>
      <c r="T12" s="2250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646</v>
      </c>
      <c r="K13" s="18" t="s">
        <v>647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Sheet1</vt:lpstr>
      <vt:lpstr>New Std</vt:lpstr>
      <vt:lpstr>FWT Std</vt:lpstr>
      <vt:lpstr>ElementMap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ElementMap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2019-09-23T15:05:53Z</dcterms:modified>
</cp:coreProperties>
</file>