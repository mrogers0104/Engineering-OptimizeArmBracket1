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Documentation\Backend\SabreFWTstdBrackets\"/>
    </mc:Choice>
  </mc:AlternateContent>
  <bookViews>
    <workbookView xWindow="240" yWindow="105" windowWidth="14805" windowHeight="8010" firstSheet="1" activeTab="1"/>
  </bookViews>
  <sheets>
    <sheet name="ArmBracket101617" sheetId="13" state="hidden" r:id="rId1"/>
    <sheet name="ArmBracket110717" sheetId="14" r:id="rId2"/>
    <sheet name="FWTstdBracketsWithHex" sheetId="6" state="hidden" r:id="rId3"/>
    <sheet name="ElementMap" sheetId="12" r:id="rId4"/>
    <sheet name="FWT Std Arm Connections" sheetId="9" state="hidden" r:id="rId5"/>
  </sheets>
  <functionGroups builtInGroupCount="18"/>
  <externalReferences>
    <externalReference r:id="rId6"/>
    <externalReference r:id="rId7"/>
    <externalReference r:id="rId8"/>
    <externalReference r:id="rId9"/>
  </externalReferences>
  <definedNames>
    <definedName name="Arm_Brkt_Weld" localSheetId="0">[1]Sheet2!$Q$13:$U$19</definedName>
    <definedName name="Arm_Brkt_Weld" localSheetId="1">[4]Sheet2!$Q$13:$U$19</definedName>
    <definedName name="Arm_Brkt_Weld">[2]Sheet2!$Q$13:$U$19</definedName>
    <definedName name="Arm_Initial" localSheetId="0">[1]Sheet1!$AS$5:$AS$6</definedName>
    <definedName name="Arm_Initial" localSheetId="1">[4]Sheet1!$AS$5:$AS$6</definedName>
    <definedName name="Arm_Initial">[2]Sheet1!$AS$5:$AS$6</definedName>
    <definedName name="AVW">[3]Analyze!$U$85</definedName>
    <definedName name="Axial">[3]Analyze!$C$26</definedName>
    <definedName name="BendRds" localSheetId="0">[1]Sheet2!$K$3:$L$8</definedName>
    <definedName name="BendRds" localSheetId="1">[4]Sheet2!$K$3:$L$8</definedName>
    <definedName name="BendRds">[2]Sheet2!$K$3:$L$8</definedName>
    <definedName name="BoltDia" localSheetId="0">[1]Sheet2!$B$14:$B$27</definedName>
    <definedName name="BoltDia" localSheetId="1">[4]Sheet2!$B$14:$B$27</definedName>
    <definedName name="BoltDia">[2]Sheet2!$B$14:$B$27</definedName>
    <definedName name="BoltDim" localSheetId="0">[1]Sheet2!$B$14:$K$27</definedName>
    <definedName name="BoltDim" localSheetId="1">[4]Sheet2!$B$14:$K$27</definedName>
    <definedName name="BoltDim">[2]Sheet2!$B$14:$K$27</definedName>
    <definedName name="BoltProperties" localSheetId="0">[1]Sheet2!$Q$3:$W$8</definedName>
    <definedName name="BoltProperties" localSheetId="1">[4]Sheet2!$Q$3:$W$8</definedName>
    <definedName name="BoltProperties">[2]Sheet2!$Q$3:$W$8</definedName>
    <definedName name="BoltSpec" localSheetId="0">[1]Sheet2!$Q$3:$Q$8</definedName>
    <definedName name="BoltSpec" localSheetId="1">[4]Sheet2!$Q$3:$Q$8</definedName>
    <definedName name="BoltSpec">[2]Sheet2!$Q$3:$Q$8</definedName>
    <definedName name="Cope" localSheetId="0">[1]Sheet2!$I$3:$I$4</definedName>
    <definedName name="Cope" localSheetId="1">[4]Sheet2!$I$3:$I$4</definedName>
    <definedName name="Cope">[2]Sheet2!$I$3:$I$4</definedName>
    <definedName name="cos_22.5">[3]Arm!$H$71</definedName>
    <definedName name="cos_30">[3]Arm!$H$55</definedName>
    <definedName name="CurveRD" localSheetId="0">[1]Sheet2!$J$3:$J$5</definedName>
    <definedName name="CurveRD" localSheetId="1">[4]Sheet2!$J$3:$J$5</definedName>
    <definedName name="CurveRD">[2]Sheet2!$J$3:$J$5</definedName>
    <definedName name="d_">[3]Analyze!$U$89</definedName>
    <definedName name="Design" localSheetId="0">#REF!</definedName>
    <definedName name="Design" localSheetId="1">#REF!</definedName>
    <definedName name="Design">#REF!</definedName>
    <definedName name="Electrode" localSheetId="0">#REF!</definedName>
    <definedName name="Electrode" localSheetId="1">#REF!</definedName>
    <definedName name="Electrode">#REF!</definedName>
    <definedName name="ElementMap">ElementMap!$A$1:$E$29</definedName>
    <definedName name="FaceDist">[3]Analyze!$R$90</definedName>
    <definedName name="First_Bolt" localSheetId="0">#REF!</definedName>
    <definedName name="First_Bolt" localSheetId="1">#REF!</definedName>
    <definedName name="First_Bolt">#REF!</definedName>
    <definedName name="Flat">[3]Analyze!$U$83</definedName>
    <definedName name="Grade" localSheetId="0">[1]Sheet2!$N$3:$O$5</definedName>
    <definedName name="Grade" localSheetId="1">[4]Sheet2!$N$3:$O$5</definedName>
    <definedName name="Grade">[2]Sheet2!$N$3:$O$5</definedName>
    <definedName name="H_mom">[3]Analyze!$C$24</definedName>
    <definedName name="H_Shr">[3]Analyze!$C$28</definedName>
    <definedName name="Knuckles">[3]Analyze!$U$84</definedName>
    <definedName name="Orientation" localSheetId="0">[1]Sheet2!$E$3:$E$4</definedName>
    <definedName name="Orientation" localSheetId="1">[4]Sheet2!$E$3:$E$4</definedName>
    <definedName name="Orientation">[2]Sheet2!$E$3:$E$4</definedName>
    <definedName name="Penetration" localSheetId="0">#REF!</definedName>
    <definedName name="Penetration" localSheetId="1">#REF!</definedName>
    <definedName name="Penetration">#REF!</definedName>
    <definedName name="_xlnm.Print_Area" localSheetId="0">ArmBracket101617!$B$2:$AQ$34</definedName>
    <definedName name="_xlnm.Print_Area" localSheetId="1">ArmBracket110717!$A$2:$AQ$52</definedName>
    <definedName name="Shape" localSheetId="0">[1]Sheet2!$B$3:$B$7</definedName>
    <definedName name="Shape" localSheetId="1">[4]Sheet2!$B$3:$B$7</definedName>
    <definedName name="Shape">[2]Sheet2!$B$3:$B$7</definedName>
    <definedName name="ShearPlan" localSheetId="0">[1]Sheet2!$M$13:$M$14</definedName>
    <definedName name="ShearPlan" localSheetId="1">[4]Sheet2!$M$13:$M$14</definedName>
    <definedName name="ShearPlan">[2]Sheet2!$M$13:$M$14</definedName>
    <definedName name="sin_30">[3]Arm!$H$54</definedName>
    <definedName name="STS_WELD" localSheetId="0">#REF!</definedName>
    <definedName name="STS_WELD" localSheetId="1">#REF!</definedName>
    <definedName name="STS_WELD">#REF!</definedName>
    <definedName name="t">[3]Arm!$N$15</definedName>
    <definedName name="tan_22.5">[3]Arm!$H$72</definedName>
    <definedName name="tan_30">[3]Arm!$H$56</definedName>
    <definedName name="Thickness" localSheetId="0">[1]Sheet2!$G$3:$G$10</definedName>
    <definedName name="Thickness" localSheetId="1">[4]Sheet2!$G$3:$G$10</definedName>
    <definedName name="Thickness">[2]Sheet2!$G$3:$G$10</definedName>
    <definedName name="Torq">[3]Analyze!$C$25</definedName>
    <definedName name="V_mom">[3]Analyze!$C$23</definedName>
    <definedName name="V_shr">[3]Analyze!$C$27</definedName>
    <definedName name="WD">[3]Analyze!$U$82</definedName>
    <definedName name="X_">[3]Analyze!$U$91</definedName>
  </definedNames>
  <calcPr calcId="152511" calcMode="manual"/>
</workbook>
</file>

<file path=xl/calcChain.xml><?xml version="1.0" encoding="utf-8"?>
<calcChain xmlns="http://schemas.openxmlformats.org/spreadsheetml/2006/main">
  <c r="BI44" i="14" l="1"/>
  <c r="BG44" i="14"/>
  <c r="BJ44" i="14" s="1"/>
  <c r="BF44" i="14"/>
  <c r="BE44" i="14"/>
  <c r="BH44" i="14" s="1"/>
  <c r="AU44" i="14"/>
  <c r="AT44" i="14"/>
  <c r="AN44" i="14"/>
  <c r="AJ44" i="14"/>
  <c r="AS44" i="14" s="1"/>
  <c r="AE44" i="14"/>
  <c r="X44" i="14"/>
  <c r="V44" i="14"/>
  <c r="Y44" i="14" s="1"/>
  <c r="T44" i="14"/>
  <c r="R44" i="14"/>
  <c r="S44" i="14" s="1"/>
  <c r="O44" i="14"/>
  <c r="N44" i="14"/>
  <c r="AF44" i="14" s="1"/>
  <c r="K44" i="14"/>
  <c r="AZ44" i="14" s="1"/>
  <c r="J44" i="14"/>
  <c r="BG43" i="14"/>
  <c r="BF43" i="14"/>
  <c r="BE43" i="14"/>
  <c r="BA43" i="14"/>
  <c r="AU43" i="14"/>
  <c r="AT43" i="14"/>
  <c r="AN43" i="14"/>
  <c r="BI43" i="14" s="1"/>
  <c r="AE43" i="14"/>
  <c r="Y43" i="14"/>
  <c r="X43" i="14"/>
  <c r="V43" i="14"/>
  <c r="AX43" i="14" s="1"/>
  <c r="T43" i="14"/>
  <c r="R43" i="14"/>
  <c r="S43" i="14" s="1"/>
  <c r="O43" i="14"/>
  <c r="N43" i="14"/>
  <c r="AF43" i="14" s="1"/>
  <c r="K43" i="14"/>
  <c r="AZ43" i="14" s="1"/>
  <c r="J43" i="14"/>
  <c r="AK43" i="14" s="1"/>
  <c r="BI42" i="14"/>
  <c r="BG42" i="14"/>
  <c r="BJ42" i="14" s="1"/>
  <c r="BF42" i="14"/>
  <c r="BE42" i="14"/>
  <c r="BH42" i="14" s="1"/>
  <c r="AU42" i="14"/>
  <c r="AT42" i="14"/>
  <c r="AN42" i="14"/>
  <c r="AJ42" i="14"/>
  <c r="AS42" i="14" s="1"/>
  <c r="AE42" i="14"/>
  <c r="X42" i="14"/>
  <c r="V42" i="14"/>
  <c r="Y42" i="14" s="1"/>
  <c r="T42" i="14"/>
  <c r="R42" i="14"/>
  <c r="S42" i="14" s="1"/>
  <c r="O42" i="14"/>
  <c r="N42" i="14"/>
  <c r="AF42" i="14" s="1"/>
  <c r="K42" i="14"/>
  <c r="AZ42" i="14" s="1"/>
  <c r="J42" i="14"/>
  <c r="AY42" i="14" s="1"/>
  <c r="BG41" i="14"/>
  <c r="BJ41" i="14" s="1"/>
  <c r="BF41" i="14"/>
  <c r="BE41" i="14"/>
  <c r="BH41" i="14" s="1"/>
  <c r="AU41" i="14"/>
  <c r="AT41" i="14"/>
  <c r="AN41" i="14"/>
  <c r="BI41" i="14" s="1"/>
  <c r="AE41" i="14"/>
  <c r="Y41" i="14"/>
  <c r="X41" i="14"/>
  <c r="V41" i="14"/>
  <c r="T41" i="14"/>
  <c r="R41" i="14"/>
  <c r="S41" i="14" s="1"/>
  <c r="O41" i="14"/>
  <c r="N41" i="14"/>
  <c r="AF41" i="14" s="1"/>
  <c r="K41" i="14"/>
  <c r="J41" i="14"/>
  <c r="AJ41" i="14" s="1"/>
  <c r="AS41" i="14" s="1"/>
  <c r="BG40" i="14"/>
  <c r="BJ40" i="14" s="1"/>
  <c r="BF40" i="14"/>
  <c r="BE40" i="14"/>
  <c r="BH40" i="14" s="1"/>
  <c r="AU40" i="14"/>
  <c r="AT40" i="14"/>
  <c r="AN40" i="14"/>
  <c r="BI40" i="14" s="1"/>
  <c r="AE40" i="14"/>
  <c r="X40" i="14"/>
  <c r="V40" i="14"/>
  <c r="Y40" i="14" s="1"/>
  <c r="T40" i="14"/>
  <c r="R40" i="14"/>
  <c r="S40" i="14" s="1"/>
  <c r="O40" i="14"/>
  <c r="N40" i="14"/>
  <c r="AF40" i="14" s="1"/>
  <c r="K40" i="14"/>
  <c r="J40" i="14"/>
  <c r="BG39" i="14"/>
  <c r="BF39" i="14"/>
  <c r="BE39" i="14"/>
  <c r="AY39" i="14"/>
  <c r="AU39" i="14"/>
  <c r="AT39" i="14"/>
  <c r="AN39" i="14"/>
  <c r="BI39" i="14" s="1"/>
  <c r="AE39" i="14"/>
  <c r="Y39" i="14"/>
  <c r="X39" i="14"/>
  <c r="V39" i="14"/>
  <c r="T39" i="14"/>
  <c r="R39" i="14"/>
  <c r="S39" i="14" s="1"/>
  <c r="O39" i="14"/>
  <c r="N39" i="14"/>
  <c r="AF39" i="14" s="1"/>
  <c r="K39" i="14"/>
  <c r="AZ39" i="14" s="1"/>
  <c r="J39" i="14"/>
  <c r="BI38" i="14"/>
  <c r="BG38" i="14"/>
  <c r="BF38" i="14"/>
  <c r="BE38" i="14"/>
  <c r="BA38" i="14"/>
  <c r="BB38" i="14" s="1"/>
  <c r="AW38" i="14"/>
  <c r="AU38" i="14"/>
  <c r="AT38" i="14"/>
  <c r="AN38" i="14"/>
  <c r="AE38" i="14"/>
  <c r="X38" i="14"/>
  <c r="V38" i="14"/>
  <c r="Y38" i="14" s="1"/>
  <c r="T38" i="14"/>
  <c r="AJ38" i="14" s="1"/>
  <c r="AS38" i="14" s="1"/>
  <c r="R38" i="14"/>
  <c r="S38" i="14" s="1"/>
  <c r="O38" i="14"/>
  <c r="N38" i="14"/>
  <c r="AF38" i="14" s="1"/>
  <c r="K38" i="14"/>
  <c r="AZ38" i="14" s="1"/>
  <c r="J38" i="14"/>
  <c r="BI37" i="14"/>
  <c r="BG37" i="14"/>
  <c r="BF37" i="14"/>
  <c r="BE37" i="14"/>
  <c r="AU37" i="14"/>
  <c r="AT37" i="14"/>
  <c r="AN37" i="14"/>
  <c r="AE37" i="14"/>
  <c r="Y37" i="14"/>
  <c r="X37" i="14"/>
  <c r="V37" i="14"/>
  <c r="T37" i="14"/>
  <c r="R37" i="14"/>
  <c r="S37" i="14" s="1"/>
  <c r="O37" i="14"/>
  <c r="N37" i="14"/>
  <c r="AF37" i="14" s="1"/>
  <c r="K37" i="14"/>
  <c r="J37" i="14"/>
  <c r="AJ37" i="14" s="1"/>
  <c r="AS37" i="14" s="1"/>
  <c r="BG36" i="14"/>
  <c r="BJ36" i="14" s="1"/>
  <c r="BF36" i="14"/>
  <c r="BE36" i="14"/>
  <c r="BH36" i="14" s="1"/>
  <c r="AU36" i="14"/>
  <c r="AT36" i="14"/>
  <c r="AN36" i="14"/>
  <c r="BI36" i="14" s="1"/>
  <c r="AE36" i="14"/>
  <c r="X36" i="14"/>
  <c r="V36" i="14"/>
  <c r="Y36" i="14" s="1"/>
  <c r="T36" i="14"/>
  <c r="R36" i="14"/>
  <c r="S36" i="14" s="1"/>
  <c r="O36" i="14"/>
  <c r="N36" i="14"/>
  <c r="AF36" i="14" s="1"/>
  <c r="K36" i="14"/>
  <c r="J36" i="14"/>
  <c r="BG35" i="14"/>
  <c r="BF35" i="14"/>
  <c r="BE35" i="14"/>
  <c r="AY35" i="14"/>
  <c r="AU35" i="14"/>
  <c r="AT35" i="14"/>
  <c r="AN35" i="14"/>
  <c r="BI35" i="14" s="1"/>
  <c r="AE35" i="14"/>
  <c r="Y35" i="14"/>
  <c r="X35" i="14"/>
  <c r="V35" i="14"/>
  <c r="T35" i="14"/>
  <c r="R35" i="14"/>
  <c r="S35" i="14" s="1"/>
  <c r="O35" i="14"/>
  <c r="N35" i="14"/>
  <c r="AF35" i="14" s="1"/>
  <c r="K35" i="14"/>
  <c r="AZ35" i="14" s="1"/>
  <c r="J35" i="14"/>
  <c r="BA35" i="14" s="1"/>
  <c r="BB35" i="14" s="1"/>
  <c r="BS34" i="14"/>
  <c r="BO34" i="14"/>
  <c r="BM34" i="14"/>
  <c r="BL34" i="14"/>
  <c r="BH34" i="14"/>
  <c r="BF34" i="14"/>
  <c r="BE34" i="14"/>
  <c r="AZ34" i="14"/>
  <c r="AU34" i="14"/>
  <c r="AT34" i="14"/>
  <c r="AN34" i="14"/>
  <c r="BT34" i="14" s="1"/>
  <c r="AK34" i="14"/>
  <c r="AF34" i="14"/>
  <c r="AE34" i="14"/>
  <c r="X34" i="14"/>
  <c r="V34" i="14"/>
  <c r="Y34" i="14" s="1"/>
  <c r="T34" i="14"/>
  <c r="S34" i="14"/>
  <c r="R34" i="14"/>
  <c r="O34" i="14"/>
  <c r="N34" i="14"/>
  <c r="K34" i="14"/>
  <c r="J34" i="14"/>
  <c r="BR33" i="14"/>
  <c r="BM33" i="14"/>
  <c r="BN33" i="14" s="1"/>
  <c r="BQ33" i="14" s="1"/>
  <c r="BL33" i="14"/>
  <c r="BI33" i="14"/>
  <c r="BG33" i="14"/>
  <c r="BJ33" i="14" s="1"/>
  <c r="BF33" i="14"/>
  <c r="BE33" i="14"/>
  <c r="BH33" i="14" s="1"/>
  <c r="AU33" i="14"/>
  <c r="AT33" i="14"/>
  <c r="AN33" i="14"/>
  <c r="BS33" i="14" s="1"/>
  <c r="AE33" i="14"/>
  <c r="X33" i="14"/>
  <c r="V33" i="14"/>
  <c r="T33" i="14"/>
  <c r="R33" i="14"/>
  <c r="S33" i="14" s="1"/>
  <c r="O33" i="14"/>
  <c r="N33" i="14"/>
  <c r="AF33" i="14" s="1"/>
  <c r="K33" i="14"/>
  <c r="J33" i="14"/>
  <c r="BP32" i="14"/>
  <c r="BM32" i="14"/>
  <c r="BN32" i="14" s="1"/>
  <c r="BL32" i="14"/>
  <c r="BG32" i="14"/>
  <c r="BJ32" i="14" s="1"/>
  <c r="BF32" i="14"/>
  <c r="BE32" i="14"/>
  <c r="BA32" i="14"/>
  <c r="AU32" i="14"/>
  <c r="AT32" i="14"/>
  <c r="AN32" i="14"/>
  <c r="BS32" i="14" s="1"/>
  <c r="AF32" i="14"/>
  <c r="AE32" i="14"/>
  <c r="X32" i="14"/>
  <c r="V32" i="14"/>
  <c r="T32" i="14"/>
  <c r="AK32" i="14" s="1"/>
  <c r="S32" i="14"/>
  <c r="R32" i="14"/>
  <c r="O32" i="14"/>
  <c r="N32" i="14"/>
  <c r="K32" i="14"/>
  <c r="AZ32" i="14" s="1"/>
  <c r="J32" i="14"/>
  <c r="BT31" i="14"/>
  <c r="BN31" i="14"/>
  <c r="BM31" i="14"/>
  <c r="BL31" i="14"/>
  <c r="BG31" i="14"/>
  <c r="BF31" i="14"/>
  <c r="BE31" i="14"/>
  <c r="AU31" i="14"/>
  <c r="AT31" i="14"/>
  <c r="AN31" i="14"/>
  <c r="AE31" i="14"/>
  <c r="X31" i="14"/>
  <c r="V31" i="14"/>
  <c r="T31" i="14"/>
  <c r="R31" i="14"/>
  <c r="S31" i="14" s="1"/>
  <c r="O31" i="14"/>
  <c r="N31" i="14"/>
  <c r="AF31" i="14" s="1"/>
  <c r="K31" i="14"/>
  <c r="J31" i="14"/>
  <c r="BS30" i="14"/>
  <c r="BO30" i="14"/>
  <c r="BM30" i="14"/>
  <c r="BL30" i="14"/>
  <c r="BH30" i="14"/>
  <c r="BF30" i="14"/>
  <c r="BE30" i="14"/>
  <c r="AU30" i="14"/>
  <c r="AT30" i="14"/>
  <c r="AN30" i="14"/>
  <c r="BR30" i="14" s="1"/>
  <c r="AK30" i="14"/>
  <c r="AF30" i="14"/>
  <c r="AE30" i="14"/>
  <c r="X30" i="14"/>
  <c r="V30" i="14"/>
  <c r="AY30" i="14" s="1"/>
  <c r="T30" i="14"/>
  <c r="S30" i="14"/>
  <c r="R30" i="14"/>
  <c r="O30" i="14"/>
  <c r="N30" i="14"/>
  <c r="K30" i="14"/>
  <c r="AZ30" i="14" s="1"/>
  <c r="J30" i="14"/>
  <c r="AJ30" i="14" s="1"/>
  <c r="BT29" i="14"/>
  <c r="BP29" i="14"/>
  <c r="BN29" i="14"/>
  <c r="BM29" i="14"/>
  <c r="BL29" i="14"/>
  <c r="BI29" i="14"/>
  <c r="BG29" i="14"/>
  <c r="BF29" i="14"/>
  <c r="BE29" i="14"/>
  <c r="BA29" i="14"/>
  <c r="BB29" i="14" s="1"/>
  <c r="AU29" i="14"/>
  <c r="AT29" i="14"/>
  <c r="AN29" i="14"/>
  <c r="BS29" i="14" s="1"/>
  <c r="AE29" i="14"/>
  <c r="X29" i="14"/>
  <c r="V29" i="14"/>
  <c r="AX29" i="14" s="1"/>
  <c r="T29" i="14"/>
  <c r="AJ29" i="14" s="1"/>
  <c r="AS29" i="14" s="1"/>
  <c r="R29" i="14"/>
  <c r="S29" i="14" s="1"/>
  <c r="O29" i="14"/>
  <c r="N29" i="14"/>
  <c r="AF29" i="14" s="1"/>
  <c r="K29" i="14"/>
  <c r="AZ29" i="14" s="1"/>
  <c r="J29" i="14"/>
  <c r="BS28" i="14"/>
  <c r="BO28" i="14"/>
  <c r="BM28" i="14"/>
  <c r="BL28" i="14"/>
  <c r="BH28" i="14"/>
  <c r="BF28" i="14"/>
  <c r="BE28" i="14"/>
  <c r="AZ28" i="14"/>
  <c r="AU28" i="14"/>
  <c r="AT28" i="14"/>
  <c r="AN28" i="14"/>
  <c r="BT28" i="14" s="1"/>
  <c r="AK28" i="14"/>
  <c r="AF28" i="14"/>
  <c r="AE28" i="14"/>
  <c r="Y28" i="14"/>
  <c r="X28" i="14"/>
  <c r="V28" i="14"/>
  <c r="AY28" i="14" s="1"/>
  <c r="T28" i="14"/>
  <c r="S28" i="14"/>
  <c r="R28" i="14"/>
  <c r="O28" i="14"/>
  <c r="N28" i="14"/>
  <c r="K28" i="14"/>
  <c r="J28" i="14"/>
  <c r="BA28" i="14" s="1"/>
  <c r="BR27" i="14"/>
  <c r="BP27" i="14"/>
  <c r="BN27" i="14"/>
  <c r="BQ27" i="14" s="1"/>
  <c r="BM27" i="14"/>
  <c r="BL27" i="14"/>
  <c r="BO27" i="14" s="1"/>
  <c r="BI27" i="14"/>
  <c r="BG27" i="14"/>
  <c r="BJ27" i="14" s="1"/>
  <c r="BF27" i="14"/>
  <c r="BE27" i="14"/>
  <c r="BH27" i="14" s="1"/>
  <c r="AU27" i="14"/>
  <c r="AT27" i="14"/>
  <c r="AN27" i="14"/>
  <c r="BS27" i="14" s="1"/>
  <c r="AE27" i="14"/>
  <c r="Y27" i="14"/>
  <c r="X27" i="14"/>
  <c r="V27" i="14"/>
  <c r="T27" i="14"/>
  <c r="R27" i="14"/>
  <c r="S27" i="14" s="1"/>
  <c r="O27" i="14"/>
  <c r="N27" i="14"/>
  <c r="AF27" i="14" s="1"/>
  <c r="K27" i="14"/>
  <c r="J27" i="14"/>
  <c r="BS26" i="14"/>
  <c r="BR26" i="14"/>
  <c r="BO26" i="14"/>
  <c r="BM26" i="14"/>
  <c r="BL26" i="14"/>
  <c r="BJ26" i="14"/>
  <c r="BI26" i="14"/>
  <c r="BH26" i="14"/>
  <c r="BF26" i="14"/>
  <c r="BG26" i="14" s="1"/>
  <c r="BE26" i="14"/>
  <c r="AZ26" i="14"/>
  <c r="AX26" i="14"/>
  <c r="AU26" i="14"/>
  <c r="AT26" i="14"/>
  <c r="AN26" i="14"/>
  <c r="BT26" i="14" s="1"/>
  <c r="AK26" i="14"/>
  <c r="AF26" i="14"/>
  <c r="AE26" i="14"/>
  <c r="X26" i="14"/>
  <c r="V26" i="14"/>
  <c r="AY26" i="14" s="1"/>
  <c r="T26" i="14"/>
  <c r="S26" i="14"/>
  <c r="R26" i="14"/>
  <c r="O26" i="14"/>
  <c r="N26" i="14"/>
  <c r="K26" i="14"/>
  <c r="J26" i="14"/>
  <c r="BA26" i="14" s="1"/>
  <c r="BB26" i="14" s="1"/>
  <c r="BQ25" i="14"/>
  <c r="BN25" i="14"/>
  <c r="BM25" i="14"/>
  <c r="BL25" i="14"/>
  <c r="BH25" i="14"/>
  <c r="BG25" i="14"/>
  <c r="BF25" i="14"/>
  <c r="BE25" i="14"/>
  <c r="AY25" i="14"/>
  <c r="AU25" i="14"/>
  <c r="AT25" i="14"/>
  <c r="AW25" i="14" s="1"/>
  <c r="AQ25" i="14" s="1"/>
  <c r="AN25" i="14"/>
  <c r="BT25" i="14" s="1"/>
  <c r="AF25" i="14"/>
  <c r="AE25" i="14"/>
  <c r="X25" i="14"/>
  <c r="V25" i="14"/>
  <c r="Y25" i="14" s="1"/>
  <c r="T25" i="14"/>
  <c r="AJ25" i="14" s="1"/>
  <c r="AS25" i="14" s="1"/>
  <c r="R25" i="14"/>
  <c r="S25" i="14" s="1"/>
  <c r="O25" i="14"/>
  <c r="N25" i="14"/>
  <c r="K25" i="14"/>
  <c r="AZ25" i="14" s="1"/>
  <c r="J25" i="14"/>
  <c r="BQ24" i="14"/>
  <c r="BO24" i="14"/>
  <c r="BM24" i="14"/>
  <c r="BN24" i="14" s="1"/>
  <c r="BL24" i="14"/>
  <c r="BI24" i="14"/>
  <c r="BG24" i="14"/>
  <c r="BJ24" i="14" s="1"/>
  <c r="BF24" i="14"/>
  <c r="BE24" i="14"/>
  <c r="BA24" i="14"/>
  <c r="AU24" i="14"/>
  <c r="AT24" i="14"/>
  <c r="AN24" i="14"/>
  <c r="AE24" i="14"/>
  <c r="X24" i="14"/>
  <c r="V24" i="14"/>
  <c r="T24" i="14"/>
  <c r="AJ24" i="14" s="1"/>
  <c r="AS24" i="14" s="1"/>
  <c r="R24" i="14"/>
  <c r="S24" i="14" s="1"/>
  <c r="O24" i="14"/>
  <c r="N24" i="14"/>
  <c r="AF24" i="14" s="1"/>
  <c r="K24" i="14"/>
  <c r="AZ24" i="14" s="1"/>
  <c r="J24" i="14"/>
  <c r="BS23" i="14"/>
  <c r="BO23" i="14"/>
  <c r="BM23" i="14"/>
  <c r="BL23" i="14"/>
  <c r="BH23" i="14"/>
  <c r="BF23" i="14"/>
  <c r="BE23" i="14"/>
  <c r="AU23" i="14"/>
  <c r="AT23" i="14"/>
  <c r="AN23" i="14"/>
  <c r="BT23" i="14" s="1"/>
  <c r="AE23" i="14"/>
  <c r="Y23" i="14"/>
  <c r="V23" i="14"/>
  <c r="T23" i="14"/>
  <c r="R23" i="14"/>
  <c r="S23" i="14" s="1"/>
  <c r="O23" i="14"/>
  <c r="N23" i="14"/>
  <c r="AF23" i="14" s="1"/>
  <c r="K23" i="14"/>
  <c r="J23" i="14"/>
  <c r="BS22" i="14"/>
  <c r="BR22" i="14"/>
  <c r="BO22" i="14"/>
  <c r="BM22" i="14"/>
  <c r="BL22" i="14"/>
  <c r="BH22" i="14"/>
  <c r="BF22" i="14"/>
  <c r="BE22" i="14"/>
  <c r="AZ22" i="14"/>
  <c r="AU22" i="14"/>
  <c r="AT22" i="14"/>
  <c r="AN22" i="14"/>
  <c r="BT22" i="14" s="1"/>
  <c r="AK22" i="14"/>
  <c r="AF22" i="14"/>
  <c r="AE22" i="14"/>
  <c r="X22" i="14"/>
  <c r="V22" i="14"/>
  <c r="AY22" i="14" s="1"/>
  <c r="T22" i="14"/>
  <c r="S22" i="14"/>
  <c r="R22" i="14"/>
  <c r="O22" i="14"/>
  <c r="N22" i="14"/>
  <c r="K22" i="14"/>
  <c r="J22" i="14"/>
  <c r="AJ22" i="14" s="1"/>
  <c r="AS22" i="14" s="1"/>
  <c r="AW22" i="14" s="1"/>
  <c r="AQ22" i="14" s="1"/>
  <c r="BN21" i="14"/>
  <c r="BQ21" i="14" s="1"/>
  <c r="BM21" i="14"/>
  <c r="BL21" i="14"/>
  <c r="BG21" i="14"/>
  <c r="BJ21" i="14" s="1"/>
  <c r="BF21" i="14"/>
  <c r="BE21" i="14"/>
  <c r="BA21" i="14"/>
  <c r="AY21" i="14"/>
  <c r="AU21" i="14"/>
  <c r="AT21" i="14"/>
  <c r="AS21" i="14"/>
  <c r="AN21" i="14"/>
  <c r="BS21" i="14" s="1"/>
  <c r="AJ21" i="14"/>
  <c r="AF21" i="14"/>
  <c r="AE21" i="14"/>
  <c r="T21" i="14"/>
  <c r="S21" i="14"/>
  <c r="R21" i="14"/>
  <c r="O21" i="14"/>
  <c r="N21" i="14"/>
  <c r="K21" i="14"/>
  <c r="AZ21" i="14" s="1"/>
  <c r="J21" i="14"/>
  <c r="AX21" i="14" s="1"/>
  <c r="BN20" i="14"/>
  <c r="BQ20" i="14" s="1"/>
  <c r="BM20" i="14"/>
  <c r="BL20" i="14"/>
  <c r="BG20" i="14"/>
  <c r="BJ20" i="14" s="1"/>
  <c r="BF20" i="14"/>
  <c r="BE20" i="14"/>
  <c r="BA20" i="14"/>
  <c r="AY20" i="14"/>
  <c r="AU20" i="14"/>
  <c r="AT20" i="14"/>
  <c r="AS20" i="14"/>
  <c r="AN20" i="14"/>
  <c r="BS20" i="14" s="1"/>
  <c r="AJ20" i="14"/>
  <c r="AF20" i="14"/>
  <c r="AE20" i="14"/>
  <c r="T20" i="14"/>
  <c r="S20" i="14"/>
  <c r="R20" i="14"/>
  <c r="O20" i="14"/>
  <c r="N20" i="14"/>
  <c r="K20" i="14"/>
  <c r="AZ20" i="14" s="1"/>
  <c r="J20" i="14"/>
  <c r="AX20" i="14" s="1"/>
  <c r="BN19" i="14"/>
  <c r="BQ19" i="14" s="1"/>
  <c r="BM19" i="14"/>
  <c r="BL19" i="14"/>
  <c r="BG19" i="14"/>
  <c r="BJ19" i="14" s="1"/>
  <c r="BF19" i="14"/>
  <c r="BE19" i="14"/>
  <c r="BA19" i="14"/>
  <c r="AY19" i="14"/>
  <c r="AU19" i="14"/>
  <c r="AT19" i="14"/>
  <c r="AS19" i="14"/>
  <c r="AN19" i="14"/>
  <c r="BS19" i="14" s="1"/>
  <c r="AJ19" i="14"/>
  <c r="AF19" i="14"/>
  <c r="AE19" i="14"/>
  <c r="T19" i="14"/>
  <c r="S19" i="14"/>
  <c r="R19" i="14"/>
  <c r="O19" i="14"/>
  <c r="N19" i="14"/>
  <c r="K19" i="14"/>
  <c r="AZ19" i="14" s="1"/>
  <c r="J19" i="14"/>
  <c r="AX19" i="14" s="1"/>
  <c r="BN18" i="14"/>
  <c r="BQ18" i="14" s="1"/>
  <c r="BM18" i="14"/>
  <c r="BL18" i="14"/>
  <c r="BG18" i="14"/>
  <c r="BJ18" i="14" s="1"/>
  <c r="BF18" i="14"/>
  <c r="BE18" i="14"/>
  <c r="BA18" i="14"/>
  <c r="AY18" i="14"/>
  <c r="AU18" i="14"/>
  <c r="AT18" i="14"/>
  <c r="AS18" i="14"/>
  <c r="AN18" i="14"/>
  <c r="BS18" i="14" s="1"/>
  <c r="AJ18" i="14"/>
  <c r="AF18" i="14"/>
  <c r="AE18" i="14"/>
  <c r="T18" i="14"/>
  <c r="S18" i="14"/>
  <c r="R18" i="14"/>
  <c r="O18" i="14"/>
  <c r="N18" i="14"/>
  <c r="K18" i="14"/>
  <c r="AZ18" i="14" s="1"/>
  <c r="J18" i="14"/>
  <c r="AX18" i="14" s="1"/>
  <c r="BN17" i="14"/>
  <c r="BQ17" i="14" s="1"/>
  <c r="BM17" i="14"/>
  <c r="BL17" i="14"/>
  <c r="BG17" i="14"/>
  <c r="BJ17" i="14" s="1"/>
  <c r="BF17" i="14"/>
  <c r="BE17" i="14"/>
  <c r="BA17" i="14"/>
  <c r="AY17" i="14"/>
  <c r="AU17" i="14"/>
  <c r="AT17" i="14"/>
  <c r="AS17" i="14"/>
  <c r="AN17" i="14"/>
  <c r="BS17" i="14" s="1"/>
  <c r="AJ17" i="14"/>
  <c r="AF17" i="14"/>
  <c r="AE17" i="14"/>
  <c r="T17" i="14"/>
  <c r="S17" i="14"/>
  <c r="R17" i="14"/>
  <c r="O17" i="14"/>
  <c r="N17" i="14"/>
  <c r="K17" i="14"/>
  <c r="AZ17" i="14" s="1"/>
  <c r="J17" i="14"/>
  <c r="AX17" i="14" s="1"/>
  <c r="BN16" i="14"/>
  <c r="BQ16" i="14" s="1"/>
  <c r="BM16" i="14"/>
  <c r="BL16" i="14"/>
  <c r="BG16" i="14"/>
  <c r="BJ16" i="14" s="1"/>
  <c r="BF16" i="14"/>
  <c r="BE16" i="14"/>
  <c r="BA16" i="14"/>
  <c r="AY16" i="14"/>
  <c r="AU16" i="14"/>
  <c r="AT16" i="14"/>
  <c r="AS16" i="14"/>
  <c r="AN16" i="14"/>
  <c r="BS16" i="14" s="1"/>
  <c r="AJ16" i="14"/>
  <c r="AF16" i="14"/>
  <c r="AE16" i="14"/>
  <c r="T16" i="14"/>
  <c r="S16" i="14"/>
  <c r="R16" i="14"/>
  <c r="O16" i="14"/>
  <c r="N16" i="14"/>
  <c r="K16" i="14"/>
  <c r="AZ16" i="14" s="1"/>
  <c r="J16" i="14"/>
  <c r="AX16" i="14" s="1"/>
  <c r="BN15" i="14"/>
  <c r="BQ15" i="14" s="1"/>
  <c r="BM15" i="14"/>
  <c r="BL15" i="14"/>
  <c r="BG15" i="14"/>
  <c r="BJ15" i="14" s="1"/>
  <c r="BF15" i="14"/>
  <c r="BE15" i="14"/>
  <c r="BA15" i="14"/>
  <c r="AY15" i="14"/>
  <c r="AU15" i="14"/>
  <c r="AT15" i="14"/>
  <c r="AS15" i="14"/>
  <c r="AN15" i="14"/>
  <c r="BS15" i="14" s="1"/>
  <c r="AJ15" i="14"/>
  <c r="AF15" i="14"/>
  <c r="AE15" i="14"/>
  <c r="T15" i="14"/>
  <c r="S15" i="14"/>
  <c r="R15" i="14"/>
  <c r="O15" i="14"/>
  <c r="N15" i="14"/>
  <c r="K15" i="14"/>
  <c r="AZ15" i="14" s="1"/>
  <c r="J15" i="14"/>
  <c r="AX15" i="14" s="1"/>
  <c r="BN14" i="14"/>
  <c r="BQ14" i="14" s="1"/>
  <c r="BM14" i="14"/>
  <c r="BL14" i="14"/>
  <c r="BG14" i="14"/>
  <c r="BJ14" i="14" s="1"/>
  <c r="BF14" i="14"/>
  <c r="BE14" i="14"/>
  <c r="BA14" i="14"/>
  <c r="AY14" i="14"/>
  <c r="AU14" i="14"/>
  <c r="AT14" i="14"/>
  <c r="AS14" i="14"/>
  <c r="AN14" i="14"/>
  <c r="BS14" i="14" s="1"/>
  <c r="AJ14" i="14"/>
  <c r="AF14" i="14"/>
  <c r="AE14" i="14"/>
  <c r="T14" i="14"/>
  <c r="S14" i="14"/>
  <c r="R14" i="14"/>
  <c r="O14" i="14"/>
  <c r="N14" i="14"/>
  <c r="K14" i="14"/>
  <c r="AZ14" i="14" s="1"/>
  <c r="J14" i="14"/>
  <c r="AX14" i="14" s="1"/>
  <c r="BN13" i="14"/>
  <c r="BQ13" i="14" s="1"/>
  <c r="BM13" i="14"/>
  <c r="BL13" i="14"/>
  <c r="BG13" i="14"/>
  <c r="BJ13" i="14" s="1"/>
  <c r="BF13" i="14"/>
  <c r="BE13" i="14"/>
  <c r="BA13" i="14"/>
  <c r="AY13" i="14"/>
  <c r="AU13" i="14"/>
  <c r="AT13" i="14"/>
  <c r="AS13" i="14"/>
  <c r="AN13" i="14"/>
  <c r="BS13" i="14" s="1"/>
  <c r="AJ13" i="14"/>
  <c r="AF13" i="14"/>
  <c r="AE13" i="14"/>
  <c r="T13" i="14"/>
  <c r="S13" i="14"/>
  <c r="R13" i="14"/>
  <c r="O13" i="14"/>
  <c r="N13" i="14"/>
  <c r="K13" i="14"/>
  <c r="AZ13" i="14" s="1"/>
  <c r="J13" i="14"/>
  <c r="AX13" i="14" s="1"/>
  <c r="BN12" i="14"/>
  <c r="BQ12" i="14" s="1"/>
  <c r="BM12" i="14"/>
  <c r="BL12" i="14"/>
  <c r="BG12" i="14"/>
  <c r="BJ12" i="14" s="1"/>
  <c r="BF12" i="14"/>
  <c r="BE12" i="14"/>
  <c r="BA12" i="14"/>
  <c r="AY12" i="14"/>
  <c r="AU12" i="14"/>
  <c r="AT12" i="14"/>
  <c r="AS12" i="14"/>
  <c r="AN12" i="14"/>
  <c r="BS12" i="14" s="1"/>
  <c r="AJ12" i="14"/>
  <c r="AF12" i="14"/>
  <c r="AE12" i="14"/>
  <c r="T12" i="14"/>
  <c r="S12" i="14"/>
  <c r="R12" i="14"/>
  <c r="O12" i="14"/>
  <c r="N12" i="14"/>
  <c r="K12" i="14"/>
  <c r="AZ12" i="14" s="1"/>
  <c r="J12" i="14"/>
  <c r="AX12" i="14" s="1"/>
  <c r="BN11" i="14"/>
  <c r="BQ11" i="14" s="1"/>
  <c r="BM11" i="14"/>
  <c r="BL11" i="14"/>
  <c r="BG11" i="14"/>
  <c r="BJ11" i="14" s="1"/>
  <c r="BF11" i="14"/>
  <c r="BE11" i="14"/>
  <c r="BA11" i="14"/>
  <c r="AY11" i="14"/>
  <c r="AU11" i="14"/>
  <c r="AT11" i="14"/>
  <c r="AS11" i="14"/>
  <c r="AN11" i="14"/>
  <c r="BS11" i="14" s="1"/>
  <c r="AJ11" i="14"/>
  <c r="AF11" i="14"/>
  <c r="AE11" i="14"/>
  <c r="T11" i="14"/>
  <c r="S11" i="14"/>
  <c r="R11" i="14"/>
  <c r="O11" i="14"/>
  <c r="N11" i="14"/>
  <c r="K11" i="14"/>
  <c r="AZ11" i="14" s="1"/>
  <c r="J11" i="14"/>
  <c r="AX11" i="14" s="1"/>
  <c r="BR10" i="14"/>
  <c r="BN10" i="14"/>
  <c r="BQ10" i="14" s="1"/>
  <c r="BM10" i="14"/>
  <c r="BL10" i="14"/>
  <c r="BO10" i="14" s="1"/>
  <c r="BG10" i="14"/>
  <c r="BJ10" i="14" s="1"/>
  <c r="BF10" i="14"/>
  <c r="BE10" i="14"/>
  <c r="BH10" i="14" s="1"/>
  <c r="BA10" i="14"/>
  <c r="AY10" i="14"/>
  <c r="AX10" i="14"/>
  <c r="AU10" i="14"/>
  <c r="AT10" i="14"/>
  <c r="AN10" i="14"/>
  <c r="BS10" i="14" s="1"/>
  <c r="AJ10" i="14"/>
  <c r="AS10" i="14" s="1"/>
  <c r="AF10" i="14"/>
  <c r="AE10" i="14"/>
  <c r="T10" i="14"/>
  <c r="AK10" i="14" s="1"/>
  <c r="S10" i="14"/>
  <c r="R10" i="14"/>
  <c r="O10" i="14"/>
  <c r="N10" i="14"/>
  <c r="K10" i="14"/>
  <c r="AZ10" i="14" s="1"/>
  <c r="BS9" i="14"/>
  <c r="BO9" i="14"/>
  <c r="BM9" i="14"/>
  <c r="BL9" i="14"/>
  <c r="BH9" i="14"/>
  <c r="BF9" i="14"/>
  <c r="BE9" i="14"/>
  <c r="BA9" i="14"/>
  <c r="AZ9" i="14"/>
  <c r="BB9" i="14" s="1"/>
  <c r="AY9" i="14"/>
  <c r="AX9" i="14"/>
  <c r="AU9" i="14"/>
  <c r="AT9" i="14"/>
  <c r="AN9" i="14"/>
  <c r="BT9" i="14" s="1"/>
  <c r="AF9" i="14"/>
  <c r="AE9" i="14"/>
  <c r="T9" i="14"/>
  <c r="AJ9" i="14" s="1"/>
  <c r="AS9" i="14" s="1"/>
  <c r="AW9" i="14" s="1"/>
  <c r="AQ9" i="14" s="1"/>
  <c r="R9" i="14"/>
  <c r="S9" i="14" s="1"/>
  <c r="O9" i="14"/>
  <c r="N9" i="14"/>
  <c r="K9" i="14"/>
  <c r="BT8" i="14"/>
  <c r="BR8" i="14"/>
  <c r="BN8" i="14"/>
  <c r="BQ8" i="14" s="1"/>
  <c r="BL8" i="14"/>
  <c r="BO8" i="14" s="1"/>
  <c r="BI8" i="14"/>
  <c r="BG8" i="14"/>
  <c r="BJ8" i="14" s="1"/>
  <c r="BF8" i="14"/>
  <c r="BE8" i="14"/>
  <c r="BH8" i="14" s="1"/>
  <c r="BD8" i="14"/>
  <c r="BM8" i="14" s="1"/>
  <c r="BP8" i="14" s="1"/>
  <c r="BB8" i="14"/>
  <c r="BA8" i="14"/>
  <c r="AZ8" i="14"/>
  <c r="AY8" i="14"/>
  <c r="AX8" i="14"/>
  <c r="AV8" i="14"/>
  <c r="AP8" i="14" s="1"/>
  <c r="AU8" i="14"/>
  <c r="AT8" i="14"/>
  <c r="AO8" i="14"/>
  <c r="AN8" i="14"/>
  <c r="BS8" i="14" s="1"/>
  <c r="AK8" i="14"/>
  <c r="AE8" i="14"/>
  <c r="T8" i="14"/>
  <c r="AJ8" i="14" s="1"/>
  <c r="AS8" i="14" s="1"/>
  <c r="R8" i="14"/>
  <c r="S8" i="14" s="1"/>
  <c r="O8" i="14"/>
  <c r="N8" i="14"/>
  <c r="AF8" i="14" s="1"/>
  <c r="K8" i="14"/>
  <c r="BT7" i="14"/>
  <c r="BR7" i="14"/>
  <c r="BP7" i="14"/>
  <c r="BL7" i="14"/>
  <c r="BO7" i="14" s="1"/>
  <c r="BI7" i="14"/>
  <c r="BG7" i="14"/>
  <c r="BJ7" i="14" s="1"/>
  <c r="BF7" i="14"/>
  <c r="BE7" i="14"/>
  <c r="BH7" i="14" s="1"/>
  <c r="BD7" i="14"/>
  <c r="BM7" i="14" s="1"/>
  <c r="BN7" i="14" s="1"/>
  <c r="BQ7" i="14" s="1"/>
  <c r="BB7" i="14"/>
  <c r="BA7" i="14"/>
  <c r="AZ7" i="14"/>
  <c r="AY7" i="14"/>
  <c r="AX7" i="14"/>
  <c r="AU7" i="14"/>
  <c r="AT7" i="14"/>
  <c r="AQ7" i="14"/>
  <c r="AN7" i="14"/>
  <c r="BS7" i="14" s="1"/>
  <c r="AF7" i="14"/>
  <c r="AE7" i="14"/>
  <c r="T7" i="14"/>
  <c r="AJ7" i="14" s="1"/>
  <c r="AS7" i="14" s="1"/>
  <c r="AW7" i="14" s="1"/>
  <c r="R7" i="14"/>
  <c r="S7" i="14" s="1"/>
  <c r="O7" i="14"/>
  <c r="N7" i="14"/>
  <c r="K7" i="14"/>
  <c r="AO10" i="14" l="1"/>
  <c r="AV10" i="14"/>
  <c r="AP10" i="14" s="1"/>
  <c r="AW10" i="14"/>
  <c r="AQ10" i="14" s="1"/>
  <c r="AO24" i="14"/>
  <c r="AV24" i="14"/>
  <c r="AW24" i="14"/>
  <c r="AQ24" i="14" s="1"/>
  <c r="AO29" i="14"/>
  <c r="AV29" i="14"/>
  <c r="AP29" i="14" s="1"/>
  <c r="AW29" i="14"/>
  <c r="AO13" i="14"/>
  <c r="AV13" i="14"/>
  <c r="AP13" i="14" s="1"/>
  <c r="AO15" i="14"/>
  <c r="AV15" i="14"/>
  <c r="AP15" i="14" s="1"/>
  <c r="AO16" i="14"/>
  <c r="AV16" i="14"/>
  <c r="AP16" i="14" s="1"/>
  <c r="AO17" i="14"/>
  <c r="AV17" i="14"/>
  <c r="AP17" i="14" s="1"/>
  <c r="AO18" i="14"/>
  <c r="AV18" i="14"/>
  <c r="AP18" i="14" s="1"/>
  <c r="AO19" i="14"/>
  <c r="AV19" i="14"/>
  <c r="AP19" i="14" s="1"/>
  <c r="AO20" i="14"/>
  <c r="AV20" i="14"/>
  <c r="AP20" i="14" s="1"/>
  <c r="AO21" i="14"/>
  <c r="AV21" i="14"/>
  <c r="AP21" i="14" s="1"/>
  <c r="BA23" i="14"/>
  <c r="AJ23" i="14"/>
  <c r="AS23" i="14" s="1"/>
  <c r="BP26" i="14"/>
  <c r="BN26" i="14"/>
  <c r="BQ26" i="14" s="1"/>
  <c r="BA27" i="14"/>
  <c r="BB27" i="14" s="1"/>
  <c r="AJ27" i="14"/>
  <c r="AS27" i="14" s="1"/>
  <c r="AY27" i="14"/>
  <c r="AK33" i="14"/>
  <c r="AJ33" i="14"/>
  <c r="AS33" i="14" s="1"/>
  <c r="AO37" i="14"/>
  <c r="AV37" i="14"/>
  <c r="AP37" i="14" s="1"/>
  <c r="AO41" i="14"/>
  <c r="AV41" i="14"/>
  <c r="AP41" i="14" s="1"/>
  <c r="AK7" i="14"/>
  <c r="AO9" i="14"/>
  <c r="AV9" i="14"/>
  <c r="AP9" i="14" s="1"/>
  <c r="BB10" i="14"/>
  <c r="BI10" i="14"/>
  <c r="BP10" i="14"/>
  <c r="BB11" i="14"/>
  <c r="BI11" i="14"/>
  <c r="BP11" i="14"/>
  <c r="BB12" i="14"/>
  <c r="BI12" i="14"/>
  <c r="BP12" i="14"/>
  <c r="BB13" i="14"/>
  <c r="BI13" i="14"/>
  <c r="BP13" i="14"/>
  <c r="BB14" i="14"/>
  <c r="BI14" i="14"/>
  <c r="BP14" i="14"/>
  <c r="BB15" i="14"/>
  <c r="BI15" i="14"/>
  <c r="BP15" i="14"/>
  <c r="BB16" i="14"/>
  <c r="BI16" i="14"/>
  <c r="BP16" i="14"/>
  <c r="BB17" i="14"/>
  <c r="BI17" i="14"/>
  <c r="BP17" i="14"/>
  <c r="BB18" i="14"/>
  <c r="BI18" i="14"/>
  <c r="BP18" i="14"/>
  <c r="BB19" i="14"/>
  <c r="BI19" i="14"/>
  <c r="BP19" i="14"/>
  <c r="BB20" i="14"/>
  <c r="BI20" i="14"/>
  <c r="BP20" i="14"/>
  <c r="BB21" i="14"/>
  <c r="BI21" i="14"/>
  <c r="BP21" i="14"/>
  <c r="Y22" i="14"/>
  <c r="AX23" i="14"/>
  <c r="BG23" i="14"/>
  <c r="BJ23" i="14" s="1"/>
  <c r="BI23" i="14"/>
  <c r="BP23" i="14"/>
  <c r="BN23" i="14"/>
  <c r="BQ23" i="14" s="1"/>
  <c r="AK24" i="14"/>
  <c r="AY24" i="14"/>
  <c r="AV25" i="14"/>
  <c r="AP25" i="14" s="1"/>
  <c r="AO25" i="14"/>
  <c r="BO25" i="14"/>
  <c r="AZ27" i="14"/>
  <c r="BA33" i="14"/>
  <c r="BB33" i="14" s="1"/>
  <c r="AK36" i="14"/>
  <c r="BA36" i="14"/>
  <c r="AJ36" i="14"/>
  <c r="AS36" i="14" s="1"/>
  <c r="AY36" i="14"/>
  <c r="AW37" i="14"/>
  <c r="AK40" i="14"/>
  <c r="BA40" i="14"/>
  <c r="AJ40" i="14"/>
  <c r="AS40" i="14" s="1"/>
  <c r="AY40" i="14"/>
  <c r="AW41" i="14"/>
  <c r="BG9" i="14"/>
  <c r="BJ9" i="14" s="1"/>
  <c r="BI9" i="14"/>
  <c r="BP9" i="14"/>
  <c r="BN9" i="14"/>
  <c r="BQ9" i="14" s="1"/>
  <c r="AO11" i="14"/>
  <c r="AV11" i="14"/>
  <c r="AP11" i="14" s="1"/>
  <c r="AO12" i="14"/>
  <c r="AV12" i="14"/>
  <c r="AP12" i="14" s="1"/>
  <c r="AO14" i="14"/>
  <c r="AV14" i="14"/>
  <c r="AP14" i="14" s="1"/>
  <c r="BH11" i="14"/>
  <c r="BO11" i="14"/>
  <c r="BR11" i="14"/>
  <c r="BH12" i="14"/>
  <c r="BO12" i="14"/>
  <c r="BR12" i="14"/>
  <c r="BH13" i="14"/>
  <c r="BO13" i="14"/>
  <c r="BR13" i="14"/>
  <c r="BH14" i="14"/>
  <c r="BO14" i="14"/>
  <c r="BR14" i="14"/>
  <c r="BH15" i="14"/>
  <c r="BO15" i="14"/>
  <c r="BR15" i="14"/>
  <c r="BH16" i="14"/>
  <c r="BO16" i="14"/>
  <c r="BR16" i="14"/>
  <c r="BH17" i="14"/>
  <c r="BO17" i="14"/>
  <c r="BR17" i="14"/>
  <c r="BH18" i="14"/>
  <c r="BO18" i="14"/>
  <c r="BR18" i="14"/>
  <c r="BH19" i="14"/>
  <c r="BO19" i="14"/>
  <c r="BR19" i="14"/>
  <c r="BH20" i="14"/>
  <c r="BO20" i="14"/>
  <c r="BR20" i="14"/>
  <c r="BH21" i="14"/>
  <c r="BO21" i="14"/>
  <c r="BR21" i="14"/>
  <c r="AO22" i="14"/>
  <c r="AV22" i="14"/>
  <c r="AY23" i="14"/>
  <c r="AK23" i="14"/>
  <c r="AZ23" i="14"/>
  <c r="BB24" i="14"/>
  <c r="BS25" i="14"/>
  <c r="BP25" i="14"/>
  <c r="BI25" i="14"/>
  <c r="BR25" i="14"/>
  <c r="AK27" i="14"/>
  <c r="BI30" i="14"/>
  <c r="BG30" i="14"/>
  <c r="BJ30" i="14" s="1"/>
  <c r="BN30" i="14"/>
  <c r="BQ30" i="14" s="1"/>
  <c r="BP30" i="14"/>
  <c r="BA31" i="14"/>
  <c r="AK31" i="14"/>
  <c r="AJ31" i="14"/>
  <c r="AS31" i="14" s="1"/>
  <c r="AY32" i="14"/>
  <c r="AX32" i="14"/>
  <c r="Y32" i="14"/>
  <c r="AO7" i="14"/>
  <c r="AV7" i="14"/>
  <c r="AP7" i="14" s="1"/>
  <c r="AW8" i="14"/>
  <c r="AQ8" i="14" s="1"/>
  <c r="AK9" i="14"/>
  <c r="BT10" i="14"/>
  <c r="AW11" i="14"/>
  <c r="AQ11" i="14" s="1"/>
  <c r="BT11" i="14"/>
  <c r="AW12" i="14"/>
  <c r="AQ12" i="14" s="1"/>
  <c r="BT12" i="14"/>
  <c r="AW13" i="14"/>
  <c r="AQ13" i="14" s="1"/>
  <c r="BT13" i="14"/>
  <c r="AW14" i="14"/>
  <c r="AQ14" i="14" s="1"/>
  <c r="BT14" i="14"/>
  <c r="AW15" i="14"/>
  <c r="AQ15" i="14" s="1"/>
  <c r="BT15" i="14"/>
  <c r="AW16" i="14"/>
  <c r="AQ16" i="14" s="1"/>
  <c r="BT16" i="14"/>
  <c r="AW17" i="14"/>
  <c r="AQ17" i="14" s="1"/>
  <c r="BT17" i="14"/>
  <c r="AW18" i="14"/>
  <c r="AQ18" i="14" s="1"/>
  <c r="BT18" i="14"/>
  <c r="AW19" i="14"/>
  <c r="AQ19" i="14" s="1"/>
  <c r="BT19" i="14"/>
  <c r="AW20" i="14"/>
  <c r="AQ20" i="14" s="1"/>
  <c r="BT20" i="14"/>
  <c r="AW21" i="14"/>
  <c r="AQ21" i="14" s="1"/>
  <c r="BT21" i="14"/>
  <c r="AX22" i="14"/>
  <c r="BI22" i="14"/>
  <c r="BG22" i="14"/>
  <c r="BJ22" i="14" s="1"/>
  <c r="BN22" i="14"/>
  <c r="BQ22" i="14" s="1"/>
  <c r="BP22" i="14"/>
  <c r="AX24" i="14"/>
  <c r="BR24" i="14"/>
  <c r="BS24" i="14"/>
  <c r="BH24" i="14"/>
  <c r="BT24" i="14"/>
  <c r="Y26" i="14"/>
  <c r="BB28" i="14"/>
  <c r="Y30" i="14"/>
  <c r="AX30" i="14"/>
  <c r="BS31" i="14"/>
  <c r="BI31" i="14"/>
  <c r="BP31" i="14"/>
  <c r="BR31" i="14"/>
  <c r="BO31" i="14"/>
  <c r="BJ31" i="14"/>
  <c r="AZ31" i="14"/>
  <c r="AV38" i="14"/>
  <c r="AO38" i="14"/>
  <c r="Y33" i="14"/>
  <c r="AY33" i="14"/>
  <c r="BR9" i="14"/>
  <c r="AK11" i="14"/>
  <c r="AK12" i="14"/>
  <c r="AK13" i="14"/>
  <c r="AK14" i="14"/>
  <c r="AK15" i="14"/>
  <c r="AK16" i="14"/>
  <c r="AK17" i="14"/>
  <c r="AK18" i="14"/>
  <c r="AK19" i="14"/>
  <c r="AK20" i="14"/>
  <c r="AK21" i="14"/>
  <c r="BA22" i="14"/>
  <c r="BB22" i="14" s="1"/>
  <c r="BR23" i="14"/>
  <c r="Y24" i="14"/>
  <c r="BP24" i="14"/>
  <c r="AK25" i="14"/>
  <c r="BA25" i="14"/>
  <c r="BB25" i="14" s="1"/>
  <c r="BJ25" i="14"/>
  <c r="BT27" i="14"/>
  <c r="AX28" i="14"/>
  <c r="BG28" i="14"/>
  <c r="BJ28" i="14" s="1"/>
  <c r="BI28" i="14"/>
  <c r="BP28" i="14"/>
  <c r="BN28" i="14"/>
  <c r="BQ28" i="14" s="1"/>
  <c r="AK29" i="14"/>
  <c r="AY29" i="14"/>
  <c r="BJ29" i="14"/>
  <c r="BQ29" i="14"/>
  <c r="AS30" i="14"/>
  <c r="BH31" i="14"/>
  <c r="BB32" i="14"/>
  <c r="AX33" i="14"/>
  <c r="BP33" i="14"/>
  <c r="BJ35" i="14"/>
  <c r="AX37" i="14"/>
  <c r="BJ39" i="14"/>
  <c r="AX41" i="14"/>
  <c r="BJ43" i="14"/>
  <c r="AX25" i="14"/>
  <c r="AJ26" i="14"/>
  <c r="AS26" i="14" s="1"/>
  <c r="AX27" i="14"/>
  <c r="BH29" i="14"/>
  <c r="BO29" i="14"/>
  <c r="BR29" i="14"/>
  <c r="BR32" i="14"/>
  <c r="BT32" i="14"/>
  <c r="BO32" i="14"/>
  <c r="BH32" i="14"/>
  <c r="BQ32" i="14"/>
  <c r="BA34" i="14"/>
  <c r="BB34" i="14" s="1"/>
  <c r="AJ34" i="14"/>
  <c r="AS34" i="14" s="1"/>
  <c r="BH35" i="14"/>
  <c r="AK37" i="14"/>
  <c r="AY37" i="14"/>
  <c r="BA37" i="14"/>
  <c r="BH39" i="14"/>
  <c r="AK41" i="14"/>
  <c r="AY41" i="14"/>
  <c r="BA41" i="14"/>
  <c r="AV42" i="14"/>
  <c r="AO42" i="14"/>
  <c r="AW42" i="14"/>
  <c r="AQ42" i="14" s="1"/>
  <c r="BH43" i="14"/>
  <c r="AV44" i="14"/>
  <c r="AP44" i="14" s="1"/>
  <c r="AO44" i="14"/>
  <c r="AW44" i="14"/>
  <c r="AQ44" i="14" s="1"/>
  <c r="AJ28" i="14"/>
  <c r="AS28" i="14" s="1"/>
  <c r="BR28" i="14"/>
  <c r="Y29" i="14"/>
  <c r="BA30" i="14"/>
  <c r="BB30" i="14" s="1"/>
  <c r="BT30" i="14"/>
  <c r="AX31" i="14"/>
  <c r="AY31" i="14"/>
  <c r="AJ32" i="14"/>
  <c r="AS32" i="14" s="1"/>
  <c r="BO33" i="14"/>
  <c r="AX35" i="14"/>
  <c r="AJ35" i="14"/>
  <c r="AS35" i="14" s="1"/>
  <c r="AZ37" i="14"/>
  <c r="BJ37" i="14"/>
  <c r="BH38" i="14"/>
  <c r="AK39" i="14"/>
  <c r="AZ40" i="14"/>
  <c r="BB43" i="14"/>
  <c r="AK44" i="14"/>
  <c r="BA44" i="14"/>
  <c r="BB44" i="14" s="1"/>
  <c r="Y31" i="14"/>
  <c r="BQ31" i="14"/>
  <c r="BI32" i="14"/>
  <c r="AZ33" i="14"/>
  <c r="BT33" i="14"/>
  <c r="AY34" i="14"/>
  <c r="AX34" i="14"/>
  <c r="BG34" i="14"/>
  <c r="BJ34" i="14" s="1"/>
  <c r="BI34" i="14"/>
  <c r="BP34" i="14"/>
  <c r="BN34" i="14"/>
  <c r="BQ34" i="14" s="1"/>
  <c r="AK35" i="14"/>
  <c r="AZ36" i="14"/>
  <c r="BH37" i="14"/>
  <c r="AK38" i="14"/>
  <c r="AY38" i="14"/>
  <c r="AQ38" i="14" s="1"/>
  <c r="BJ38" i="14"/>
  <c r="AX39" i="14"/>
  <c r="AJ39" i="14"/>
  <c r="AS39" i="14" s="1"/>
  <c r="BA39" i="14"/>
  <c r="BB39" i="14" s="1"/>
  <c r="AZ41" i="14"/>
  <c r="AK42" i="14"/>
  <c r="BA42" i="14"/>
  <c r="BB42" i="14" s="1"/>
  <c r="AY44" i="14"/>
  <c r="AJ43" i="14"/>
  <c r="AS43" i="14" s="1"/>
  <c r="AY43" i="14"/>
  <c r="BR34" i="14"/>
  <c r="AX36" i="14"/>
  <c r="AX38" i="14"/>
  <c r="AX40" i="14"/>
  <c r="AX42" i="14"/>
  <c r="AX44" i="14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AO32" i="14" l="1"/>
  <c r="AW32" i="14"/>
  <c r="AQ32" i="14" s="1"/>
  <c r="AV32" i="14"/>
  <c r="AP32" i="14" s="1"/>
  <c r="AQ41" i="14"/>
  <c r="BB36" i="14"/>
  <c r="AO35" i="14"/>
  <c r="AV35" i="14"/>
  <c r="AP35" i="14" s="1"/>
  <c r="AW35" i="14"/>
  <c r="AQ35" i="14" s="1"/>
  <c r="AW30" i="14"/>
  <c r="AQ30" i="14" s="1"/>
  <c r="AV30" i="14"/>
  <c r="AP30" i="14" s="1"/>
  <c r="AO30" i="14"/>
  <c r="BB31" i="14"/>
  <c r="AQ37" i="14"/>
  <c r="AO27" i="14"/>
  <c r="AV27" i="14"/>
  <c r="AP27" i="14" s="1"/>
  <c r="AW27" i="14"/>
  <c r="AQ27" i="14" s="1"/>
  <c r="AW23" i="14"/>
  <c r="AQ23" i="14" s="1"/>
  <c r="AV23" i="14"/>
  <c r="AP23" i="14" s="1"/>
  <c r="AO23" i="14"/>
  <c r="AO43" i="14"/>
  <c r="AV43" i="14"/>
  <c r="AP43" i="14" s="1"/>
  <c r="AW43" i="14"/>
  <c r="AQ43" i="14" s="1"/>
  <c r="AO39" i="14"/>
  <c r="AV39" i="14"/>
  <c r="AP39" i="14" s="1"/>
  <c r="AW39" i="14"/>
  <c r="AQ39" i="14" s="1"/>
  <c r="AP42" i="14"/>
  <c r="AW26" i="14"/>
  <c r="AQ26" i="14" s="1"/>
  <c r="AV26" i="14"/>
  <c r="AP26" i="14" s="1"/>
  <c r="AO26" i="14"/>
  <c r="AP38" i="14"/>
  <c r="AV40" i="14"/>
  <c r="AP40" i="14" s="1"/>
  <c r="AO40" i="14"/>
  <c r="AW40" i="14"/>
  <c r="AQ40" i="14" s="1"/>
  <c r="AV33" i="14"/>
  <c r="AP33" i="14" s="1"/>
  <c r="AW33" i="14"/>
  <c r="AQ33" i="14" s="1"/>
  <c r="AO33" i="14"/>
  <c r="BB23" i="14"/>
  <c r="AW28" i="14"/>
  <c r="AQ28" i="14" s="1"/>
  <c r="AO28" i="14"/>
  <c r="AV28" i="14"/>
  <c r="AP28" i="14" s="1"/>
  <c r="BB41" i="14"/>
  <c r="BB37" i="14"/>
  <c r="AW34" i="14"/>
  <c r="AQ34" i="14" s="1"/>
  <c r="AV34" i="14"/>
  <c r="AP34" i="14" s="1"/>
  <c r="AO34" i="14"/>
  <c r="AV31" i="14"/>
  <c r="AP31" i="14" s="1"/>
  <c r="AO31" i="14"/>
  <c r="AW31" i="14"/>
  <c r="AQ31" i="14" s="1"/>
  <c r="AP22" i="14"/>
  <c r="BB40" i="14"/>
  <c r="AV36" i="14"/>
  <c r="AP36" i="14" s="1"/>
  <c r="AO36" i="14"/>
  <c r="AW36" i="14"/>
  <c r="AQ36" i="14" s="1"/>
  <c r="AQ29" i="14"/>
  <c r="AP24" i="14"/>
  <c r="BG34" i="13"/>
  <c r="BF34" i="13"/>
  <c r="BE34" i="13"/>
  <c r="AY34" i="13"/>
  <c r="AU34" i="13"/>
  <c r="AT34" i="13"/>
  <c r="AN34" i="13"/>
  <c r="AF34" i="13"/>
  <c r="AE34" i="13"/>
  <c r="X34" i="13"/>
  <c r="V34" i="13"/>
  <c r="Y34" i="13" s="1"/>
  <c r="T34" i="13"/>
  <c r="R34" i="13"/>
  <c r="S34" i="13" s="1"/>
  <c r="O34" i="13"/>
  <c r="N34" i="13"/>
  <c r="K34" i="13"/>
  <c r="J34" i="13"/>
  <c r="AK34" i="13" s="1"/>
  <c r="BF33" i="13"/>
  <c r="BI33" i="13" s="1"/>
  <c r="BE33" i="13"/>
  <c r="BH33" i="13" s="1"/>
  <c r="AU33" i="13"/>
  <c r="AT33" i="13"/>
  <c r="AN33" i="13"/>
  <c r="AE33" i="13"/>
  <c r="Y33" i="13"/>
  <c r="X33" i="13"/>
  <c r="V33" i="13"/>
  <c r="T33" i="13"/>
  <c r="R33" i="13"/>
  <c r="S33" i="13" s="1"/>
  <c r="O33" i="13"/>
  <c r="N33" i="13"/>
  <c r="AF33" i="13" s="1"/>
  <c r="K33" i="13"/>
  <c r="J33" i="13"/>
  <c r="BG32" i="13"/>
  <c r="BF32" i="13"/>
  <c r="BE32" i="13"/>
  <c r="AY32" i="13"/>
  <c r="AU32" i="13"/>
  <c r="AT32" i="13"/>
  <c r="AN32" i="13"/>
  <c r="AF32" i="13"/>
  <c r="AE32" i="13"/>
  <c r="X32" i="13"/>
  <c r="V32" i="13"/>
  <c r="Y32" i="13" s="1"/>
  <c r="T32" i="13"/>
  <c r="R32" i="13"/>
  <c r="S32" i="13" s="1"/>
  <c r="O32" i="13"/>
  <c r="N32" i="13"/>
  <c r="K32" i="13"/>
  <c r="J32" i="13"/>
  <c r="AK32" i="13" s="1"/>
  <c r="BF31" i="13"/>
  <c r="BI31" i="13" s="1"/>
  <c r="BE31" i="13"/>
  <c r="BH31" i="13" s="1"/>
  <c r="AU31" i="13"/>
  <c r="AT31" i="13"/>
  <c r="AN31" i="13"/>
  <c r="AE31" i="13"/>
  <c r="Y31" i="13"/>
  <c r="X31" i="13"/>
  <c r="V31" i="13"/>
  <c r="T31" i="13"/>
  <c r="R31" i="13"/>
  <c r="S31" i="13" s="1"/>
  <c r="O31" i="13"/>
  <c r="N31" i="13"/>
  <c r="AF31" i="13" s="1"/>
  <c r="K31" i="13"/>
  <c r="J31" i="13"/>
  <c r="BG30" i="13"/>
  <c r="BF30" i="13"/>
  <c r="BE30" i="13"/>
  <c r="AY30" i="13"/>
  <c r="AU30" i="13"/>
  <c r="AT30" i="13"/>
  <c r="AN30" i="13"/>
  <c r="AF30" i="13"/>
  <c r="AE30" i="13"/>
  <c r="X30" i="13"/>
  <c r="V30" i="13"/>
  <c r="Y30" i="13" s="1"/>
  <c r="T30" i="13"/>
  <c r="R30" i="13"/>
  <c r="S30" i="13" s="1"/>
  <c r="O30" i="13"/>
  <c r="N30" i="13"/>
  <c r="K30" i="13"/>
  <c r="J30" i="13"/>
  <c r="AK30" i="13" s="1"/>
  <c r="BF29" i="13"/>
  <c r="BI29" i="13" s="1"/>
  <c r="BE29" i="13"/>
  <c r="BH29" i="13" s="1"/>
  <c r="AU29" i="13"/>
  <c r="AT29" i="13"/>
  <c r="AN29" i="13"/>
  <c r="AE29" i="13"/>
  <c r="Y29" i="13"/>
  <c r="X29" i="13"/>
  <c r="V29" i="13"/>
  <c r="T29" i="13"/>
  <c r="R29" i="13"/>
  <c r="S29" i="13" s="1"/>
  <c r="O29" i="13"/>
  <c r="N29" i="13"/>
  <c r="AF29" i="13" s="1"/>
  <c r="K29" i="13"/>
  <c r="J29" i="13"/>
  <c r="BG28" i="13"/>
  <c r="BF28" i="13"/>
  <c r="BE28" i="13"/>
  <c r="AY28" i="13"/>
  <c r="AU28" i="13"/>
  <c r="AT28" i="13"/>
  <c r="AN28" i="13"/>
  <c r="AF28" i="13"/>
  <c r="AE28" i="13"/>
  <c r="X28" i="13"/>
  <c r="V28" i="13"/>
  <c r="Y28" i="13" s="1"/>
  <c r="T28" i="13"/>
  <c r="R28" i="13"/>
  <c r="S28" i="13" s="1"/>
  <c r="O28" i="13"/>
  <c r="N28" i="13"/>
  <c r="K28" i="13"/>
  <c r="J28" i="13"/>
  <c r="AK28" i="13" s="1"/>
  <c r="BF27" i="13"/>
  <c r="BI27" i="13" s="1"/>
  <c r="BE27" i="13"/>
  <c r="BH27" i="13" s="1"/>
  <c r="AU27" i="13"/>
  <c r="AT27" i="13"/>
  <c r="AN27" i="13"/>
  <c r="AE27" i="13"/>
  <c r="Y27" i="13"/>
  <c r="X27" i="13"/>
  <c r="V27" i="13"/>
  <c r="T27" i="13"/>
  <c r="R27" i="13"/>
  <c r="S27" i="13" s="1"/>
  <c r="O27" i="13"/>
  <c r="N27" i="13"/>
  <c r="AF27" i="13" s="1"/>
  <c r="K27" i="13"/>
  <c r="J27" i="13"/>
  <c r="BG26" i="13"/>
  <c r="BF26" i="13"/>
  <c r="BE26" i="13"/>
  <c r="AY26" i="13"/>
  <c r="AU26" i="13"/>
  <c r="AT26" i="13"/>
  <c r="AN26" i="13"/>
  <c r="AF26" i="13"/>
  <c r="AE26" i="13"/>
  <c r="X26" i="13"/>
  <c r="V26" i="13"/>
  <c r="Y26" i="13" s="1"/>
  <c r="T26" i="13"/>
  <c r="R26" i="13"/>
  <c r="S26" i="13" s="1"/>
  <c r="O26" i="13"/>
  <c r="N26" i="13"/>
  <c r="K26" i="13"/>
  <c r="J26" i="13"/>
  <c r="AK26" i="13" s="1"/>
  <c r="BT25" i="13"/>
  <c r="BO25" i="13"/>
  <c r="BM25" i="13"/>
  <c r="BN25" i="13" s="1"/>
  <c r="BL25" i="13"/>
  <c r="BH25" i="13"/>
  <c r="BF25" i="13"/>
  <c r="BE25" i="13"/>
  <c r="BA25" i="13"/>
  <c r="AX25" i="13"/>
  <c r="AU25" i="13"/>
  <c r="AT25" i="13"/>
  <c r="AN25" i="13"/>
  <c r="BR25" i="13" s="1"/>
  <c r="AK25" i="13"/>
  <c r="AE25" i="13"/>
  <c r="Y25" i="13"/>
  <c r="X25" i="13"/>
  <c r="V25" i="13"/>
  <c r="AY25" i="13" s="1"/>
  <c r="T25" i="13"/>
  <c r="S25" i="13"/>
  <c r="R25" i="13"/>
  <c r="O25" i="13"/>
  <c r="N25" i="13"/>
  <c r="AF25" i="13" s="1"/>
  <c r="K25" i="13"/>
  <c r="AZ25" i="13" s="1"/>
  <c r="BB25" i="13" s="1"/>
  <c r="J25" i="13"/>
  <c r="AJ25" i="13" s="1"/>
  <c r="AS25" i="13" s="1"/>
  <c r="BN24" i="13"/>
  <c r="BM24" i="13"/>
  <c r="BL24" i="13"/>
  <c r="BO24" i="13" s="1"/>
  <c r="BF24" i="13"/>
  <c r="BE24" i="13"/>
  <c r="BA24" i="13"/>
  <c r="AY24" i="13"/>
  <c r="AU24" i="13"/>
  <c r="AT24" i="13"/>
  <c r="AN24" i="13"/>
  <c r="AE24" i="13"/>
  <c r="Y24" i="13"/>
  <c r="X24" i="13"/>
  <c r="V24" i="13"/>
  <c r="AX24" i="13" s="1"/>
  <c r="T24" i="13"/>
  <c r="AJ24" i="13" s="1"/>
  <c r="AS24" i="13" s="1"/>
  <c r="S24" i="13"/>
  <c r="R24" i="13"/>
  <c r="O24" i="13"/>
  <c r="N24" i="13"/>
  <c r="AF24" i="13" s="1"/>
  <c r="K24" i="13"/>
  <c r="AZ24" i="13" s="1"/>
  <c r="J24" i="13"/>
  <c r="AK24" i="13" s="1"/>
  <c r="BS23" i="13"/>
  <c r="BR23" i="13"/>
  <c r="BO23" i="13"/>
  <c r="BM23" i="13"/>
  <c r="BP23" i="13" s="1"/>
  <c r="BL23" i="13"/>
  <c r="BH23" i="13"/>
  <c r="BF23" i="13"/>
  <c r="BE23" i="13"/>
  <c r="AZ23" i="13"/>
  <c r="AY23" i="13"/>
  <c r="AU23" i="13"/>
  <c r="AT23" i="13"/>
  <c r="AN23" i="13"/>
  <c r="BT23" i="13" s="1"/>
  <c r="AF23" i="13"/>
  <c r="AE23" i="13"/>
  <c r="X23" i="13"/>
  <c r="V23" i="13"/>
  <c r="AX23" i="13" s="1"/>
  <c r="T23" i="13"/>
  <c r="R23" i="13"/>
  <c r="S23" i="13" s="1"/>
  <c r="O23" i="13"/>
  <c r="N23" i="13"/>
  <c r="K23" i="13"/>
  <c r="J23" i="13"/>
  <c r="BA23" i="13" s="1"/>
  <c r="BB23" i="13" s="1"/>
  <c r="BT22" i="13"/>
  <c r="BR22" i="13"/>
  <c r="BM22" i="13"/>
  <c r="BL22" i="13"/>
  <c r="BI22" i="13"/>
  <c r="BH22" i="13"/>
  <c r="BG22" i="13"/>
  <c r="BJ22" i="13" s="1"/>
  <c r="BF22" i="13"/>
  <c r="BE22" i="13"/>
  <c r="BA22" i="13"/>
  <c r="AU22" i="13"/>
  <c r="AT22" i="13"/>
  <c r="AN22" i="13"/>
  <c r="BS22" i="13" s="1"/>
  <c r="AF22" i="13"/>
  <c r="AE22" i="13"/>
  <c r="X22" i="13"/>
  <c r="V22" i="13"/>
  <c r="Y22" i="13" s="1"/>
  <c r="T22" i="13"/>
  <c r="R22" i="13"/>
  <c r="S22" i="13" s="1"/>
  <c r="O22" i="13"/>
  <c r="N22" i="13"/>
  <c r="K22" i="13"/>
  <c r="J22" i="13"/>
  <c r="BQ21" i="13"/>
  <c r="BP21" i="13"/>
  <c r="BM21" i="13"/>
  <c r="BN21" i="13" s="1"/>
  <c r="BL21" i="13"/>
  <c r="BO21" i="13" s="1"/>
  <c r="BF21" i="13"/>
  <c r="BI21" i="13" s="1"/>
  <c r="BE21" i="13"/>
  <c r="BH21" i="13" s="1"/>
  <c r="AY21" i="13"/>
  <c r="AU21" i="13"/>
  <c r="AT21" i="13"/>
  <c r="AN21" i="13"/>
  <c r="BR21" i="13" s="1"/>
  <c r="AE21" i="13"/>
  <c r="Y21" i="13"/>
  <c r="X21" i="13"/>
  <c r="V21" i="13"/>
  <c r="T21" i="13"/>
  <c r="R21" i="13"/>
  <c r="S21" i="13" s="1"/>
  <c r="O21" i="13"/>
  <c r="N21" i="13"/>
  <c r="AF21" i="13" s="1"/>
  <c r="K21" i="13"/>
  <c r="AZ21" i="13" s="1"/>
  <c r="J21" i="13"/>
  <c r="AJ21" i="13" s="1"/>
  <c r="AS21" i="13" s="1"/>
  <c r="BS20" i="13"/>
  <c r="BR20" i="13"/>
  <c r="BO20" i="13"/>
  <c r="BM20" i="13"/>
  <c r="BL20" i="13"/>
  <c r="BI20" i="13"/>
  <c r="BH20" i="13"/>
  <c r="BF20" i="13"/>
  <c r="BG20" i="13" s="1"/>
  <c r="BJ20" i="13" s="1"/>
  <c r="BE20" i="13"/>
  <c r="AU20" i="13"/>
  <c r="AT20" i="13"/>
  <c r="AN20" i="13"/>
  <c r="BT20" i="13" s="1"/>
  <c r="AF20" i="13"/>
  <c r="AE20" i="13"/>
  <c r="X20" i="13"/>
  <c r="V20" i="13"/>
  <c r="T20" i="13"/>
  <c r="R20" i="13"/>
  <c r="S20" i="13" s="1"/>
  <c r="O20" i="13"/>
  <c r="N20" i="13"/>
  <c r="K20" i="13"/>
  <c r="AZ20" i="13" s="1"/>
  <c r="J20" i="13"/>
  <c r="AJ20" i="13" s="1"/>
  <c r="AS20" i="13" s="1"/>
  <c r="BT19" i="13"/>
  <c r="BP19" i="13"/>
  <c r="BM19" i="13"/>
  <c r="BN19" i="13" s="1"/>
  <c r="BQ19" i="13" s="1"/>
  <c r="BL19" i="13"/>
  <c r="BO19" i="13" s="1"/>
  <c r="BG19" i="13"/>
  <c r="BJ19" i="13" s="1"/>
  <c r="BF19" i="13"/>
  <c r="BE19" i="13"/>
  <c r="BA19" i="13"/>
  <c r="BB19" i="13" s="1"/>
  <c r="AX19" i="13"/>
  <c r="AU19" i="13"/>
  <c r="AT19" i="13"/>
  <c r="AN19" i="13"/>
  <c r="AF19" i="13"/>
  <c r="AE19" i="13"/>
  <c r="X19" i="13"/>
  <c r="V19" i="13"/>
  <c r="T19" i="13"/>
  <c r="R19" i="13"/>
  <c r="S19" i="13" s="1"/>
  <c r="O19" i="13"/>
  <c r="N19" i="13"/>
  <c r="K19" i="13"/>
  <c r="AZ19" i="13" s="1"/>
  <c r="J19" i="13"/>
  <c r="BM18" i="13"/>
  <c r="BN18" i="13" s="1"/>
  <c r="BL18" i="13"/>
  <c r="BF18" i="13"/>
  <c r="BE18" i="13"/>
  <c r="BA18" i="13"/>
  <c r="BB18" i="13" s="1"/>
  <c r="AZ18" i="13"/>
  <c r="AU18" i="13"/>
  <c r="AT18" i="13"/>
  <c r="AN18" i="13"/>
  <c r="AE18" i="13"/>
  <c r="Y18" i="13"/>
  <c r="X18" i="13"/>
  <c r="V18" i="13"/>
  <c r="AY18" i="13" s="1"/>
  <c r="T18" i="13"/>
  <c r="AK18" i="13" s="1"/>
  <c r="S18" i="13"/>
  <c r="R18" i="13"/>
  <c r="O18" i="13"/>
  <c r="N18" i="13"/>
  <c r="AF18" i="13" s="1"/>
  <c r="K18" i="13"/>
  <c r="J18" i="13"/>
  <c r="AJ18" i="13" s="1"/>
  <c r="AS18" i="13" s="1"/>
  <c r="BR17" i="13"/>
  <c r="BN17" i="13"/>
  <c r="BQ17" i="13" s="1"/>
  <c r="BM17" i="13"/>
  <c r="BL17" i="13"/>
  <c r="BI17" i="13"/>
  <c r="BF17" i="13"/>
  <c r="BG17" i="13" s="1"/>
  <c r="BJ17" i="13" s="1"/>
  <c r="BE17" i="13"/>
  <c r="BH17" i="13" s="1"/>
  <c r="AZ17" i="13"/>
  <c r="AU17" i="13"/>
  <c r="AT17" i="13"/>
  <c r="AN17" i="13"/>
  <c r="BO17" i="13" s="1"/>
  <c r="AE17" i="13"/>
  <c r="Y17" i="13"/>
  <c r="X17" i="13"/>
  <c r="V17" i="13"/>
  <c r="T17" i="13"/>
  <c r="R17" i="13"/>
  <c r="S17" i="13" s="1"/>
  <c r="O17" i="13"/>
  <c r="N17" i="13"/>
  <c r="AF17" i="13" s="1"/>
  <c r="K17" i="13"/>
  <c r="J17" i="13"/>
  <c r="AY17" i="13" s="1"/>
  <c r="BS16" i="13"/>
  <c r="BR16" i="13"/>
  <c r="BO16" i="13"/>
  <c r="BM16" i="13"/>
  <c r="BP16" i="13" s="1"/>
  <c r="BL16" i="13"/>
  <c r="BJ16" i="13"/>
  <c r="BH16" i="13"/>
  <c r="BF16" i="13"/>
  <c r="BG16" i="13" s="1"/>
  <c r="BE16" i="13"/>
  <c r="AZ16" i="13"/>
  <c r="AU16" i="13"/>
  <c r="AT16" i="13"/>
  <c r="AN16" i="13"/>
  <c r="BT16" i="13" s="1"/>
  <c r="AK16" i="13"/>
  <c r="AF16" i="13"/>
  <c r="AE16" i="13"/>
  <c r="X16" i="13"/>
  <c r="V16" i="13"/>
  <c r="T16" i="13"/>
  <c r="S16" i="13"/>
  <c r="R16" i="13"/>
  <c r="O16" i="13"/>
  <c r="N16" i="13"/>
  <c r="K16" i="13"/>
  <c r="J16" i="13"/>
  <c r="BA16" i="13" s="1"/>
  <c r="BB16" i="13" s="1"/>
  <c r="BT15" i="13"/>
  <c r="BN15" i="13"/>
  <c r="BQ15" i="13" s="1"/>
  <c r="BM15" i="13"/>
  <c r="BP15" i="13" s="1"/>
  <c r="BL15" i="13"/>
  <c r="BH15" i="13"/>
  <c r="BG15" i="13"/>
  <c r="BF15" i="13"/>
  <c r="BE15" i="13"/>
  <c r="BA15" i="13"/>
  <c r="AU15" i="13"/>
  <c r="AT15" i="13"/>
  <c r="AN15" i="13"/>
  <c r="BS15" i="13" s="1"/>
  <c r="AF15" i="13"/>
  <c r="AE15" i="13"/>
  <c r="V15" i="13"/>
  <c r="Y15" i="13" s="1"/>
  <c r="T15" i="13"/>
  <c r="AJ15" i="13" s="1"/>
  <c r="S15" i="13"/>
  <c r="R15" i="13"/>
  <c r="O15" i="13"/>
  <c r="N15" i="13"/>
  <c r="K15" i="13"/>
  <c r="AZ15" i="13" s="1"/>
  <c r="BB15" i="13" s="1"/>
  <c r="J15" i="13"/>
  <c r="AK15" i="13" s="1"/>
  <c r="BT14" i="13"/>
  <c r="BR14" i="13"/>
  <c r="BO14" i="13"/>
  <c r="BN14" i="13"/>
  <c r="BM14" i="13"/>
  <c r="BL14" i="13"/>
  <c r="BG14" i="13"/>
  <c r="BJ14" i="13" s="1"/>
  <c r="BF14" i="13"/>
  <c r="BI14" i="13" s="1"/>
  <c r="BE14" i="13"/>
  <c r="BH14" i="13" s="1"/>
  <c r="BA14" i="13"/>
  <c r="AZ14" i="13"/>
  <c r="AY14" i="13"/>
  <c r="AU14" i="13"/>
  <c r="AT14" i="13"/>
  <c r="AN14" i="13"/>
  <c r="BP14" i="13" s="1"/>
  <c r="AK14" i="13"/>
  <c r="AE14" i="13"/>
  <c r="T14" i="13"/>
  <c r="AJ14" i="13" s="1"/>
  <c r="AS14" i="13" s="1"/>
  <c r="S14" i="13"/>
  <c r="R14" i="13"/>
  <c r="O14" i="13"/>
  <c r="N14" i="13"/>
  <c r="AF14" i="13" s="1"/>
  <c r="K14" i="13"/>
  <c r="J14" i="13"/>
  <c r="AX14" i="13" s="1"/>
  <c r="BT13" i="13"/>
  <c r="BS13" i="13"/>
  <c r="BR13" i="13"/>
  <c r="BO13" i="13"/>
  <c r="BN13" i="13"/>
  <c r="BQ13" i="13" s="1"/>
  <c r="BM13" i="13"/>
  <c r="BL13" i="13"/>
  <c r="BJ13" i="13"/>
  <c r="BI13" i="13"/>
  <c r="BG13" i="13"/>
  <c r="BF13" i="13"/>
  <c r="BE13" i="13"/>
  <c r="BH13" i="13" s="1"/>
  <c r="BA13" i="13"/>
  <c r="AY13" i="13"/>
  <c r="AU13" i="13"/>
  <c r="AT13" i="13"/>
  <c r="AN13" i="13"/>
  <c r="BP13" i="13" s="1"/>
  <c r="AK13" i="13"/>
  <c r="AJ13" i="13"/>
  <c r="AE13" i="13"/>
  <c r="T13" i="13"/>
  <c r="S13" i="13"/>
  <c r="R13" i="13"/>
  <c r="O13" i="13"/>
  <c r="N13" i="13"/>
  <c r="AF13" i="13" s="1"/>
  <c r="K13" i="13"/>
  <c r="AZ13" i="13" s="1"/>
  <c r="J13" i="13"/>
  <c r="AX13" i="13" s="1"/>
  <c r="BT12" i="13"/>
  <c r="BR12" i="13"/>
  <c r="BO12" i="13"/>
  <c r="BN12" i="13"/>
  <c r="BM12" i="13"/>
  <c r="BL12" i="13"/>
  <c r="BG12" i="13"/>
  <c r="BJ12" i="13" s="1"/>
  <c r="BF12" i="13"/>
  <c r="BI12" i="13" s="1"/>
  <c r="BE12" i="13"/>
  <c r="BH12" i="13" s="1"/>
  <c r="BA12" i="13"/>
  <c r="AZ12" i="13"/>
  <c r="AY12" i="13"/>
  <c r="AU12" i="13"/>
  <c r="AT12" i="13"/>
  <c r="AN12" i="13"/>
  <c r="BP12" i="13" s="1"/>
  <c r="AK12" i="13"/>
  <c r="AE12" i="13"/>
  <c r="T12" i="13"/>
  <c r="AJ12" i="13" s="1"/>
  <c r="AS12" i="13" s="1"/>
  <c r="S12" i="13"/>
  <c r="R12" i="13"/>
  <c r="O12" i="13"/>
  <c r="N12" i="13"/>
  <c r="AF12" i="13" s="1"/>
  <c r="K12" i="13"/>
  <c r="J12" i="13"/>
  <c r="AX12" i="13" s="1"/>
  <c r="BT11" i="13"/>
  <c r="BS11" i="13"/>
  <c r="BR11" i="13"/>
  <c r="BO11" i="13"/>
  <c r="BN11" i="13"/>
  <c r="BQ11" i="13" s="1"/>
  <c r="BM11" i="13"/>
  <c r="BL11" i="13"/>
  <c r="BJ11" i="13"/>
  <c r="BI11" i="13"/>
  <c r="BG11" i="13"/>
  <c r="BF11" i="13"/>
  <c r="BE11" i="13"/>
  <c r="BH11" i="13" s="1"/>
  <c r="BA11" i="13"/>
  <c r="AY11" i="13"/>
  <c r="AU11" i="13"/>
  <c r="AT11" i="13"/>
  <c r="AS11" i="13"/>
  <c r="AN11" i="13"/>
  <c r="BP11" i="13" s="1"/>
  <c r="AK11" i="13"/>
  <c r="AJ11" i="13"/>
  <c r="AE11" i="13"/>
  <c r="T11" i="13"/>
  <c r="S11" i="13"/>
  <c r="R11" i="13"/>
  <c r="O11" i="13"/>
  <c r="N11" i="13"/>
  <c r="AF11" i="13" s="1"/>
  <c r="K11" i="13"/>
  <c r="AZ11" i="13" s="1"/>
  <c r="J11" i="13"/>
  <c r="AX11" i="13" s="1"/>
  <c r="BR10" i="13"/>
  <c r="BN10" i="13"/>
  <c r="BM10" i="13"/>
  <c r="BL10" i="13"/>
  <c r="BG10" i="13"/>
  <c r="BJ10" i="13" s="1"/>
  <c r="BF10" i="13"/>
  <c r="BI10" i="13" s="1"/>
  <c r="BE10" i="13"/>
  <c r="BA10" i="13"/>
  <c r="AZ10" i="13"/>
  <c r="AY10" i="13"/>
  <c r="AU10" i="13"/>
  <c r="AT10" i="13"/>
  <c r="AN10" i="13"/>
  <c r="BP10" i="13" s="1"/>
  <c r="AE10" i="13"/>
  <c r="T10" i="13"/>
  <c r="AK10" i="13" s="1"/>
  <c r="S10" i="13"/>
  <c r="R10" i="13"/>
  <c r="O10" i="13"/>
  <c r="N10" i="13"/>
  <c r="AF10" i="13" s="1"/>
  <c r="K10" i="13"/>
  <c r="J10" i="13"/>
  <c r="AX10" i="13" s="1"/>
  <c r="BT9" i="13"/>
  <c r="BS9" i="13"/>
  <c r="BR9" i="13"/>
  <c r="BO9" i="13"/>
  <c r="BN9" i="13"/>
  <c r="BQ9" i="13" s="1"/>
  <c r="BM9" i="13"/>
  <c r="BL9" i="13"/>
  <c r="BJ9" i="13"/>
  <c r="BI9" i="13"/>
  <c r="BG9" i="13"/>
  <c r="BF9" i="13"/>
  <c r="BE9" i="13"/>
  <c r="BH9" i="13" s="1"/>
  <c r="BA9" i="13"/>
  <c r="AY9" i="13"/>
  <c r="AU9" i="13"/>
  <c r="AT9" i="13"/>
  <c r="AN9" i="13"/>
  <c r="BP9" i="13" s="1"/>
  <c r="AK9" i="13"/>
  <c r="AJ9" i="13"/>
  <c r="AE9" i="13"/>
  <c r="T9" i="13"/>
  <c r="S9" i="13"/>
  <c r="R9" i="13"/>
  <c r="O9" i="13"/>
  <c r="N9" i="13"/>
  <c r="AF9" i="13" s="1"/>
  <c r="K9" i="13"/>
  <c r="AZ9" i="13" s="1"/>
  <c r="J9" i="13"/>
  <c r="AX9" i="13" s="1"/>
  <c r="BR8" i="13"/>
  <c r="BP8" i="13"/>
  <c r="BN8" i="13"/>
  <c r="BM8" i="13"/>
  <c r="BL8" i="13"/>
  <c r="BO8" i="13" s="1"/>
  <c r="BG8" i="13"/>
  <c r="BJ8" i="13" s="1"/>
  <c r="BF8" i="13"/>
  <c r="BI8" i="13" s="1"/>
  <c r="BE8" i="13"/>
  <c r="BA8" i="13"/>
  <c r="AZ8" i="13"/>
  <c r="AY8" i="13"/>
  <c r="AX8" i="13"/>
  <c r="AU8" i="13"/>
  <c r="AT8" i="13"/>
  <c r="AN8" i="13"/>
  <c r="BT8" i="13" s="1"/>
  <c r="AJ8" i="13"/>
  <c r="AS8" i="13" s="1"/>
  <c r="AV8" i="13" s="1"/>
  <c r="AP8" i="13" s="1"/>
  <c r="AE8" i="13"/>
  <c r="T8" i="13"/>
  <c r="AK8" i="13" s="1"/>
  <c r="S8" i="13"/>
  <c r="R8" i="13"/>
  <c r="O8" i="13"/>
  <c r="N8" i="13"/>
  <c r="AF8" i="13" s="1"/>
  <c r="K8" i="13"/>
  <c r="BS7" i="13"/>
  <c r="BL7" i="13"/>
  <c r="BE7" i="13"/>
  <c r="BD7" i="13"/>
  <c r="BA7" i="13"/>
  <c r="AY7" i="13"/>
  <c r="AX7" i="13"/>
  <c r="AU7" i="13"/>
  <c r="AT7" i="13"/>
  <c r="AN7" i="13"/>
  <c r="AE7" i="13"/>
  <c r="T7" i="13"/>
  <c r="S7" i="13"/>
  <c r="R7" i="13"/>
  <c r="O7" i="13"/>
  <c r="N7" i="13"/>
  <c r="AF7" i="13" s="1"/>
  <c r="K7" i="13"/>
  <c r="AZ7" i="13" s="1"/>
  <c r="AO21" i="13" l="1"/>
  <c r="AW21" i="13"/>
  <c r="AQ21" i="13" s="1"/>
  <c r="AV21" i="13"/>
  <c r="BR7" i="13"/>
  <c r="BH7" i="13"/>
  <c r="BO7" i="13"/>
  <c r="AS9" i="13"/>
  <c r="AY16" i="13"/>
  <c r="AX16" i="13"/>
  <c r="Y16" i="13"/>
  <c r="AO8" i="13"/>
  <c r="AW8" i="13"/>
  <c r="AQ8" i="13" s="1"/>
  <c r="AO11" i="13"/>
  <c r="AV11" i="13"/>
  <c r="AP11" i="13" s="1"/>
  <c r="AS13" i="13"/>
  <c r="AO14" i="13"/>
  <c r="AW14" i="13"/>
  <c r="AQ14" i="13" s="1"/>
  <c r="AV14" i="13"/>
  <c r="AP14" i="13" s="1"/>
  <c r="AW20" i="13"/>
  <c r="AV20" i="13"/>
  <c r="AP20" i="13" s="1"/>
  <c r="AO20" i="13"/>
  <c r="AO12" i="13"/>
  <c r="AW12" i="13"/>
  <c r="AQ12" i="13" s="1"/>
  <c r="AV12" i="13"/>
  <c r="AP12" i="13" s="1"/>
  <c r="AO18" i="13"/>
  <c r="AW18" i="13"/>
  <c r="AQ18" i="13" s="1"/>
  <c r="AV18" i="13"/>
  <c r="AK7" i="13"/>
  <c r="AJ7" i="13"/>
  <c r="AS7" i="13" s="1"/>
  <c r="BT7" i="13"/>
  <c r="BM7" i="13"/>
  <c r="BF7" i="13"/>
  <c r="AW11" i="13"/>
  <c r="AQ11" i="13" s="1"/>
  <c r="AS15" i="13"/>
  <c r="AV25" i="13"/>
  <c r="AP25" i="13" s="1"/>
  <c r="AO25" i="13"/>
  <c r="AW25" i="13"/>
  <c r="AQ25" i="13" s="1"/>
  <c r="BR18" i="13"/>
  <c r="BH18" i="13"/>
  <c r="BB22" i="13"/>
  <c r="AO24" i="13"/>
  <c r="AW24" i="13"/>
  <c r="AQ24" i="13" s="1"/>
  <c r="AV24" i="13"/>
  <c r="AP24" i="13" s="1"/>
  <c r="BA27" i="13"/>
  <c r="AJ27" i="13"/>
  <c r="AS27" i="13" s="1"/>
  <c r="AY27" i="13"/>
  <c r="BA29" i="13"/>
  <c r="AJ29" i="13"/>
  <c r="AS29" i="13" s="1"/>
  <c r="AY29" i="13"/>
  <c r="BA31" i="13"/>
  <c r="AJ31" i="13"/>
  <c r="AS31" i="13" s="1"/>
  <c r="AY31" i="13"/>
  <c r="BA33" i="13"/>
  <c r="AJ33" i="13"/>
  <c r="AS33" i="13" s="1"/>
  <c r="AY33" i="13"/>
  <c r="BB8" i="13"/>
  <c r="BQ8" i="13"/>
  <c r="BS8" i="13"/>
  <c r="AJ10" i="13"/>
  <c r="AS10" i="13" s="1"/>
  <c r="BB10" i="13"/>
  <c r="BQ10" i="13"/>
  <c r="BS10" i="13"/>
  <c r="BB12" i="13"/>
  <c r="BQ12" i="13"/>
  <c r="BS12" i="13"/>
  <c r="BB14" i="13"/>
  <c r="BQ14" i="13"/>
  <c r="BS14" i="13"/>
  <c r="AX15" i="13"/>
  <c r="BI15" i="13"/>
  <c r="AJ16" i="13"/>
  <c r="AS16" i="13" s="1"/>
  <c r="BI16" i="13"/>
  <c r="BN16" i="13"/>
  <c r="BQ16" i="13" s="1"/>
  <c r="AX17" i="13"/>
  <c r="AJ17" i="13"/>
  <c r="AS17" i="13" s="1"/>
  <c r="BA17" i="13"/>
  <c r="BB17" i="13" s="1"/>
  <c r="BS18" i="13"/>
  <c r="Y19" i="13"/>
  <c r="AY19" i="13"/>
  <c r="BS19" i="13"/>
  <c r="BR19" i="13"/>
  <c r="BI19" i="13"/>
  <c r="BH19" i="13"/>
  <c r="Y20" i="13"/>
  <c r="AY20" i="13"/>
  <c r="AX21" i="13"/>
  <c r="BT24" i="13"/>
  <c r="BS24" i="13"/>
  <c r="BR24" i="13"/>
  <c r="BI26" i="13"/>
  <c r="BH26" i="13"/>
  <c r="AZ27" i="13"/>
  <c r="BI28" i="13"/>
  <c r="BH28" i="13"/>
  <c r="AZ29" i="13"/>
  <c r="BI30" i="13"/>
  <c r="BH30" i="13"/>
  <c r="AZ31" i="13"/>
  <c r="BI32" i="13"/>
  <c r="BH32" i="13"/>
  <c r="AZ33" i="13"/>
  <c r="BI34" i="13"/>
  <c r="BH34" i="13"/>
  <c r="BP18" i="13"/>
  <c r="BH8" i="13"/>
  <c r="BH10" i="13"/>
  <c r="BO10" i="13"/>
  <c r="BT10" i="13"/>
  <c r="AY15" i="13"/>
  <c r="BO15" i="13"/>
  <c r="AK17" i="13"/>
  <c r="BI18" i="13"/>
  <c r="BQ18" i="13"/>
  <c r="BT18" i="13"/>
  <c r="BP20" i="13"/>
  <c r="BN20" i="13"/>
  <c r="BQ20" i="13" s="1"/>
  <c r="AK22" i="13"/>
  <c r="AJ22" i="13"/>
  <c r="AS22" i="13" s="1"/>
  <c r="BG23" i="13"/>
  <c r="BJ23" i="13" s="1"/>
  <c r="BI23" i="13"/>
  <c r="AK27" i="13"/>
  <c r="AK29" i="13"/>
  <c r="AK31" i="13"/>
  <c r="AK33" i="13"/>
  <c r="BB7" i="13"/>
  <c r="BB9" i="13"/>
  <c r="BB11" i="13"/>
  <c r="BB13" i="13"/>
  <c r="BJ15" i="13"/>
  <c r="BR15" i="13"/>
  <c r="BT17" i="13"/>
  <c r="BP17" i="13"/>
  <c r="BS17" i="13"/>
  <c r="BG18" i="13"/>
  <c r="BJ18" i="13" s="1"/>
  <c r="BO18" i="13"/>
  <c r="AK19" i="13"/>
  <c r="BA20" i="13"/>
  <c r="BB20" i="13" s="1"/>
  <c r="AK20" i="13"/>
  <c r="AX20" i="13"/>
  <c r="BA21" i="13"/>
  <c r="BB21" i="13" s="1"/>
  <c r="AK21" i="13"/>
  <c r="BP22" i="13"/>
  <c r="BN22" i="13"/>
  <c r="BQ22" i="13" s="1"/>
  <c r="BI24" i="13"/>
  <c r="BG24" i="13"/>
  <c r="BJ24" i="13" s="1"/>
  <c r="BP24" i="13"/>
  <c r="AZ22" i="13"/>
  <c r="BP25" i="13"/>
  <c r="BA26" i="13"/>
  <c r="BB26" i="13" s="1"/>
  <c r="BJ26" i="13"/>
  <c r="BA28" i="13"/>
  <c r="BJ28" i="13"/>
  <c r="BA30" i="13"/>
  <c r="BB30" i="13" s="1"/>
  <c r="BJ30" i="13"/>
  <c r="BA32" i="13"/>
  <c r="BJ32" i="13"/>
  <c r="BA34" i="13"/>
  <c r="BB34" i="13" s="1"/>
  <c r="BJ34" i="13"/>
  <c r="AX18" i="13"/>
  <c r="AJ19" i="13"/>
  <c r="AS19" i="13" s="1"/>
  <c r="BG21" i="13"/>
  <c r="BJ21" i="13" s="1"/>
  <c r="BS21" i="13"/>
  <c r="AX22" i="13"/>
  <c r="AJ23" i="13"/>
  <c r="AS23" i="13" s="1"/>
  <c r="BN23" i="13"/>
  <c r="BQ23" i="13" s="1"/>
  <c r="BB24" i="13"/>
  <c r="BQ24" i="13"/>
  <c r="BI25" i="13"/>
  <c r="BQ25" i="13"/>
  <c r="AZ26" i="13"/>
  <c r="BG27" i="13"/>
  <c r="BJ27" i="13" s="1"/>
  <c r="AZ28" i="13"/>
  <c r="BG29" i="13"/>
  <c r="BJ29" i="13" s="1"/>
  <c r="AZ30" i="13"/>
  <c r="BG31" i="13"/>
  <c r="BJ31" i="13" s="1"/>
  <c r="AZ32" i="13"/>
  <c r="BG33" i="13"/>
  <c r="BJ33" i="13" s="1"/>
  <c r="AZ34" i="13"/>
  <c r="BT21" i="13"/>
  <c r="AY22" i="13"/>
  <c r="BO22" i="13"/>
  <c r="Y23" i="13"/>
  <c r="AK23" i="13"/>
  <c r="BH24" i="13"/>
  <c r="BG25" i="13"/>
  <c r="BJ25" i="13" s="1"/>
  <c r="BS25" i="13"/>
  <c r="AJ26" i="13"/>
  <c r="AS26" i="13" s="1"/>
  <c r="AX26" i="13"/>
  <c r="AX27" i="13"/>
  <c r="AJ28" i="13"/>
  <c r="AS28" i="13" s="1"/>
  <c r="AX28" i="13"/>
  <c r="AX29" i="13"/>
  <c r="AJ30" i="13"/>
  <c r="AS30" i="13" s="1"/>
  <c r="AX30" i="13"/>
  <c r="AX31" i="13"/>
  <c r="AJ32" i="13"/>
  <c r="AS32" i="13" s="1"/>
  <c r="AX32" i="13"/>
  <c r="AX33" i="13"/>
  <c r="AJ34" i="13"/>
  <c r="AS34" i="13" s="1"/>
  <c r="AX34" i="13"/>
  <c r="AV32" i="13" l="1"/>
  <c r="AP32" i="13" s="1"/>
  <c r="AW32" i="13"/>
  <c r="AQ32" i="13" s="1"/>
  <c r="AO32" i="13"/>
  <c r="BG7" i="13"/>
  <c r="BJ7" i="13" s="1"/>
  <c r="BI7" i="13"/>
  <c r="AV34" i="13"/>
  <c r="AP34" i="13" s="1"/>
  <c r="AW34" i="13"/>
  <c r="AQ34" i="13" s="1"/>
  <c r="AO34" i="13"/>
  <c r="AV26" i="13"/>
  <c r="AP26" i="13" s="1"/>
  <c r="AW26" i="13"/>
  <c r="AQ26" i="13" s="1"/>
  <c r="AO26" i="13"/>
  <c r="BB32" i="13"/>
  <c r="BB28" i="13"/>
  <c r="AO17" i="13"/>
  <c r="AW17" i="13"/>
  <c r="AQ17" i="13" s="1"/>
  <c r="AV17" i="13"/>
  <c r="AP17" i="13" s="1"/>
  <c r="AW16" i="13"/>
  <c r="AQ16" i="13" s="1"/>
  <c r="AV16" i="13"/>
  <c r="AP16" i="13" s="1"/>
  <c r="AO16" i="13"/>
  <c r="AO10" i="13"/>
  <c r="AW10" i="13"/>
  <c r="AQ10" i="13" s="1"/>
  <c r="AV10" i="13"/>
  <c r="AP10" i="13" s="1"/>
  <c r="AO31" i="13"/>
  <c r="AV31" i="13"/>
  <c r="AP31" i="13" s="1"/>
  <c r="AW31" i="13"/>
  <c r="AQ31" i="13" s="1"/>
  <c r="BB29" i="13"/>
  <c r="BP7" i="13"/>
  <c r="BN7" i="13"/>
  <c r="BQ7" i="13" s="1"/>
  <c r="AP18" i="13"/>
  <c r="AQ20" i="13"/>
  <c r="AO13" i="13"/>
  <c r="AV13" i="13"/>
  <c r="AP13" i="13" s="1"/>
  <c r="AW13" i="13"/>
  <c r="AQ13" i="13" s="1"/>
  <c r="AO9" i="13"/>
  <c r="AV9" i="13"/>
  <c r="AP9" i="13" s="1"/>
  <c r="AW9" i="13"/>
  <c r="AQ9" i="13" s="1"/>
  <c r="AP21" i="13"/>
  <c r="AW23" i="13"/>
  <c r="AQ23" i="13" s="1"/>
  <c r="AV23" i="13"/>
  <c r="AP23" i="13" s="1"/>
  <c r="AO23" i="13"/>
  <c r="AV28" i="13"/>
  <c r="AP28" i="13" s="1"/>
  <c r="AW28" i="13"/>
  <c r="AQ28" i="13" s="1"/>
  <c r="AO28" i="13"/>
  <c r="AV22" i="13"/>
  <c r="AP22" i="13" s="1"/>
  <c r="AW22" i="13"/>
  <c r="AQ22" i="13" s="1"/>
  <c r="AO22" i="13"/>
  <c r="AO33" i="13"/>
  <c r="AV33" i="13"/>
  <c r="AP33" i="13" s="1"/>
  <c r="AW33" i="13"/>
  <c r="AQ33" i="13" s="1"/>
  <c r="BB31" i="13"/>
  <c r="AV15" i="13"/>
  <c r="AP15" i="13" s="1"/>
  <c r="AO15" i="13"/>
  <c r="AW15" i="13"/>
  <c r="AQ15" i="13" s="1"/>
  <c r="AV19" i="13"/>
  <c r="AP19" i="13" s="1"/>
  <c r="AW19" i="13"/>
  <c r="AQ19" i="13" s="1"/>
  <c r="AO19" i="13"/>
  <c r="AO29" i="13"/>
  <c r="AV29" i="13"/>
  <c r="AP29" i="13" s="1"/>
  <c r="AW29" i="13"/>
  <c r="AQ29" i="13" s="1"/>
  <c r="BB27" i="13"/>
  <c r="AV30" i="13"/>
  <c r="AP30" i="13" s="1"/>
  <c r="AW30" i="13"/>
  <c r="AQ30" i="13" s="1"/>
  <c r="AO30" i="13"/>
  <c r="BB33" i="13"/>
  <c r="AO27" i="13"/>
  <c r="AV27" i="13"/>
  <c r="AP27" i="13" s="1"/>
  <c r="AW27" i="13"/>
  <c r="AQ27" i="13" s="1"/>
  <c r="AO7" i="13"/>
  <c r="AW7" i="13"/>
  <c r="AQ7" i="13" s="1"/>
  <c r="AV7" i="13"/>
  <c r="AP7" i="13" s="1"/>
  <c r="Z13" i="6" l="1"/>
  <c r="A13" i="6"/>
  <c r="A3" i="6"/>
  <c r="A4" i="6"/>
  <c r="A5" i="6"/>
  <c r="A6" i="6"/>
  <c r="A7" i="6"/>
  <c r="A8" i="6"/>
  <c r="A9" i="6"/>
  <c r="A10" i="6"/>
  <c r="A11" i="6"/>
  <c r="A12" i="6"/>
  <c r="A2" i="6"/>
  <c r="Z12" i="6" l="1"/>
  <c r="Z11" i="6"/>
  <c r="Z10" i="6"/>
  <c r="Z9" i="6"/>
  <c r="Z8" i="6"/>
  <c r="Z7" i="6"/>
  <c r="Z6" i="6"/>
  <c r="Z5" i="6"/>
  <c r="Z4" i="6"/>
  <c r="Z3" i="6"/>
  <c r="Z2" i="6"/>
  <c r="Z17" i="9" l="1"/>
  <c r="AB17" i="9" s="1"/>
  <c r="AC17" i="9" s="1"/>
  <c r="N17" i="9"/>
  <c r="O17" i="9" s="1"/>
  <c r="AC16" i="9"/>
  <c r="O16" i="9"/>
  <c r="N16" i="9"/>
  <c r="AB15" i="9"/>
  <c r="AC15" i="9" s="1"/>
  <c r="AA15" i="9"/>
  <c r="Z15" i="9"/>
  <c r="N15" i="9"/>
  <c r="O15" i="9" s="1"/>
  <c r="Z14" i="9"/>
  <c r="AB14" i="9" s="1"/>
  <c r="AC14" i="9" s="1"/>
  <c r="O14" i="9"/>
  <c r="N14" i="9"/>
  <c r="AB13" i="9"/>
  <c r="AC13" i="9" s="1"/>
  <c r="AA13" i="9"/>
  <c r="Z13" i="9"/>
  <c r="N13" i="9"/>
  <c r="O13" i="9" s="1"/>
  <c r="Z12" i="9"/>
  <c r="AB12" i="9" s="1"/>
  <c r="AC12" i="9" s="1"/>
  <c r="O12" i="9"/>
  <c r="N12" i="9"/>
  <c r="AB11" i="9"/>
  <c r="AC11" i="9" s="1"/>
  <c r="AA11" i="9"/>
  <c r="Z11" i="9"/>
  <c r="N11" i="9"/>
  <c r="O11" i="9" s="1"/>
  <c r="Z10" i="9"/>
  <c r="AB10" i="9" s="1"/>
  <c r="AC10" i="9" s="1"/>
  <c r="O10" i="9"/>
  <c r="N10" i="9"/>
  <c r="AB9" i="9"/>
  <c r="AC9" i="9" s="1"/>
  <c r="AA9" i="9"/>
  <c r="Z9" i="9"/>
  <c r="N9" i="9"/>
  <c r="O9" i="9" s="1"/>
  <c r="Z8" i="9"/>
  <c r="AB8" i="9" s="1"/>
  <c r="AC8" i="9" s="1"/>
  <c r="O8" i="9"/>
  <c r="N8" i="9"/>
  <c r="AB7" i="9"/>
  <c r="AC7" i="9" s="1"/>
  <c r="AA7" i="9"/>
  <c r="Z7" i="9"/>
  <c r="N7" i="9"/>
  <c r="O7" i="9" s="1"/>
  <c r="Z6" i="9"/>
  <c r="AB6" i="9" s="1"/>
  <c r="AC6" i="9" s="1"/>
  <c r="O6" i="9"/>
  <c r="N6" i="9"/>
  <c r="AB5" i="9"/>
  <c r="AC5" i="9" s="1"/>
  <c r="AA5" i="9"/>
  <c r="Z5" i="9"/>
  <c r="N5" i="9"/>
  <c r="O5" i="9" s="1"/>
  <c r="AA17" i="9" l="1"/>
  <c r="AA6" i="9"/>
  <c r="AA8" i="9"/>
  <c r="AA10" i="9"/>
  <c r="AA12" i="9"/>
  <c r="AA14" i="9"/>
</calcChain>
</file>

<file path=xl/sharedStrings.xml><?xml version="1.0" encoding="utf-8"?>
<sst xmlns="http://schemas.openxmlformats.org/spreadsheetml/2006/main" count="1051" uniqueCount="426">
  <si>
    <t>ThruPlateWidth</t>
  </si>
  <si>
    <t>BoltDiameter</t>
  </si>
  <si>
    <t>BoltQty</t>
  </si>
  <si>
    <t>YK06-LX</t>
  </si>
  <si>
    <t>TP06-LX1</t>
  </si>
  <si>
    <t>TP06-LX2</t>
  </si>
  <si>
    <t>A325</t>
  </si>
  <si>
    <t>YK06-HX</t>
  </si>
  <si>
    <t>TP06-HX1</t>
  </si>
  <si>
    <t>TP06-HX2</t>
  </si>
  <si>
    <t>YK08-LX</t>
  </si>
  <si>
    <t>TP08-LX1</t>
  </si>
  <si>
    <t>TP08-LX2</t>
  </si>
  <si>
    <t>YK08-HX</t>
  </si>
  <si>
    <t>TP08-HX1</t>
  </si>
  <si>
    <t>TP08-HX2</t>
  </si>
  <si>
    <t>YK10-LX</t>
  </si>
  <si>
    <t>TP10-LX1</t>
  </si>
  <si>
    <t>TP10-LX2</t>
  </si>
  <si>
    <t>YK10-HX</t>
  </si>
  <si>
    <t>TP10-HX1</t>
  </si>
  <si>
    <t>TP10-HX2</t>
  </si>
  <si>
    <t>YK12-HX</t>
  </si>
  <si>
    <t>TP12-HX1</t>
  </si>
  <si>
    <t>TP12-HX2</t>
  </si>
  <si>
    <t>YK14-HX</t>
  </si>
  <si>
    <t>TP14-HX1</t>
  </si>
  <si>
    <t>TP14-HX2</t>
  </si>
  <si>
    <t>YK14-LX</t>
  </si>
  <si>
    <t>TP14-LX1</t>
  </si>
  <si>
    <t>TP14-LX2</t>
  </si>
  <si>
    <t>YK16-HX</t>
  </si>
  <si>
    <t>TP16-HX1</t>
  </si>
  <si>
    <t>TP16-HX2</t>
  </si>
  <si>
    <t>YK18-LX</t>
  </si>
  <si>
    <t>TP18-LX1</t>
  </si>
  <si>
    <t>TP18-LX2</t>
  </si>
  <si>
    <t>YK18-HX</t>
  </si>
  <si>
    <t>TP18-HX1</t>
  </si>
  <si>
    <t>TP18-HX2</t>
  </si>
  <si>
    <t>YK20-LX</t>
  </si>
  <si>
    <t>TP20-LX1</t>
  </si>
  <si>
    <t>TP20-LX2</t>
  </si>
  <si>
    <t>YK20-HX</t>
  </si>
  <si>
    <t>TP20-HX1</t>
  </si>
  <si>
    <t>TP20-HX2</t>
  </si>
  <si>
    <t>YK22-LX</t>
  </si>
  <si>
    <t>TP22-LX1</t>
  </si>
  <si>
    <t>TP22-LX2</t>
  </si>
  <si>
    <t>YK22-HX</t>
  </si>
  <si>
    <t>TP22-HX1</t>
  </si>
  <si>
    <t>TP22-HX2</t>
  </si>
  <si>
    <t>YK24-LX</t>
  </si>
  <si>
    <t>TP24-LX1</t>
  </si>
  <si>
    <t>TP24-LX2</t>
  </si>
  <si>
    <t>YK24-HX</t>
  </si>
  <si>
    <t>TP24-HX1</t>
  </si>
  <si>
    <t>TP24-HX2</t>
  </si>
  <si>
    <t>YK26-LX</t>
  </si>
  <si>
    <t>TP26-LX1</t>
  </si>
  <si>
    <t>TP26-LX2</t>
  </si>
  <si>
    <t>YK26-HX</t>
  </si>
  <si>
    <t>TP26-HX1</t>
  </si>
  <si>
    <t>TP26-HX2</t>
  </si>
  <si>
    <t>A354BC</t>
  </si>
  <si>
    <t>YK28-LX</t>
  </si>
  <si>
    <t>TP28-LX1</t>
  </si>
  <si>
    <t>TP28-LX2</t>
  </si>
  <si>
    <t>YK28-HX</t>
  </si>
  <si>
    <t>TP28-HX1</t>
  </si>
  <si>
    <t>TP28-HX2</t>
  </si>
  <si>
    <t>YK30-LX</t>
  </si>
  <si>
    <t>TP30-LX1</t>
  </si>
  <si>
    <t>TP30-LX2</t>
  </si>
  <si>
    <t>YK30-HX</t>
  </si>
  <si>
    <t>TP30-HX1</t>
  </si>
  <si>
    <t>TP30-HX2</t>
  </si>
  <si>
    <t>YK32-LX</t>
  </si>
  <si>
    <t>TP32-LX1</t>
  </si>
  <si>
    <t>TP32-LX2</t>
  </si>
  <si>
    <t>YK32-HX</t>
  </si>
  <si>
    <t>TP32-HX1</t>
  </si>
  <si>
    <t>TP32-HX2</t>
  </si>
  <si>
    <t>YK34-LX</t>
  </si>
  <si>
    <t>TP34-LX1</t>
  </si>
  <si>
    <t>TP34-LX2</t>
  </si>
  <si>
    <t>YK34-HX</t>
  </si>
  <si>
    <t>TP34-HX1</t>
  </si>
  <si>
    <t>TP34-HX2</t>
  </si>
  <si>
    <t>Height</t>
  </si>
  <si>
    <t>BracketID</t>
  </si>
  <si>
    <t>Black Weight</t>
  </si>
  <si>
    <t>STDMinArmBaseDiam</t>
  </si>
  <si>
    <t>STDMaxArmBaseDiam</t>
  </si>
  <si>
    <t>STDMaxArmThick</t>
  </si>
  <si>
    <t>BracketThick</t>
  </si>
  <si>
    <t>BracketSideWidth</t>
  </si>
  <si>
    <t>ThruPlateSGLID</t>
  </si>
  <si>
    <t>ThruPlateDBLID</t>
  </si>
  <si>
    <t>ThruPlateThick</t>
  </si>
  <si>
    <t>StiffenerQty</t>
  </si>
  <si>
    <t>StiffenerThick</t>
  </si>
  <si>
    <t>StiffenerWidth</t>
  </si>
  <si>
    <t>StiffenerVertSpacing</t>
  </si>
  <si>
    <t>BoltSpec</t>
  </si>
  <si>
    <t>BoltLength</t>
  </si>
  <si>
    <t>BlackWeight</t>
  </si>
  <si>
    <t>GalvWeight</t>
  </si>
  <si>
    <t>MinEdgeDist</t>
  </si>
  <si>
    <t>BracketOpening</t>
  </si>
  <si>
    <t>ArmType</t>
  </si>
  <si>
    <t>Arm Type</t>
  </si>
  <si>
    <t>YV05</t>
  </si>
  <si>
    <t>YV06</t>
  </si>
  <si>
    <t>YV01</t>
  </si>
  <si>
    <t>YV02</t>
  </si>
  <si>
    <t>YV03</t>
  </si>
  <si>
    <t>YV04</t>
  </si>
  <si>
    <t>YV07</t>
  </si>
  <si>
    <t>YV8</t>
  </si>
  <si>
    <t>YV09</t>
  </si>
  <si>
    <t>YV10</t>
  </si>
  <si>
    <t>YV11</t>
  </si>
  <si>
    <t>YV12</t>
  </si>
  <si>
    <t>YV13</t>
  </si>
  <si>
    <t>YV14</t>
  </si>
  <si>
    <t>YV15</t>
  </si>
  <si>
    <t>YV16</t>
  </si>
  <si>
    <t>YV17</t>
  </si>
  <si>
    <t>YV18</t>
  </si>
  <si>
    <t>YV19</t>
  </si>
  <si>
    <t>YV20</t>
  </si>
  <si>
    <t>YV21</t>
  </si>
  <si>
    <t>YV22</t>
  </si>
  <si>
    <t>Standard Brackets</t>
  </si>
  <si>
    <r>
      <rPr>
        <b/>
        <sz val="11"/>
        <color rgb="FF2A2B2A"/>
        <rFont val="Calibri"/>
        <family val="2"/>
        <scheme val="minor"/>
      </rPr>
      <t>Arm</t>
    </r>
  </si>
  <si>
    <r>
      <rPr>
        <b/>
        <sz val="11"/>
        <color rgb="FF2A2B2A"/>
        <rFont val="Calibri"/>
        <family val="2"/>
        <scheme val="minor"/>
      </rPr>
      <t>BRACKET (YOK</t>
    </r>
    <r>
      <rPr>
        <b/>
        <sz val="11"/>
        <color rgb="FF1A1A0E"/>
        <rFont val="Calibri"/>
        <family val="2"/>
        <scheme val="minor"/>
      </rPr>
      <t>E)</t>
    </r>
  </si>
  <si>
    <t>THRU-PLATE</t>
  </si>
  <si>
    <t>Bracket &amp; Thru-Plate</t>
  </si>
  <si>
    <t>Stiffeners</t>
  </si>
  <si>
    <t>BOLT</t>
  </si>
  <si>
    <t>BRACKET (YOKE) DIMENSIONS</t>
  </si>
  <si>
    <t>Min. Base Dia.
(in)</t>
  </si>
  <si>
    <t>Max. Base Dia.
(in)</t>
  </si>
  <si>
    <t>Max. Thk.
(in)</t>
  </si>
  <si>
    <t>Bracket (Yoke), X
G = Galv
 W = Wthr</t>
  </si>
  <si>
    <t>Thk.
(in)</t>
  </si>
  <si>
    <t>Material
A572 or
A871
(ksi)</t>
  </si>
  <si>
    <t>Bend Radius
(in)</t>
  </si>
  <si>
    <t>Opening
(in)</t>
  </si>
  <si>
    <t>Sgl-sided
X
G = Galv
 W = Wthr</t>
  </si>
  <si>
    <t>Dbl-sided
X
G = Galv
 W = Wthr</t>
  </si>
  <si>
    <t>Spacing outside
(in)</t>
  </si>
  <si>
    <t>Height
(in)</t>
  </si>
  <si>
    <t>Dim to upper most bolt
(in)</t>
  </si>
  <si>
    <t>Side &amp; Edge Distance
(in)</t>
  </si>
  <si>
    <t>Qty</t>
  </si>
  <si>
    <t>Width (in)</t>
  </si>
  <si>
    <t>Vert. Spacing
(in)</t>
  </si>
  <si>
    <t># of Bolts</t>
  </si>
  <si>
    <t>Bolt space off Arm Ctr Line
(in)</t>
  </si>
  <si>
    <t>Bolt Spacing
(in)</t>
  </si>
  <si>
    <t>Bolt Spec.</t>
  </si>
  <si>
    <t>Bolt Diam.
(in)</t>
  </si>
  <si>
    <t>Bolt Hole Diam.
(in)</t>
  </si>
  <si>
    <t>Bolt Length (in)</t>
  </si>
  <si>
    <t>leg dim
(hole)</t>
  </si>
  <si>
    <t>Hole to Face</t>
  </si>
  <si>
    <t>Thk x Width x Length (in)</t>
  </si>
  <si>
    <t>Black Weight (Lbs)</t>
  </si>
  <si>
    <t>Galv'd weight (Lbs)</t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</si>
  <si>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Nut Only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</si>
  <si>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Flat Wshr
&amp; 
Lock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</si>
  <si>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Wshr
&amp;
Hex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</si>
  <si>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Hex Nut
&amp;
Lock  Nut</t>
    </r>
  </si>
  <si>
    <t>Length</t>
  </si>
  <si>
    <t>e</t>
  </si>
  <si>
    <t>R</t>
  </si>
  <si>
    <t>Gap</t>
  </si>
  <si>
    <t>Opt1</t>
  </si>
  <si>
    <t>Opt2</t>
  </si>
  <si>
    <t>A354-BC</t>
  </si>
  <si>
    <t>FWT Standard Arm Connections</t>
  </si>
  <si>
    <t>Arm</t>
  </si>
  <si>
    <t>YOKE</t>
  </si>
  <si>
    <t>Vang</t>
  </si>
  <si>
    <t>Yoke &amp; Vang</t>
  </si>
  <si>
    <t>Bolts</t>
  </si>
  <si>
    <t>Yoke dimensions</t>
  </si>
  <si>
    <t>Arm Base Diameter (inches)</t>
  </si>
  <si>
    <t>YK#      odd# is Galv &amp; even # is Weathering</t>
  </si>
  <si>
    <t>Thickness (inches)</t>
  </si>
  <si>
    <t>Material</t>
  </si>
  <si>
    <t>Yield (KSI)</t>
  </si>
  <si>
    <t>Bend Radius (inches)</t>
  </si>
  <si>
    <t xml:space="preserve">YV# Single-sided </t>
  </si>
  <si>
    <t xml:space="preserve">YV# Double-sided </t>
  </si>
  <si>
    <t>Vang Spacing (inches) ~DIM~</t>
  </si>
  <si>
    <t>Height (inches)</t>
  </si>
  <si>
    <t>Dim to upper most bolt (inches)</t>
  </si>
  <si>
    <t>Side &amp; Edge Distance (inches)</t>
  </si>
  <si>
    <t># of Bolts per Yoke</t>
  </si>
  <si>
    <t>Bolt space off Arm Ctr Line (inches)</t>
  </si>
  <si>
    <t>Bolt Spacing (inches)</t>
  </si>
  <si>
    <t>Bolt Type</t>
  </si>
  <si>
    <t>Bolt Diameter (inches)</t>
  </si>
  <si>
    <t xml:space="preserve"> BoltHole Diameter (inches)</t>
  </si>
  <si>
    <t>Bolt Length (inches)</t>
  </si>
  <si>
    <t>W/ Lock washer &amp; Nut</t>
  </si>
  <si>
    <t>W/ Flat Washer &amp; Lock Nut</t>
  </si>
  <si>
    <t>leg dim on yoke (hole)</t>
  </si>
  <si>
    <t>leg dim on yoke (slot)</t>
  </si>
  <si>
    <t>hole to face</t>
  </si>
  <si>
    <t>slot to face</t>
  </si>
  <si>
    <t>Arm01</t>
  </si>
  <si>
    <t>YK0001 YK0002</t>
  </si>
  <si>
    <t>A572, or A588</t>
  </si>
  <si>
    <t>Arm02</t>
  </si>
  <si>
    <t>YK0003 YK0004</t>
  </si>
  <si>
    <t>A572, or A871</t>
  </si>
  <si>
    <t>Arm03</t>
  </si>
  <si>
    <t>YK0005 YK0006</t>
  </si>
  <si>
    <t>Arm04</t>
  </si>
  <si>
    <t>YK0007 YK0008</t>
  </si>
  <si>
    <t>Arm05</t>
  </si>
  <si>
    <t>YK0009 YK0010</t>
  </si>
  <si>
    <t>Arm06</t>
  </si>
  <si>
    <t>YK0011 YK0012</t>
  </si>
  <si>
    <t>Arm07</t>
  </si>
  <si>
    <t>YK0013 YK0014</t>
  </si>
  <si>
    <t>Arm08</t>
  </si>
  <si>
    <t>YK0015 YK0016</t>
  </si>
  <si>
    <t>Arm09</t>
  </si>
  <si>
    <t>YK0017 YK0018</t>
  </si>
  <si>
    <t>Arm10</t>
  </si>
  <si>
    <t>YK0019 YK0020</t>
  </si>
  <si>
    <t>Arm11 (HEX2)</t>
  </si>
  <si>
    <t>YK0021 YK0022</t>
  </si>
  <si>
    <t>6 or 6.25</t>
  </si>
  <si>
    <t>YK0021-2 YK0022</t>
  </si>
  <si>
    <t>Arm12</t>
  </si>
  <si>
    <t>YK0023 YK0024</t>
  </si>
  <si>
    <t>YV23</t>
  </si>
  <si>
    <t>YV24</t>
  </si>
  <si>
    <t>FWTall</t>
  </si>
  <si>
    <t>FWThex</t>
  </si>
  <si>
    <t>YK03</t>
  </si>
  <si>
    <t>YK05</t>
  </si>
  <si>
    <t>YK07</t>
  </si>
  <si>
    <t>YK09</t>
  </si>
  <si>
    <t>YK11</t>
  </si>
  <si>
    <t>YK13</t>
  </si>
  <si>
    <t>YK15</t>
  </si>
  <si>
    <t>YK17</t>
  </si>
  <si>
    <t>YK19</t>
  </si>
  <si>
    <t>YK21</t>
  </si>
  <si>
    <t>YK01</t>
  </si>
  <si>
    <t>YK21-2</t>
  </si>
  <si>
    <t>LegDim</t>
  </si>
  <si>
    <t>BoltCenterSpacing</t>
  </si>
  <si>
    <t>BoltSpacing</t>
  </si>
  <si>
    <t>Regular Hex</t>
  </si>
  <si>
    <t>Reg OCT &amp; Others</t>
  </si>
  <si>
    <t>Top &amp; Bot Edge Dist.
(in)</t>
  </si>
  <si>
    <t>Side &amp; Edge Dist.
(in)</t>
  </si>
  <si>
    <t>leg dim
L (in)</t>
  </si>
  <si>
    <t>Hole to Face, d (in)</t>
  </si>
  <si>
    <t>Center Cutout Dia. (in)</t>
  </si>
  <si>
    <t>Drain Holes</t>
  </si>
  <si>
    <t>Weather'g Weight, Without Cutout (Lbs)</t>
  </si>
  <si>
    <t>Galv'd weight, With Cutout (Lbs)</t>
  </si>
  <si>
    <t>Min.
F-F Dia. (in)</t>
  </si>
  <si>
    <t>Max.
F-F Dia. (in)</t>
  </si>
  <si>
    <t>Dia. (in)</t>
  </si>
  <si>
    <t>Apart (in)</t>
  </si>
  <si>
    <t>$A$4</t>
  </si>
  <si>
    <t>$B$4</t>
  </si>
  <si>
    <t>$C$4</t>
  </si>
  <si>
    <t>$D$4</t>
  </si>
  <si>
    <t>$E$4</t>
  </si>
  <si>
    <t>$H$4</t>
  </si>
  <si>
    <t>$I$4</t>
  </si>
  <si>
    <t>$J$4</t>
  </si>
  <si>
    <t>$K$4</t>
  </si>
  <si>
    <t>$M$4</t>
  </si>
  <si>
    <t>$N$4</t>
  </si>
  <si>
    <t>$Q$4</t>
  </si>
  <si>
    <t>$R$4</t>
  </si>
  <si>
    <t>$S$4</t>
  </si>
  <si>
    <t>$T$4</t>
  </si>
  <si>
    <t>$V$4</t>
  </si>
  <si>
    <t>$W$4</t>
  </si>
  <si>
    <t>$X$4</t>
  </si>
  <si>
    <t>BoltCenterSpace</t>
  </si>
  <si>
    <t>$Y$4</t>
  </si>
  <si>
    <t>$Z$4</t>
  </si>
  <si>
    <t>$AA$4</t>
  </si>
  <si>
    <t>With
Lock Nut Only</t>
  </si>
  <si>
    <t>$AC$5</t>
  </si>
  <si>
    <t>$AG$4</t>
  </si>
  <si>
    <t>$AI$4</t>
  </si>
  <si>
    <t>$AL$4</t>
  </si>
  <si>
    <t>$AM$4</t>
  </si>
  <si>
    <t>Description</t>
  </si>
  <si>
    <t>Address</t>
  </si>
  <si>
    <t>Element Name</t>
  </si>
  <si>
    <t>OCT and Other Shapes</t>
  </si>
  <si>
    <t>max</t>
  </si>
  <si>
    <t>min.</t>
  </si>
  <si>
    <t>max.</t>
  </si>
  <si>
    <t>with rise</t>
  </si>
  <si>
    <t>Bolt Holes</t>
  </si>
  <si>
    <t>Cutout</t>
  </si>
  <si>
    <t>Black Wt with cutout</t>
  </si>
  <si>
    <t>Wt of Weathering Stiffeners</t>
  </si>
  <si>
    <t>Wt of Galvanizing Stiffeners</t>
  </si>
  <si>
    <t>Min. T</t>
  </si>
  <si>
    <t>Min.
F-F inside</t>
  </si>
  <si>
    <t>Max.
F-F inside</t>
  </si>
  <si>
    <t>With Rise</t>
  </si>
  <si>
    <t>Face to edge of hole</t>
  </si>
  <si>
    <t>Min.
Pt-Pt inside</t>
  </si>
  <si>
    <t>Max.
Pt-Pt inside</t>
  </si>
  <si>
    <t>PT Face to edge of hole</t>
  </si>
  <si>
    <t>Note:</t>
  </si>
  <si>
    <t>Min. Tip Diameter</t>
  </si>
  <si>
    <t>Shaft Thickness (in)</t>
  </si>
  <si>
    <t>Max. Length (Ft)</t>
  </si>
  <si>
    <t>5.0"</t>
  </si>
  <si>
    <t>3/16" &amp; 1/4"</t>
  </si>
  <si>
    <t>less than 16'</t>
  </si>
  <si>
    <t>6.0"</t>
  </si>
  <si>
    <t>5/16"</t>
  </si>
  <si>
    <t>8.0"</t>
  </si>
  <si>
    <t>3/8" &amp; 7/16"</t>
  </si>
  <si>
    <t>7/16" or less</t>
  </si>
  <si>
    <t>&gt; 16'</t>
  </si>
  <si>
    <t>9.0"</t>
  </si>
  <si>
    <t>1/2" or greater</t>
  </si>
  <si>
    <t>Any</t>
  </si>
  <si>
    <t>HEXMinArmBaseDiam</t>
  </si>
  <si>
    <t>HEXMaxArmBaseDiam</t>
  </si>
  <si>
    <t>WeatheringWeight</t>
  </si>
  <si>
    <t>AP</t>
  </si>
  <si>
    <t>AQ</t>
  </si>
  <si>
    <t>B</t>
  </si>
  <si>
    <t>C</t>
  </si>
  <si>
    <t>D</t>
  </si>
  <si>
    <t>E</t>
  </si>
  <si>
    <t>F</t>
  </si>
  <si>
    <t>G</t>
  </si>
  <si>
    <t>H</t>
  </si>
  <si>
    <t>K</t>
  </si>
  <si>
    <t>L</t>
  </si>
  <si>
    <t>M</t>
  </si>
  <si>
    <t>N</t>
  </si>
  <si>
    <t>P</t>
  </si>
  <si>
    <t>Q</t>
  </si>
  <si>
    <t>T</t>
  </si>
  <si>
    <t>U</t>
  </si>
  <si>
    <t>V</t>
  </si>
  <si>
    <t>W</t>
  </si>
  <si>
    <t>Y</t>
  </si>
  <si>
    <t>Z</t>
  </si>
  <si>
    <t>AA</t>
  </si>
  <si>
    <t>AB</t>
  </si>
  <si>
    <t>AC</t>
  </si>
  <si>
    <t>AD</t>
  </si>
  <si>
    <t>AF</t>
  </si>
  <si>
    <t>AJ</t>
  </si>
  <si>
    <t>AK</t>
  </si>
  <si>
    <t>Column</t>
  </si>
  <si>
    <t>Column1</t>
  </si>
  <si>
    <t>Rev:</t>
  </si>
  <si>
    <t>YK07-LX</t>
  </si>
  <si>
    <t>TP07-LX1</t>
  </si>
  <si>
    <t>TP07-LX2</t>
  </si>
  <si>
    <t>New</t>
  </si>
  <si>
    <t>YK07-HX</t>
  </si>
  <si>
    <t>TP07-HX1</t>
  </si>
  <si>
    <t>TP07-HX2</t>
  </si>
  <si>
    <t>YK09-LX</t>
  </si>
  <si>
    <t>TP09-LX1</t>
  </si>
  <si>
    <t>TP09-LX2</t>
  </si>
  <si>
    <t>YK11-LX</t>
  </si>
  <si>
    <t>TP11-LX1</t>
  </si>
  <si>
    <t>TP11-LX2</t>
  </si>
  <si>
    <t>YK11-HX</t>
  </si>
  <si>
    <t>TP11-HX1</t>
  </si>
  <si>
    <t>TP11-HX2</t>
  </si>
  <si>
    <t>YK12-LX</t>
  </si>
  <si>
    <t>TP12-LX1</t>
  </si>
  <si>
    <t>TP12-LX2</t>
  </si>
  <si>
    <t>YK13-LX</t>
  </si>
  <si>
    <t>TP13-LX1</t>
  </si>
  <si>
    <t>TP13-LX2</t>
  </si>
  <si>
    <t>YK13-HX</t>
  </si>
  <si>
    <t>TP13-HX1</t>
  </si>
  <si>
    <t>TP13-HX2</t>
  </si>
  <si>
    <t>YK15-LX</t>
  </si>
  <si>
    <t>TP15-LX1</t>
  </si>
  <si>
    <t>TP15-LX2</t>
  </si>
  <si>
    <t>YK15-HX</t>
  </si>
  <si>
    <t>TP15-HX1</t>
  </si>
  <si>
    <t>TP15-HX2</t>
  </si>
  <si>
    <t>YK16-LX</t>
  </si>
  <si>
    <t>TP16-LX1</t>
  </si>
  <si>
    <t>TP16-LX2</t>
  </si>
  <si>
    <t>YK17-HX</t>
  </si>
  <si>
    <t>TP17-HX1</t>
  </si>
  <si>
    <t>TP17-HX2</t>
  </si>
  <si>
    <t>YK19-LX</t>
  </si>
  <si>
    <t>TP19-LX1</t>
  </si>
  <si>
    <t>TP19-LX2</t>
  </si>
  <si>
    <t>YK19-HX</t>
  </si>
  <si>
    <t>TP19-HX1</t>
  </si>
  <si>
    <t>TP19-HX2</t>
  </si>
  <si>
    <t>YK21-LX</t>
  </si>
  <si>
    <t>TP21-LX1</t>
  </si>
  <si>
    <t>TP21-LX2</t>
  </si>
  <si>
    <t>YK21-HX</t>
  </si>
  <si>
    <t>TP21-HX1</t>
  </si>
  <si>
    <t>TP21-HX2</t>
  </si>
  <si>
    <t>YK25-HX</t>
  </si>
  <si>
    <t>TP25-HX1</t>
  </si>
  <si>
    <t>TP25-HX2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</si>
</sst>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m/d/yy;@"/>
    <numFmt numFmtId="165" formatCode="###0;###0"/>
    <numFmt numFmtId="166" formatCode="###0.00;###0.00"/>
    <numFmt numFmtId="167" formatCode="###0.000;###0.000"/>
    <numFmt numFmtId="168" formatCode="###0.0000;###0.0000"/>
    <numFmt numFmtId="169" formatCode="0.000"/>
    <numFmt numFmtId="170" formatCode="0.0"/>
    <numFmt numFmtId="171" formatCode="0.00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2A2B2A"/>
      <name val="Calibri"/>
      <family val="2"/>
      <scheme val="minor"/>
    </font>
    <font>
      <b/>
      <sz val="11"/>
      <color rgb="FF1A1A0E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11"/>
      <color rgb="FF0000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</patternFill>
    </fill>
    <fill>
      <patternFill patternType="solid">
        <fgColor theme="0" tint="-0.249977111117893"/>
        <bgColor indexed="64"/>
      </patternFill>
    </fill>
  </fills>
  <borders count="554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38382B"/>
      </right>
      <top/>
      <bottom style="thin">
        <color rgb="FF3F4844"/>
      </bottom>
      <diagonal/>
    </border>
    <border>
      <left style="thin">
        <color rgb="FF38382B"/>
      </left>
      <right style="thin">
        <color rgb="FF444444"/>
      </right>
      <top/>
      <bottom style="thin">
        <color rgb="FF3F4844"/>
      </bottom>
      <diagonal/>
    </border>
    <border>
      <left style="thin">
        <color rgb="FF444444"/>
      </left>
      <right style="thin">
        <color rgb="FF4F4F4F"/>
      </right>
      <top/>
      <bottom style="thin">
        <color rgb="FF3F4844"/>
      </bottom>
      <diagonal/>
    </border>
    <border>
      <left style="thin">
        <color rgb="FF444444"/>
      </left>
      <right style="medium">
        <color indexed="64"/>
      </right>
      <top/>
      <bottom style="thin">
        <color rgb="FF3F4844"/>
      </bottom>
      <diagonal/>
    </border>
    <border>
      <left/>
      <right/>
      <top/>
      <bottom style="thin">
        <color rgb="FF3B3B28"/>
      </bottom>
      <diagonal/>
    </border>
    <border>
      <left style="medium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B28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B3B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B28"/>
      </top>
      <bottom style="thin">
        <color rgb="FF4B4F34"/>
      </bottom>
      <diagonal/>
    </border>
    <border>
      <left style="thin">
        <color rgb="FF383828"/>
      </left>
      <right style="thin">
        <color rgb="FF343423"/>
      </right>
      <top style="thin">
        <color rgb="FF3B3B28"/>
      </top>
      <bottom style="thin">
        <color rgb="FF3B3B23"/>
      </bottom>
      <diagonal/>
    </border>
    <border>
      <left style="thin">
        <color rgb="FF3434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83428"/>
      </right>
      <top style="thin">
        <color rgb="FF3B3B28"/>
      </top>
      <bottom style="thin">
        <color rgb="FF3B3B23"/>
      </bottom>
      <diagonal/>
    </border>
    <border>
      <left style="thin">
        <color rgb="FF3834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8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/>
      <right style="thin">
        <color rgb="FF2F2F23"/>
      </right>
      <top style="thin">
        <color rgb="FF3B3B28"/>
      </top>
      <bottom style="thin">
        <color rgb="FF3B3B23"/>
      </bottom>
      <diagonal/>
    </border>
    <border>
      <left style="thin">
        <color rgb="FF2F2F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43828"/>
      </right>
      <top style="thin">
        <color rgb="FF3B3B28"/>
      </top>
      <bottom style="thin">
        <color rgb="FF3B3B23"/>
      </bottom>
      <diagonal/>
    </border>
    <border>
      <left style="thin">
        <color rgb="FF3438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343428"/>
      </right>
      <top style="thin">
        <color rgb="FF3B3B28"/>
      </top>
      <bottom style="thin">
        <color rgb="FF3B3B23"/>
      </bottom>
      <diagonal/>
    </border>
    <border>
      <left/>
      <right/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B23"/>
      </bottom>
      <diagonal/>
    </border>
    <border>
      <left style="thin">
        <color rgb="FF383828"/>
      </left>
      <right style="thin">
        <color rgb="FF383828"/>
      </right>
      <top style="thin">
        <color rgb="FF4B4F34"/>
      </top>
      <bottom style="thin">
        <color rgb="FF383B23"/>
      </bottom>
      <diagonal/>
    </border>
    <border>
      <left style="thin">
        <color rgb="FF383828"/>
      </left>
      <right style="thin">
        <color rgb="FF343423"/>
      </right>
      <top style="thin">
        <color rgb="FF3B3B23"/>
      </top>
      <bottom style="thin">
        <color rgb="FF383B23"/>
      </bottom>
      <diagonal/>
    </border>
    <border>
      <left style="thin">
        <color rgb="FF343423"/>
      </left>
      <right style="thin">
        <color rgb="FF38382B"/>
      </right>
      <top style="thin">
        <color rgb="FF3B3B23"/>
      </top>
      <bottom style="thin">
        <color rgb="FF383B23"/>
      </bottom>
      <diagonal/>
    </border>
    <border>
      <left style="thin">
        <color rgb="FF38382B"/>
      </left>
      <right style="thin">
        <color rgb="FF383428"/>
      </right>
      <top style="thin">
        <color rgb="FF3B3B23"/>
      </top>
      <bottom style="thin">
        <color rgb="FF383B23"/>
      </bottom>
      <diagonal/>
    </border>
    <border>
      <left style="thin">
        <color rgb="FF383428"/>
      </left>
      <right style="thin">
        <color rgb="FF3B3F34"/>
      </right>
      <top style="thin">
        <color rgb="FF3B3B23"/>
      </top>
      <bottom style="thin">
        <color rgb="FF383B23"/>
      </bottom>
      <diagonal/>
    </border>
    <border>
      <left style="thin">
        <color rgb="FF383428"/>
      </left>
      <right style="medium">
        <color indexed="64"/>
      </right>
      <top style="thin">
        <color rgb="FF3B3B23"/>
      </top>
      <bottom style="thin">
        <color rgb="FF383B23"/>
      </bottom>
      <diagonal/>
    </border>
    <border>
      <left/>
      <right style="thin">
        <color rgb="FF2F2F23"/>
      </right>
      <top style="thin">
        <color rgb="FF3B3B23"/>
      </top>
      <bottom style="thin">
        <color rgb="FF383B23"/>
      </bottom>
      <diagonal/>
    </border>
    <border>
      <left style="thin">
        <color rgb="FF2F2F23"/>
      </left>
      <right style="thin">
        <color rgb="FF38382B"/>
      </right>
      <top style="thin">
        <color rgb="FF3B3B23"/>
      </top>
      <bottom style="thin">
        <color rgb="FF4B4F3B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rgb="FF2F341F"/>
      </bottom>
      <diagonal/>
    </border>
    <border>
      <left style="thin">
        <color rgb="FF343828"/>
      </left>
      <right style="thin">
        <color rgb="FF3B3F34"/>
      </right>
      <top style="thin">
        <color rgb="FF3B3B23"/>
      </top>
      <bottom style="thin">
        <color rgb="FF2F341F"/>
      </bottom>
      <diagonal/>
    </border>
    <border>
      <left style="thin">
        <color rgb="FF3B3F34"/>
      </left>
      <right style="thin">
        <color rgb="FF343428"/>
      </right>
      <top style="thin">
        <color rgb="FF3B3B23"/>
      </top>
      <bottom style="thin">
        <color rgb="FF2F341F"/>
      </bottom>
      <diagonal/>
    </border>
    <border>
      <left/>
      <right/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medium">
        <color indexed="64"/>
      </right>
      <top style="thin">
        <color rgb="FF3B3B23"/>
      </top>
      <bottom style="thin">
        <color rgb="FF2F341F"/>
      </bottom>
      <diagonal/>
    </border>
    <border>
      <left style="medium">
        <color indexed="64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B23"/>
      </top>
      <bottom style="thin">
        <color rgb="FF383823"/>
      </bottom>
      <diagonal/>
    </border>
    <border>
      <left style="thin">
        <color rgb="FF38382B"/>
      </left>
      <right style="thin">
        <color rgb="FF38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thin">
        <color rgb="FF3B3F34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83B23"/>
      </top>
      <bottom style="thin">
        <color rgb="FF383823"/>
      </bottom>
      <diagonal/>
    </border>
    <border>
      <left/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4B4F3B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2F341F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2F341F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2F341F"/>
      </top>
      <bottom style="thin">
        <color rgb="FF383823"/>
      </bottom>
      <diagonal/>
    </border>
    <border>
      <left/>
      <right/>
      <top style="thin">
        <color rgb="FF2F341F"/>
      </top>
      <bottom/>
      <diagonal/>
    </border>
    <border>
      <left style="thin">
        <color rgb="FF343428"/>
      </left>
      <right style="medium">
        <color indexed="64"/>
      </right>
      <top style="thin">
        <color rgb="FF2F341F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48483F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/>
      <right style="thin">
        <color rgb="FF3F3F3B"/>
      </right>
      <top style="thin">
        <color rgb="FF383823"/>
      </top>
      <bottom style="thin">
        <color rgb="FF38381F"/>
      </bottom>
      <diagonal/>
    </border>
    <border>
      <left style="thin">
        <color rgb="FF3F3F3B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/>
      <top style="thin">
        <color rgb="FF383823"/>
      </top>
      <bottom style="thin">
        <color rgb="FF38381F"/>
      </bottom>
      <diagonal/>
    </border>
    <border>
      <left/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medium">
        <color indexed="64"/>
      </right>
      <top style="thin">
        <color rgb="FF38381F"/>
      </top>
      <bottom style="thin">
        <color rgb="FF38381F"/>
      </bottom>
      <diagonal/>
    </border>
    <border>
      <left/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/>
      <top style="thin">
        <color rgb="FF38381F"/>
      </top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282313"/>
      </bottom>
      <diagonal/>
    </border>
    <border>
      <left style="thin">
        <color rgb="FF343423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B3828"/>
      </top>
      <bottom style="thin">
        <color rgb="FF383823"/>
      </bottom>
      <diagonal/>
    </border>
    <border>
      <left/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B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/>
      <top style="thin">
        <color rgb="FF3B3828"/>
      </top>
      <bottom style="thin">
        <color rgb="FF383823"/>
      </bottom>
      <diagonal/>
    </border>
    <border>
      <left/>
      <right style="medium">
        <color indexed="64"/>
      </right>
      <top style="thin">
        <color rgb="FF3B3828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4341F"/>
      </bottom>
      <diagonal/>
    </border>
    <border>
      <left/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484B34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2F3818"/>
      </bottom>
      <diagonal/>
    </border>
    <border>
      <left style="thin">
        <color rgb="FF3B3F34"/>
      </left>
      <right/>
      <top style="thin">
        <color rgb="FF383828"/>
      </top>
      <bottom style="thin">
        <color rgb="FF2F3818"/>
      </bottom>
      <diagonal/>
    </border>
    <border>
      <left/>
      <right style="medium">
        <color indexed="64"/>
      </right>
      <top style="thin">
        <color rgb="FF383828"/>
      </top>
      <bottom style="thin">
        <color rgb="FF3F442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4381F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4381F"/>
      </bottom>
      <diagonal/>
    </border>
    <border>
      <left/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828"/>
      </right>
      <top style="thin">
        <color rgb="FF484B34"/>
      </top>
      <bottom style="thin">
        <color rgb="FF34381F"/>
      </bottom>
      <diagonal/>
    </border>
    <border>
      <left style="thin">
        <color rgb="FF343828"/>
      </left>
      <right style="thin">
        <color rgb="FF3B3F34"/>
      </right>
      <top style="thin">
        <color rgb="FF2F3818"/>
      </top>
      <bottom style="thin">
        <color rgb="FF34381F"/>
      </bottom>
      <diagonal/>
    </border>
    <border>
      <left style="thin">
        <color rgb="FF3B3F34"/>
      </left>
      <right/>
      <top style="thin">
        <color rgb="FF2F3818"/>
      </top>
      <bottom style="thin">
        <color rgb="FF34381F"/>
      </bottom>
      <diagonal/>
    </border>
    <border>
      <left/>
      <right style="medium">
        <color indexed="64"/>
      </right>
      <top style="thin">
        <color rgb="FF3F442F"/>
      </top>
      <bottom style="thin">
        <color rgb="FF34381F"/>
      </bottom>
      <diagonal/>
    </border>
    <border>
      <left style="medium">
        <color indexed="6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4381F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28280F"/>
      </right>
      <top style="thin">
        <color rgb="FF34381F"/>
      </top>
      <bottom style="thin">
        <color rgb="FF34341F"/>
      </bottom>
      <diagonal/>
    </border>
    <border>
      <left style="thin">
        <color rgb="FF28280F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4381F"/>
      </top>
      <bottom style="thin">
        <color rgb="FF34341F"/>
      </bottom>
      <diagonal/>
    </border>
    <border>
      <left/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4381F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/>
      <top style="thin">
        <color rgb="FF34381F"/>
      </top>
      <bottom style="thin">
        <color rgb="FF34341F"/>
      </bottom>
      <diagonal/>
    </border>
    <border>
      <left/>
      <right style="medium">
        <color indexed="64"/>
      </right>
      <top style="thin">
        <color rgb="FF34381F"/>
      </top>
      <bottom style="thin">
        <color rgb="FF444834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83828"/>
      </bottom>
      <diagonal/>
    </border>
    <border>
      <left/>
      <right style="thin">
        <color rgb="FF343423"/>
      </right>
      <top style="thin">
        <color rgb="FF34341F"/>
      </top>
      <bottom style="thin">
        <color rgb="FF383828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rgb="FF383828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/>
      <top style="thin">
        <color rgb="FF34341F"/>
      </top>
      <bottom style="thin">
        <color rgb="FF383828"/>
      </bottom>
      <diagonal/>
    </border>
    <border>
      <left/>
      <right style="medium">
        <color indexed="64"/>
      </right>
      <top style="thin">
        <color rgb="FF444834"/>
      </top>
      <bottom style="thin">
        <color rgb="FF3838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83823"/>
      </bottom>
      <diagonal/>
    </border>
    <border>
      <left/>
      <right style="thin">
        <color rgb="FF343423"/>
      </right>
      <top style="thin">
        <color rgb="FF38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B2F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/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342F23"/>
      </right>
      <top style="thin">
        <color rgb="FF38381F"/>
      </top>
      <bottom style="thin">
        <color rgb="FF343423"/>
      </bottom>
      <diagonal/>
    </border>
    <border>
      <left style="thin">
        <color rgb="FF342F23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B2F"/>
      </right>
      <top style="thin">
        <color rgb="FF38381F"/>
      </top>
      <bottom style="thin">
        <color rgb="FF48443B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48443B"/>
      </bottom>
      <diagonal/>
    </border>
    <border>
      <left/>
      <right style="thin">
        <color rgb="FF343423"/>
      </right>
      <top style="thin">
        <color rgb="FF38381F"/>
      </top>
      <bottom style="thin">
        <color rgb="FF2B2B1C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2B2B1C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2B2B1C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2B2B1C"/>
      </bottom>
      <diagonal/>
    </border>
    <border>
      <left style="thin">
        <color rgb="FF3B3F34"/>
      </left>
      <right/>
      <top style="thin">
        <color rgb="FF38381F"/>
      </top>
      <bottom style="thin">
        <color rgb="FF2B2B1C"/>
      </bottom>
      <diagonal/>
    </border>
    <border>
      <left/>
      <right style="medium">
        <color indexed="64"/>
      </right>
      <top style="thin">
        <color rgb="FF38381F"/>
      </top>
      <bottom style="thin">
        <color rgb="FF3B3B2F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434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4342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B2F"/>
      </right>
      <top style="thin">
        <color rgb="FF48443B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48443B"/>
      </top>
      <bottom style="thin">
        <color rgb="FF383823"/>
      </bottom>
      <diagonal/>
    </border>
    <border>
      <left/>
      <right style="thin">
        <color rgb="FF343423"/>
      </right>
      <top style="thin">
        <color rgb="FF2B2B1C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2B2B1C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/>
      <top style="thin">
        <color rgb="FF2B2B1C"/>
      </top>
      <bottom style="thin">
        <color rgb="FF383823"/>
      </bottom>
      <diagonal/>
    </border>
    <border>
      <left style="thin">
        <color indexed="64"/>
      </left>
      <right/>
      <top style="thin">
        <color rgb="FF2B2B1C"/>
      </top>
      <bottom style="thin">
        <color rgb="FF383823"/>
      </bottom>
      <diagonal/>
    </border>
    <border>
      <left/>
      <right style="medium">
        <color indexed="64"/>
      </right>
      <top style="thin">
        <color rgb="FF3B3B2F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83834F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F28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F28"/>
      </bottom>
      <diagonal/>
    </border>
    <border>
      <left/>
      <right style="thin">
        <color rgb="FF3B3B2B"/>
      </right>
      <top style="thin">
        <color rgb="FF383823"/>
      </top>
      <bottom style="thin">
        <color rgb="FF606038"/>
      </bottom>
      <diagonal/>
    </border>
    <border>
      <left style="thin">
        <color rgb="FF3B3B2B"/>
      </left>
      <right style="thin">
        <color rgb="FF38382B"/>
      </right>
      <top style="thin">
        <color rgb="FF383823"/>
      </top>
      <bottom style="thin">
        <color rgb="FF3834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83428"/>
      </bottom>
      <diagonal/>
    </border>
    <border>
      <left style="thin">
        <color rgb="FF383B2F"/>
      </left>
      <right/>
      <top style="thin">
        <color rgb="FF383823"/>
      </top>
      <bottom style="thin">
        <color rgb="FF383428"/>
      </bottom>
      <diagonal/>
    </border>
    <border>
      <left/>
      <right style="medium">
        <color indexed="64"/>
      </right>
      <top style="thin">
        <color rgb="FF383823"/>
      </top>
      <bottom style="thin">
        <color rgb="FF3834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43423"/>
      </right>
      <top style="thin">
        <color rgb="FF383828"/>
      </top>
      <bottom style="thin">
        <color rgb="FF383423"/>
      </bottom>
      <diagonal/>
    </border>
    <border>
      <left style="thin">
        <color rgb="FF3434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83834F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B3F28"/>
      </top>
      <bottom style="thin">
        <color rgb="FF383423"/>
      </bottom>
      <diagonal/>
    </border>
    <border>
      <left style="thin">
        <color rgb="FF343428"/>
      </left>
      <right style="medium">
        <color indexed="64"/>
      </right>
      <top style="thin">
        <color rgb="FF3B3F28"/>
      </top>
      <bottom style="thin">
        <color rgb="FF383423"/>
      </bottom>
      <diagonal/>
    </border>
    <border>
      <left/>
      <right style="thin">
        <color rgb="FF3B3B2B"/>
      </right>
      <top style="thin">
        <color rgb="FF606038"/>
      </top>
      <bottom style="thin">
        <color rgb="FF383423"/>
      </bottom>
      <diagonal/>
    </border>
    <border>
      <left style="thin">
        <color rgb="FF3B3B2B"/>
      </left>
      <right style="thin">
        <color rgb="FF38382B"/>
      </right>
      <top style="thin">
        <color rgb="FF3834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83428"/>
      </top>
      <bottom style="thin">
        <color rgb="FF1F280F"/>
      </bottom>
      <diagonal/>
    </border>
    <border>
      <left style="thin">
        <color rgb="FF383B2F"/>
      </left>
      <right/>
      <top style="thin">
        <color rgb="FF383428"/>
      </top>
      <bottom style="thin">
        <color rgb="FF383F28"/>
      </bottom>
      <diagonal/>
    </border>
    <border>
      <left/>
      <right style="medium">
        <color indexed="64"/>
      </right>
      <top style="thin">
        <color rgb="FF383428"/>
      </top>
      <bottom style="thin">
        <color rgb="FF383F28"/>
      </bottom>
      <diagonal/>
    </border>
    <border>
      <left style="medium">
        <color indexed="64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423"/>
      </top>
      <bottom style="thin">
        <color rgb="FF3B3828"/>
      </bottom>
      <diagonal/>
    </border>
    <border>
      <left style="thin">
        <color rgb="FF3434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2F2B1F"/>
      </right>
      <top style="thin">
        <color rgb="FF383423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B"/>
      </right>
      <top style="thin">
        <color rgb="FF383423"/>
      </top>
      <bottom style="thin">
        <color rgb="FF3B3828"/>
      </bottom>
      <diagonal/>
    </border>
    <border>
      <left style="thin">
        <color rgb="FF38382B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B2F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medium">
        <color indexed="64"/>
      </right>
      <top style="thin">
        <color rgb="FF383423"/>
      </top>
      <bottom style="thin">
        <color rgb="FF3B3828"/>
      </bottom>
      <diagonal/>
    </border>
    <border>
      <left/>
      <right style="thin">
        <color rgb="FF3B3B2B"/>
      </right>
      <top style="thin">
        <color rgb="FF383423"/>
      </top>
      <bottom style="thin">
        <color rgb="FF231F13"/>
      </bottom>
      <diagonal/>
    </border>
    <border>
      <left style="thin">
        <color rgb="FF3B3B2B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83B2F"/>
      </right>
      <top style="thin">
        <color rgb="FF1F280F"/>
      </top>
      <bottom style="thin">
        <color rgb="FF3B3B28"/>
      </bottom>
      <diagonal/>
    </border>
    <border>
      <left style="thin">
        <color rgb="FF383B2F"/>
      </left>
      <right/>
      <top style="thin">
        <color rgb="FF383F28"/>
      </top>
      <bottom style="thin">
        <color rgb="FF3B3B28"/>
      </bottom>
      <diagonal/>
    </border>
    <border>
      <left/>
      <right style="medium">
        <color indexed="64"/>
      </right>
      <top style="thin">
        <color rgb="FF383F28"/>
      </top>
      <bottom style="thin">
        <color rgb="FF3B3B28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2F2B1F"/>
      </right>
      <top style="thin">
        <color rgb="FF3B3828"/>
      </top>
      <bottom style="thin">
        <color rgb="FF38341F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medium">
        <color indexed="64"/>
      </right>
      <top style="thin">
        <color rgb="FF3B3828"/>
      </top>
      <bottom style="thin">
        <color rgb="FF38341F"/>
      </bottom>
      <diagonal/>
    </border>
    <border>
      <left/>
      <right style="thin">
        <color rgb="FF3B3B2B"/>
      </right>
      <top style="thin">
        <color rgb="FF231F13"/>
      </top>
      <bottom style="thin">
        <color rgb="FF38341F"/>
      </bottom>
      <diagonal/>
    </border>
    <border>
      <left style="thin">
        <color rgb="FF3B3B2B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B28"/>
      </top>
      <bottom style="thin">
        <color rgb="FF38341F"/>
      </bottom>
      <diagonal/>
    </border>
    <border>
      <left style="thin">
        <color rgb="FF383B2F"/>
      </left>
      <right/>
      <top style="thin">
        <color rgb="FF3B3B28"/>
      </top>
      <bottom style="thin">
        <color rgb="FF38341F"/>
      </bottom>
      <diagonal/>
    </border>
    <border>
      <left/>
      <right style="medium">
        <color indexed="64"/>
      </right>
      <top style="thin">
        <color rgb="FF3B3B28"/>
      </top>
      <bottom style="thin">
        <color rgb="FF38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2F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41F"/>
      </top>
      <bottom style="thin">
        <color rgb="FF383823"/>
      </bottom>
      <diagonal/>
    </border>
    <border>
      <left/>
      <right style="thin">
        <color rgb="FF3B3B2B"/>
      </right>
      <top style="thin">
        <color rgb="FF38341F"/>
      </top>
      <bottom style="thin">
        <color rgb="FF383823"/>
      </bottom>
      <diagonal/>
    </border>
    <border>
      <left style="thin">
        <color rgb="FF3B3B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/>
      <top style="thin">
        <color rgb="FF38341F"/>
      </top>
      <bottom style="thin">
        <color rgb="FF383823"/>
      </bottom>
      <diagonal/>
    </border>
    <border>
      <left/>
      <right style="medium">
        <color indexed="64"/>
      </right>
      <top style="thin">
        <color rgb="FF38341F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2F23"/>
      </right>
      <top style="thin">
        <color rgb="FF383823"/>
      </top>
      <bottom style="thin">
        <color rgb="FF3B3823"/>
      </bottom>
      <diagonal/>
    </border>
    <border>
      <left style="thin">
        <color rgb="FF342F23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823"/>
      </bottom>
      <diagonal/>
    </border>
    <border>
      <left/>
      <right style="thin">
        <color rgb="FF3B3B2B"/>
      </right>
      <top style="thin">
        <color rgb="FF383823"/>
      </top>
      <bottom style="thin">
        <color rgb="FF3B3823"/>
      </bottom>
      <diagonal/>
    </border>
    <border>
      <left style="thin">
        <color rgb="FF3B3B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/>
      <top style="thin">
        <color rgb="FF383823"/>
      </top>
      <bottom style="thin">
        <color rgb="FF3B3823"/>
      </bottom>
      <diagonal/>
    </border>
    <border>
      <left/>
      <right style="medium">
        <color indexed="64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2B2B1F"/>
      </right>
      <top style="thin">
        <color rgb="FF3B3823"/>
      </top>
      <bottom style="thin">
        <color rgb="FF48483B"/>
      </bottom>
      <diagonal/>
    </border>
    <border>
      <left style="thin">
        <color rgb="FF2B2B1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82B"/>
      </right>
      <top style="thin">
        <color rgb="FF3B3823"/>
      </top>
      <bottom style="thin">
        <color rgb="FF2F2F1F"/>
      </bottom>
      <diagonal/>
    </border>
    <border>
      <left style="thin">
        <color rgb="FF3838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2F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medium">
        <color indexed="64"/>
      </right>
      <top style="thin">
        <color rgb="FF3B3823"/>
      </top>
      <bottom style="thin">
        <color rgb="FF2F2F1F"/>
      </bottom>
      <diagonal/>
    </border>
    <border>
      <left/>
      <right style="thin">
        <color rgb="FF3B3B2B"/>
      </right>
      <top style="thin">
        <color rgb="FF3B3823"/>
      </top>
      <bottom style="thin">
        <color rgb="FF2F2F1F"/>
      </bottom>
      <diagonal/>
    </border>
    <border>
      <left style="thin">
        <color rgb="FF3B3B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/>
      <top style="thin">
        <color rgb="FF3B3823"/>
      </top>
      <bottom style="thin">
        <color rgb="FF2F2F1F"/>
      </bottom>
      <diagonal/>
    </border>
    <border>
      <left/>
      <right style="medium">
        <color indexed="64"/>
      </right>
      <top style="thin">
        <color rgb="FF3B3823"/>
      </top>
      <bottom style="thin">
        <color rgb="FF44443B"/>
      </bottom>
      <diagonal/>
    </border>
    <border>
      <left style="medium">
        <color indexed="64"/>
      </left>
      <right style="thin">
        <color rgb="FF2F2F28"/>
      </right>
      <top/>
      <bottom style="thin">
        <color rgb="FF38381F"/>
      </bottom>
      <diagonal/>
    </border>
    <border>
      <left style="medium">
        <color indexed="64"/>
      </left>
      <right style="thin">
        <color rgb="FF38382F"/>
      </right>
      <top/>
      <bottom style="thin">
        <color rgb="FF38381F"/>
      </bottom>
      <diagonal/>
    </border>
    <border>
      <left style="thin">
        <color rgb="FF38382F"/>
      </left>
      <right style="thin">
        <color rgb="FF231F13"/>
      </right>
      <top/>
      <bottom style="thin">
        <color rgb="FF38381F"/>
      </bottom>
      <diagonal/>
    </border>
    <border>
      <left style="thin">
        <color rgb="FF231F13"/>
      </left>
      <right style="thin">
        <color rgb="FF38342B"/>
      </right>
      <top/>
      <bottom style="thin">
        <color rgb="FF38381F"/>
      </bottom>
      <diagonal/>
    </border>
    <border>
      <left style="thin">
        <color rgb="FF383828"/>
      </left>
      <right style="thin">
        <color rgb="FF232313"/>
      </right>
      <top/>
      <bottom style="thin">
        <color rgb="FF38381F"/>
      </bottom>
      <diagonal/>
    </border>
    <border>
      <left style="thin">
        <color rgb="FF383828"/>
      </left>
      <right style="medium">
        <color indexed="64"/>
      </right>
      <top/>
      <bottom style="thin">
        <color rgb="FF38381F"/>
      </bottom>
      <diagonal/>
    </border>
    <border>
      <left/>
      <right style="thin">
        <color rgb="FF38382B"/>
      </right>
      <top/>
      <bottom style="thin">
        <color rgb="FF38381F"/>
      </bottom>
      <diagonal/>
    </border>
    <border>
      <left style="thin">
        <color rgb="FF38382B"/>
      </left>
      <right style="thin">
        <color rgb="FF2B2B1C"/>
      </right>
      <top/>
      <bottom style="thin">
        <color rgb="FF38381F"/>
      </bottom>
      <diagonal/>
    </border>
    <border>
      <left style="thin">
        <color rgb="FF2B2B1C"/>
      </left>
      <right style="thin">
        <color rgb="FF343423"/>
      </right>
      <top/>
      <bottom style="thin">
        <color rgb="FF38381F"/>
      </bottom>
      <diagonal/>
    </border>
    <border>
      <left style="thin">
        <color rgb="FF2B2818"/>
      </left>
      <right style="thin">
        <color rgb="FF232313"/>
      </right>
      <top/>
      <bottom style="thin">
        <color rgb="FF38381F"/>
      </bottom>
      <diagonal/>
    </border>
    <border>
      <left style="thin">
        <color rgb="FF232313"/>
      </left>
      <right/>
      <top/>
      <bottom style="thin">
        <color rgb="FF38381F"/>
      </bottom>
      <diagonal/>
    </border>
    <border>
      <left style="medium">
        <color indexed="64"/>
      </left>
      <right style="thin">
        <color rgb="FF343428"/>
      </right>
      <top/>
      <bottom style="thin">
        <color rgb="FF38381F"/>
      </bottom>
      <diagonal/>
    </border>
    <border>
      <left style="thin">
        <color rgb="FF343428"/>
      </left>
      <right style="thin">
        <color rgb="FF383828"/>
      </right>
      <top/>
      <bottom style="thin">
        <color rgb="FF38381F"/>
      </bottom>
      <diagonal/>
    </border>
    <border>
      <left/>
      <right/>
      <top/>
      <bottom style="thin">
        <color rgb="FF38381F"/>
      </bottom>
      <diagonal/>
    </border>
    <border>
      <left/>
      <right style="thin">
        <color rgb="FF343428"/>
      </right>
      <top/>
      <bottom style="thin">
        <color rgb="FF38381F"/>
      </bottom>
      <diagonal/>
    </border>
    <border>
      <left style="thin">
        <color rgb="FF383828"/>
      </left>
      <right/>
      <top/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232813"/>
      </top>
      <bottom style="thin">
        <color rgb="FF38381F"/>
      </bottom>
      <diagonal/>
    </border>
    <border>
      <left style="thin">
        <color rgb="FF342F23"/>
      </left>
      <right style="thin">
        <color rgb="FF2F2F2B"/>
      </right>
      <top style="thin">
        <color rgb="FF232813"/>
      </top>
      <bottom style="thin">
        <color rgb="FF38381F"/>
      </bottom>
      <diagonal/>
    </border>
    <border>
      <left style="thin">
        <color rgb="FF2F2F2B"/>
      </left>
      <right style="thin">
        <color rgb="FF2B2B1F"/>
      </right>
      <top style="thin">
        <color rgb="FF48483B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2F2F1F"/>
      </top>
      <bottom style="thin">
        <color rgb="FF38381F"/>
      </bottom>
      <diagonal/>
    </border>
    <border>
      <left style="thin">
        <color rgb="FF38382B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2F2F1F"/>
      </top>
      <bottom style="thin">
        <color rgb="FF38381F"/>
      </bottom>
      <diagonal/>
    </border>
    <border>
      <left/>
      <right style="thin">
        <color rgb="FF3B3B2B"/>
      </right>
      <top style="thin">
        <color rgb="FF2F2F1F"/>
      </top>
      <bottom style="thin">
        <color rgb="FF1F2313"/>
      </bottom>
      <diagonal/>
    </border>
    <border>
      <left style="thin">
        <color rgb="FF3B3B2B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28"/>
      </bottom>
      <diagonal/>
    </border>
    <border>
      <left style="thin">
        <color rgb="FF383B2F"/>
      </left>
      <right/>
      <top style="thin">
        <color rgb="FF2F2F1F"/>
      </top>
      <bottom style="thin">
        <color rgb="FF383828"/>
      </bottom>
      <diagonal/>
    </border>
    <border>
      <left/>
      <right style="medium">
        <color indexed="64"/>
      </right>
      <top style="thin">
        <color rgb="FF44443B"/>
      </top>
      <bottom style="thin">
        <color rgb="FF383828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/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thin">
        <color rgb="FF343423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/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/>
      <right/>
      <top style="thin">
        <color rgb="FF38381F"/>
      </top>
      <bottom style="thin">
        <color rgb="FF343423"/>
      </bottom>
      <diagonal/>
    </border>
    <border>
      <left/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/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thin">
        <color rgb="FF343423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thin">
        <color rgb="FF484B3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/>
      <right style="thin">
        <color rgb="FF3B3B2B"/>
      </right>
      <top style="thin">
        <color rgb="FF1F2313"/>
      </top>
      <bottom style="thin">
        <color rgb="FF343423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thin">
        <color rgb="FF343423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thin">
        <color rgb="FF343423"/>
      </bottom>
      <diagonal/>
    </border>
    <border>
      <left style="thin">
        <color rgb="FF2F342B"/>
      </left>
      <right/>
      <top style="thin">
        <color rgb="FF383828"/>
      </top>
      <bottom style="thin">
        <color rgb="FF343423"/>
      </bottom>
      <diagonal/>
    </border>
    <border>
      <left/>
      <right style="medium">
        <color indexed="64"/>
      </right>
      <top style="thin">
        <color rgb="FF383828"/>
      </top>
      <bottom style="thin">
        <color rgb="FF343423"/>
      </bottom>
      <diagonal/>
    </border>
    <border>
      <left style="medium">
        <color indexed="64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F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38342B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thin">
        <color rgb="FF3F3F3F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/>
      <right style="thin">
        <color rgb="FF38382B"/>
      </right>
      <top style="thin">
        <color rgb="FF343423"/>
      </top>
      <bottom style="thin">
        <color rgb="FF343434"/>
      </bottom>
      <diagonal/>
    </border>
    <border>
      <left style="thin">
        <color rgb="FF38382B"/>
      </left>
      <right style="thin">
        <color rgb="FF2B2B1C"/>
      </right>
      <top style="thin">
        <color rgb="FF343423"/>
      </top>
      <bottom style="thin">
        <color rgb="FF343434"/>
      </bottom>
      <diagonal/>
    </border>
    <border>
      <left style="thin">
        <color rgb="FF2B2B1C"/>
      </left>
      <right style="thin">
        <color rgb="FF343423"/>
      </right>
      <top style="thin">
        <color rgb="FF343423"/>
      </top>
      <bottom style="thin">
        <color rgb="FF343434"/>
      </bottom>
      <diagonal/>
    </border>
    <border>
      <left style="thin">
        <color rgb="FF3F3F3B"/>
      </left>
      <right style="thin">
        <color rgb="FF34342F"/>
      </right>
      <top style="thin">
        <color rgb="FF343423"/>
      </top>
      <bottom style="thin">
        <color rgb="FF343434"/>
      </bottom>
      <diagonal/>
    </border>
    <border>
      <left style="thin">
        <color rgb="FF34342F"/>
      </left>
      <right/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thin">
        <color rgb="FF343428"/>
      </left>
      <right style="thin">
        <color rgb="FF383828"/>
      </right>
      <top style="thin">
        <color rgb="FF343423"/>
      </top>
      <bottom style="thin">
        <color rgb="FF343434"/>
      </bottom>
      <diagonal/>
    </border>
    <border>
      <left/>
      <right/>
      <top style="thin">
        <color rgb="FF343423"/>
      </top>
      <bottom style="thin">
        <color rgb="FF343434"/>
      </bottom>
      <diagonal/>
    </border>
    <border>
      <left/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thin">
        <color rgb="FF383828"/>
      </left>
      <right/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B2B28"/>
      </right>
      <top style="thin">
        <color rgb="FF343423"/>
      </top>
      <bottom style="thin">
        <color rgb="FF343434"/>
      </bottom>
      <diagonal/>
    </border>
    <border>
      <left style="thin">
        <color rgb="FF2B2B28"/>
      </left>
      <right style="thin">
        <color rgb="FF282818"/>
      </right>
      <top style="thin">
        <color rgb="FF343423"/>
      </top>
      <bottom style="thin">
        <color rgb="FF343434"/>
      </bottom>
      <diagonal/>
    </border>
    <border>
      <left style="thin">
        <color rgb="FF282818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2B2B1F"/>
      </right>
      <top style="thin">
        <color rgb="FF484B34"/>
      </top>
      <bottom style="thin">
        <color rgb="FF343434"/>
      </bottom>
      <diagonal/>
    </border>
    <border>
      <left style="thin">
        <color rgb="FF2B2B1F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4B4B4B"/>
      </bottom>
      <diagonal/>
    </border>
    <border>
      <left style="thin">
        <color rgb="FF343428"/>
      </left>
      <right style="thin">
        <color rgb="FF383B2F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/>
      <right style="thin">
        <color rgb="FF3B3B2B"/>
      </right>
      <top style="thin">
        <color rgb="FF343423"/>
      </top>
      <bottom style="thin">
        <color rgb="FF343434"/>
      </bottom>
      <diagonal/>
    </border>
    <border>
      <left style="thin">
        <color rgb="FF3B3B2B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F342B"/>
      </right>
      <top style="thin">
        <color rgb="FF343423"/>
      </top>
      <bottom style="thin">
        <color rgb="FF343434"/>
      </bottom>
      <diagonal/>
    </border>
    <border>
      <left style="thin">
        <color rgb="FF2F342B"/>
      </left>
      <right style="thin">
        <color rgb="FF2B2B1F"/>
      </right>
      <top style="thin">
        <color rgb="FF343423"/>
      </top>
      <bottom style="thin">
        <color rgb="FF343434"/>
      </bottom>
      <diagonal/>
    </border>
    <border>
      <left/>
      <right/>
      <top/>
      <bottom style="thin">
        <color rgb="FF343434"/>
      </bottom>
      <diagonal/>
    </border>
    <border>
      <left style="thin">
        <color rgb="FF2B2B1F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medium">
        <color indexed="64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/>
      <right style="thin">
        <color rgb="FF38382B"/>
      </right>
      <top style="thin">
        <color rgb="FF38381F"/>
      </top>
      <bottom style="medium">
        <color indexed="64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medium">
        <color indexed="64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232313"/>
      </left>
      <right/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medium">
        <color indexed="64"/>
      </bottom>
      <diagonal/>
    </border>
    <border>
      <left/>
      <right/>
      <top style="thin">
        <color rgb="FF38381F"/>
      </top>
      <bottom style="medium">
        <color indexed="64"/>
      </bottom>
      <diagonal/>
    </border>
    <border>
      <left/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/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medium">
        <color indexed="64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medium">
        <color indexed="6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/>
      <right style="thin">
        <color rgb="FF3B3B2B"/>
      </right>
      <top style="thin">
        <color rgb="FF1F2313"/>
      </top>
      <bottom style="medium">
        <color indexed="64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medium">
        <color indexed="64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medium">
        <color indexed="64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medium">
        <color indexed="64"/>
      </bottom>
      <diagonal/>
    </border>
    <border>
      <left/>
      <right/>
      <top style="thin">
        <color rgb="FF383828"/>
      </top>
      <bottom style="medium">
        <color indexed="64"/>
      </bottom>
      <diagonal/>
    </border>
    <border>
      <left style="thin">
        <color rgb="FF2B2B1F"/>
      </left>
      <right style="medium">
        <color indexed="64"/>
      </right>
      <top style="thin">
        <color rgb="FF38382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indexed="64"/>
      </bottom>
      <diagonal/>
    </border>
    <border>
      <left/>
      <right/>
      <top/>
      <bottom style="thin">
        <color rgb="FF383823"/>
      </bottom>
      <diagonal/>
    </border>
    <border>
      <left/>
      <right/>
      <top style="thin">
        <color rgb="FF383823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8381F"/>
      </bottom>
      <diagonal/>
    </border>
    <border>
      <left/>
      <right/>
      <top style="thin">
        <color rgb="FF3B3828"/>
      </top>
      <bottom style="thin">
        <color rgb="FF383823"/>
      </bottom>
      <diagonal/>
    </border>
    <border>
      <left/>
      <right/>
      <top/>
      <bottom style="thin">
        <color rgb="FF34381F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indexed="64"/>
      </bottom>
      <diagonal/>
    </border>
    <border>
      <left/>
      <right/>
      <top style="thin">
        <color rgb="FF34381F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83828"/>
      </bottom>
      <diagonal/>
    </border>
    <border>
      <left/>
      <right/>
      <top style="thin">
        <color rgb="FF383828"/>
      </top>
      <bottom style="thin">
        <color rgb="FF383823"/>
      </bottom>
      <diagonal/>
    </border>
    <border>
      <left/>
      <right/>
      <top style="thin">
        <color rgb="FF38381F"/>
      </top>
      <bottom style="thin">
        <color rgb="FF2B2B1C"/>
      </bottom>
      <diagonal/>
    </border>
    <border>
      <left/>
      <right/>
      <top style="thin">
        <color rgb="FF2B2B1C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428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indexed="64"/>
      </bottom>
      <diagonal/>
    </border>
    <border>
      <left/>
      <right/>
      <top style="thin">
        <color rgb="FF3B3B28"/>
      </top>
      <bottom style="thin">
        <color rgb="FF38341F"/>
      </bottom>
      <diagonal/>
    </border>
    <border>
      <left/>
      <right/>
      <top style="thin">
        <color rgb="FF38341F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B3823"/>
      </bottom>
      <diagonal/>
    </border>
    <border>
      <left/>
      <right/>
      <top style="thin">
        <color rgb="FF3B3823"/>
      </top>
      <bottom style="thin">
        <color rgb="FF2F2F1F"/>
      </bottom>
      <diagonal/>
    </border>
    <border>
      <left style="medium">
        <color indexed="64"/>
      </left>
      <right/>
      <top/>
      <bottom style="thin">
        <color rgb="FF38381F"/>
      </bottom>
      <diagonal/>
    </border>
    <border>
      <left style="thin">
        <color rgb="FF2F2F28"/>
      </left>
      <right style="medium">
        <color indexed="64"/>
      </right>
      <top/>
      <bottom style="thin">
        <color rgb="FF38381F"/>
      </bottom>
      <diagonal/>
    </border>
    <border>
      <left/>
      <right/>
      <top style="thin">
        <color rgb="FF2F2F1F"/>
      </top>
      <bottom style="thin">
        <color rgb="FF383828"/>
      </bottom>
      <diagonal/>
    </border>
    <border>
      <left style="medium">
        <color indexed="64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/>
      <right/>
      <top style="thin">
        <color rgb="FF383828"/>
      </top>
      <bottom style="thin">
        <color rgb="FF343423"/>
      </bottom>
      <diagonal/>
    </border>
    <border>
      <left style="medium">
        <color indexed="64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/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38382B"/>
      </right>
      <top/>
      <bottom style="medium">
        <color indexed="64"/>
      </bottom>
      <diagonal/>
    </border>
    <border>
      <left style="thin">
        <color rgb="FF38382B"/>
      </left>
      <right style="thin">
        <color rgb="FF444444"/>
      </right>
      <top/>
      <bottom style="medium">
        <color indexed="64"/>
      </bottom>
      <diagonal/>
    </border>
    <border>
      <left style="thin">
        <color rgb="FF444444"/>
      </left>
      <right style="thin">
        <color rgb="FF4F4F4F"/>
      </right>
      <top/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rgb="FF38381F"/>
      </bottom>
      <diagonal/>
    </border>
    <border>
      <left/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 style="thin">
        <color indexed="64"/>
      </right>
      <top style="thin">
        <color rgb="FF38381F"/>
      </top>
      <bottom style="thin">
        <color rgb="FF343423"/>
      </bottom>
      <diagonal/>
    </border>
    <border>
      <left/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indexed="64"/>
      </right>
      <top style="thin">
        <color rgb="FF343423"/>
      </top>
      <bottom style="thin">
        <color rgb="FF343434"/>
      </bottom>
      <diagonal/>
    </border>
    <border>
      <left/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indexed="64"/>
      </right>
      <top style="thin">
        <color rgb="FF38381F"/>
      </top>
      <bottom style="medium">
        <color indexed="64"/>
      </bottom>
      <diagonal/>
    </border>
    <border>
      <left/>
      <right style="medium">
        <color indexed="64"/>
      </right>
      <top style="thin">
        <color rgb="FF38381F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11" fillId="0" borderId="0"/>
  </cellStyleXfs>
  <cellXfs count="1426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2" fillId="0" borderId="0" xfId="1"/>
    <xf numFmtId="0" fontId="2" fillId="0" borderId="0" xfId="1" applyFont="1"/>
    <xf numFmtId="0" fontId="0" fillId="0" borderId="0" xfId="1" applyFont="1"/>
    <xf numFmtId="0" fontId="3" fillId="0" borderId="0" xfId="0" applyFont="1"/>
    <xf numFmtId="0" fontId="9" fillId="4" borderId="6" xfId="0" applyFont="1" applyFill="1" applyBorder="1" applyAlignment="1">
      <alignment horizontal="center" vertical="center" wrapText="1"/>
    </xf>
    <xf numFmtId="13" fontId="9" fillId="4" borderId="5" xfId="0" applyNumberFormat="1" applyFont="1" applyFill="1" applyBorder="1" applyAlignment="1">
      <alignment horizontal="center" vertical="center" wrapText="1"/>
    </xf>
    <xf numFmtId="0" fontId="9" fillId="4" borderId="5" xfId="0" applyFont="1" applyFill="1" applyBorder="1" applyAlignment="1">
      <alignment horizontal="center" vertical="center" wrapText="1"/>
    </xf>
    <xf numFmtId="13" fontId="10" fillId="4" borderId="7" xfId="0" applyNumberFormat="1" applyFont="1" applyFill="1" applyBorder="1" applyAlignment="1">
      <alignment horizontal="center" vertical="center" wrapText="1"/>
    </xf>
    <xf numFmtId="0" fontId="9" fillId="4" borderId="18" xfId="0" applyFont="1" applyFill="1" applyBorder="1" applyAlignment="1">
      <alignment horizontal="center" vertical="center" wrapText="1"/>
    </xf>
    <xf numFmtId="13" fontId="10" fillId="4" borderId="5" xfId="0" applyNumberFormat="1" applyFont="1" applyFill="1" applyBorder="1" applyAlignment="1">
      <alignment horizontal="center" vertical="center" wrapText="1"/>
    </xf>
    <xf numFmtId="165" fontId="10" fillId="4" borderId="5" xfId="0" applyNumberFormat="1" applyFont="1" applyFill="1" applyBorder="1" applyAlignment="1">
      <alignment horizontal="center" vertical="center" wrapText="1"/>
    </xf>
    <xf numFmtId="165" fontId="9" fillId="4" borderId="17" xfId="0" applyNumberFormat="1" applyFont="1" applyFill="1" applyBorder="1" applyAlignment="1">
      <alignment horizontal="center" vertical="center" wrapText="1"/>
    </xf>
    <xf numFmtId="0" fontId="9" fillId="4" borderId="6" xfId="0" applyNumberFormat="1" applyFont="1" applyFill="1" applyBorder="1" applyAlignment="1">
      <alignment horizontal="center" vertical="center" wrapText="1"/>
    </xf>
    <xf numFmtId="0" fontId="10" fillId="4" borderId="5" xfId="0" applyNumberFormat="1" applyFont="1" applyFill="1" applyBorder="1" applyAlignment="1">
      <alignment horizontal="center" vertical="center" wrapText="1"/>
    </xf>
    <xf numFmtId="0" fontId="9" fillId="4" borderId="7" xfId="0" applyNumberFormat="1" applyFont="1" applyFill="1" applyBorder="1" applyAlignment="1">
      <alignment horizontal="center" vertical="center" wrapText="1"/>
    </xf>
    <xf numFmtId="165" fontId="9" fillId="4" borderId="18" xfId="0" applyNumberFormat="1" applyFont="1" applyFill="1" applyBorder="1" applyAlignment="1">
      <alignment horizontal="center" vertical="center" wrapText="1"/>
    </xf>
    <xf numFmtId="166" fontId="9" fillId="4" borderId="5" xfId="0" applyNumberFormat="1" applyFont="1" applyFill="1" applyBorder="1" applyAlignment="1">
      <alignment horizontal="center" vertical="center" wrapText="1"/>
    </xf>
    <xf numFmtId="0" fontId="10" fillId="4" borderId="17" xfId="0" applyNumberFormat="1" applyFont="1" applyFill="1" applyBorder="1" applyAlignment="1">
      <alignment horizontal="center" vertical="center" wrapText="1"/>
    </xf>
    <xf numFmtId="169" fontId="0" fillId="0" borderId="0" xfId="0" applyNumberFormat="1"/>
    <xf numFmtId="0" fontId="0" fillId="0" borderId="0" xfId="0" applyNumberFormat="1"/>
    <xf numFmtId="0" fontId="9" fillId="2" borderId="6" xfId="0" applyFont="1" applyFill="1" applyBorder="1" applyAlignment="1">
      <alignment horizontal="center" vertical="center" wrapText="1"/>
    </xf>
    <xf numFmtId="13" fontId="9" fillId="2" borderId="5" xfId="0" applyNumberFormat="1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  <xf numFmtId="13" fontId="10" fillId="2" borderId="7" xfId="0" applyNumberFormat="1" applyFont="1" applyFill="1" applyBorder="1" applyAlignment="1">
      <alignment horizontal="center" vertical="center" wrapText="1"/>
    </xf>
    <xf numFmtId="0" fontId="9" fillId="2" borderId="18" xfId="0" applyFont="1" applyFill="1" applyBorder="1" applyAlignment="1">
      <alignment horizontal="center" vertical="center" wrapText="1"/>
    </xf>
    <xf numFmtId="13" fontId="10" fillId="2" borderId="5" xfId="0" applyNumberFormat="1" applyFont="1" applyFill="1" applyBorder="1" applyAlignment="1">
      <alignment horizontal="center" vertical="center" wrapText="1"/>
    </xf>
    <xf numFmtId="165" fontId="10" fillId="2" borderId="5" xfId="0" applyNumberFormat="1" applyFont="1" applyFill="1" applyBorder="1" applyAlignment="1">
      <alignment horizontal="center" vertical="center" wrapText="1"/>
    </xf>
    <xf numFmtId="165" fontId="9" fillId="2" borderId="17" xfId="0" applyNumberFormat="1" applyFont="1" applyFill="1" applyBorder="1" applyAlignment="1">
      <alignment horizontal="center" vertical="center" wrapText="1"/>
    </xf>
    <xf numFmtId="0" fontId="9" fillId="2" borderId="6" xfId="0" applyNumberFormat="1" applyFont="1" applyFill="1" applyBorder="1" applyAlignment="1">
      <alignment horizontal="center" vertical="center" wrapText="1"/>
    </xf>
    <xf numFmtId="0" fontId="10" fillId="2" borderId="5" xfId="0" applyNumberFormat="1" applyFont="1" applyFill="1" applyBorder="1" applyAlignment="1">
      <alignment horizontal="center" vertical="center" wrapText="1"/>
    </xf>
    <xf numFmtId="0" fontId="9" fillId="2" borderId="7" xfId="0" applyNumberFormat="1" applyFont="1" applyFill="1" applyBorder="1" applyAlignment="1">
      <alignment horizontal="center" vertical="center" wrapText="1"/>
    </xf>
    <xf numFmtId="165" fontId="9" fillId="2" borderId="18" xfId="0" applyNumberFormat="1" applyFont="1" applyFill="1" applyBorder="1" applyAlignment="1">
      <alignment horizontal="center" vertical="center" wrapText="1"/>
    </xf>
    <xf numFmtId="166" fontId="9" fillId="2" borderId="5" xfId="0" applyNumberFormat="1" applyFont="1" applyFill="1" applyBorder="1" applyAlignment="1">
      <alignment horizontal="center" vertical="center" wrapText="1"/>
    </xf>
    <xf numFmtId="0" fontId="10" fillId="2" borderId="17" xfId="0" applyNumberFormat="1" applyFont="1" applyFill="1" applyBorder="1" applyAlignment="1">
      <alignment horizontal="center" vertical="center" wrapText="1"/>
    </xf>
    <xf numFmtId="165" fontId="9" fillId="2" borderId="24" xfId="0" applyNumberFormat="1" applyFont="1" applyFill="1" applyBorder="1" applyAlignment="1">
      <alignment horizontal="center" vertical="center" wrapText="1"/>
    </xf>
    <xf numFmtId="0" fontId="9" fillId="2" borderId="25" xfId="0" applyNumberFormat="1" applyFont="1" applyFill="1" applyBorder="1" applyAlignment="1">
      <alignment horizontal="center" vertical="center" wrapText="1"/>
    </xf>
    <xf numFmtId="0" fontId="9" fillId="2" borderId="26" xfId="0" applyNumberFormat="1" applyFont="1" applyFill="1" applyBorder="1" applyAlignment="1">
      <alignment horizontal="center" vertical="center" wrapText="1"/>
    </xf>
    <xf numFmtId="0" fontId="9" fillId="2" borderId="27" xfId="0" applyFont="1" applyFill="1" applyBorder="1" applyAlignment="1">
      <alignment horizontal="center" vertical="center" wrapText="1"/>
    </xf>
    <xf numFmtId="0" fontId="9" fillId="2" borderId="28" xfId="0" applyNumberFormat="1" applyFont="1" applyFill="1" applyBorder="1" applyAlignment="1">
      <alignment horizontal="center" vertical="center" wrapText="1"/>
    </xf>
    <xf numFmtId="167" fontId="10" fillId="2" borderId="29" xfId="0" applyNumberFormat="1" applyFont="1" applyFill="1" applyBorder="1" applyAlignment="1">
      <alignment horizontal="center" vertical="center" wrapText="1"/>
    </xf>
    <xf numFmtId="0" fontId="10" fillId="2" borderId="30" xfId="0" applyNumberFormat="1" applyFont="1" applyFill="1" applyBorder="1" applyAlignment="1">
      <alignment horizontal="center" vertical="center" wrapText="1"/>
    </xf>
    <xf numFmtId="0" fontId="10" fillId="2" borderId="31" xfId="0" applyFont="1" applyFill="1" applyBorder="1" applyAlignment="1">
      <alignment horizontal="center" vertical="center" wrapText="1"/>
    </xf>
    <xf numFmtId="0" fontId="10" fillId="2" borderId="32" xfId="0" applyFont="1" applyFill="1" applyBorder="1" applyAlignment="1">
      <alignment horizontal="center" vertical="center" wrapText="1"/>
    </xf>
    <xf numFmtId="0" fontId="10" fillId="2" borderId="33" xfId="0" applyFont="1" applyFill="1" applyBorder="1" applyAlignment="1">
      <alignment horizontal="center" vertical="center" wrapText="1"/>
    </xf>
    <xf numFmtId="0" fontId="10" fillId="2" borderId="34" xfId="0" applyNumberFormat="1" applyFont="1" applyFill="1" applyBorder="1" applyAlignment="1">
      <alignment horizontal="center" vertical="center" wrapText="1"/>
    </xf>
    <xf numFmtId="0" fontId="10" fillId="2" borderId="36" xfId="0" applyNumberFormat="1" applyFont="1" applyFill="1" applyBorder="1" applyAlignment="1">
      <alignment horizontal="center" vertical="center" wrapText="1"/>
    </xf>
    <xf numFmtId="168" fontId="10" fillId="2" borderId="37" xfId="0" applyNumberFormat="1" applyFont="1" applyFill="1" applyBorder="1" applyAlignment="1">
      <alignment horizontal="center" vertical="center" wrapText="1"/>
    </xf>
    <xf numFmtId="0" fontId="10" fillId="2" borderId="38" xfId="0" applyFont="1" applyFill="1" applyBorder="1" applyAlignment="1">
      <alignment horizontal="center" vertical="center" wrapText="1"/>
    </xf>
    <xf numFmtId="1" fontId="10" fillId="2" borderId="39" xfId="0" applyNumberFormat="1" applyFont="1" applyFill="1" applyBorder="1" applyAlignment="1">
      <alignment horizontal="center" vertical="center" wrapText="1"/>
    </xf>
    <xf numFmtId="165" fontId="10" fillId="2" borderId="40" xfId="0" applyNumberFormat="1" applyFont="1" applyFill="1" applyBorder="1" applyAlignment="1">
      <alignment horizontal="center" vertical="center" wrapText="1"/>
    </xf>
    <xf numFmtId="165" fontId="9" fillId="4" borderId="41" xfId="0" applyNumberFormat="1" applyFont="1" applyFill="1" applyBorder="1" applyAlignment="1">
      <alignment horizontal="center" vertical="center" wrapText="1"/>
    </xf>
    <xf numFmtId="0" fontId="9" fillId="4" borderId="42" xfId="0" applyNumberFormat="1" applyFont="1" applyFill="1" applyBorder="1" applyAlignment="1">
      <alignment horizontal="center" vertical="center" wrapText="1"/>
    </xf>
    <xf numFmtId="0" fontId="9" fillId="4" borderId="43" xfId="0" applyNumberFormat="1" applyFont="1" applyFill="1" applyBorder="1" applyAlignment="1">
      <alignment horizontal="center" vertical="center" wrapText="1"/>
    </xf>
    <xf numFmtId="0" fontId="9" fillId="4" borderId="44" xfId="0" applyFont="1" applyFill="1" applyBorder="1" applyAlignment="1">
      <alignment horizontal="center" vertical="center" wrapText="1"/>
    </xf>
    <xf numFmtId="0" fontId="9" fillId="4" borderId="45" xfId="0" applyNumberFormat="1" applyFont="1" applyFill="1" applyBorder="1" applyAlignment="1">
      <alignment horizontal="center" vertical="center" wrapText="1"/>
    </xf>
    <xf numFmtId="167" fontId="10" fillId="4" borderId="46" xfId="0" applyNumberFormat="1" applyFont="1" applyFill="1" applyBorder="1" applyAlignment="1">
      <alignment horizontal="center" vertical="center" wrapText="1"/>
    </xf>
    <xf numFmtId="0" fontId="10" fillId="4" borderId="47" xfId="0" applyNumberFormat="1" applyFont="1" applyFill="1" applyBorder="1" applyAlignment="1">
      <alignment horizontal="center" vertical="center" wrapText="1"/>
    </xf>
    <xf numFmtId="0" fontId="10" fillId="4" borderId="48" xfId="0" applyFont="1" applyFill="1" applyBorder="1" applyAlignment="1">
      <alignment horizontal="center" vertical="center" wrapText="1"/>
    </xf>
    <xf numFmtId="0" fontId="10" fillId="4" borderId="49" xfId="0" applyFont="1" applyFill="1" applyBorder="1" applyAlignment="1">
      <alignment horizontal="center" vertical="center" wrapText="1"/>
    </xf>
    <xf numFmtId="0" fontId="10" fillId="4" borderId="50" xfId="0" applyFont="1" applyFill="1" applyBorder="1" applyAlignment="1">
      <alignment horizontal="center" vertical="center" wrapText="1"/>
    </xf>
    <xf numFmtId="0" fontId="10" fillId="4" borderId="51" xfId="0" applyNumberFormat="1" applyFont="1" applyFill="1" applyBorder="1" applyAlignment="1">
      <alignment horizontal="center" vertical="center" wrapText="1"/>
    </xf>
    <xf numFmtId="0" fontId="10" fillId="4" borderId="53" xfId="0" applyNumberFormat="1" applyFont="1" applyFill="1" applyBorder="1" applyAlignment="1">
      <alignment horizontal="center" vertical="center" wrapText="1"/>
    </xf>
    <xf numFmtId="168" fontId="10" fillId="4" borderId="54" xfId="0" applyNumberFormat="1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1" fontId="10" fillId="4" borderId="56" xfId="0" applyNumberFormat="1" applyFont="1" applyFill="1" applyBorder="1" applyAlignment="1">
      <alignment horizontal="center" vertical="center" wrapText="1"/>
    </xf>
    <xf numFmtId="165" fontId="10" fillId="4" borderId="57" xfId="0" applyNumberFormat="1" applyFont="1" applyFill="1" applyBorder="1" applyAlignment="1">
      <alignment horizontal="center" vertical="center" wrapText="1"/>
    </xf>
    <xf numFmtId="165" fontId="9" fillId="2" borderId="58" xfId="0" applyNumberFormat="1" applyFont="1" applyFill="1" applyBorder="1" applyAlignment="1">
      <alignment horizontal="center" vertical="center" wrapText="1"/>
    </xf>
    <xf numFmtId="0" fontId="9" fillId="2" borderId="59" xfId="0" applyNumberFormat="1" applyFont="1" applyFill="1" applyBorder="1" applyAlignment="1">
      <alignment horizontal="center" vertical="center" wrapText="1"/>
    </xf>
    <xf numFmtId="0" fontId="9" fillId="2" borderId="60" xfId="0" applyNumberFormat="1" applyFont="1" applyFill="1" applyBorder="1" applyAlignment="1">
      <alignment horizontal="center" vertical="center" wrapText="1"/>
    </xf>
    <xf numFmtId="0" fontId="9" fillId="2" borderId="61" xfId="0" applyFont="1" applyFill="1" applyBorder="1" applyAlignment="1">
      <alignment horizontal="center" vertical="center" wrapText="1"/>
    </xf>
    <xf numFmtId="0" fontId="9" fillId="2" borderId="62" xfId="0" applyNumberFormat="1" applyFont="1" applyFill="1" applyBorder="1" applyAlignment="1">
      <alignment horizontal="center" vertical="center" wrapText="1"/>
    </xf>
    <xf numFmtId="167" fontId="10" fillId="2" borderId="63" xfId="0" applyNumberFormat="1" applyFont="1" applyFill="1" applyBorder="1" applyAlignment="1">
      <alignment horizontal="center" vertical="center" wrapText="1"/>
    </xf>
    <xf numFmtId="0" fontId="10" fillId="2" borderId="64" xfId="0" applyNumberFormat="1" applyFont="1" applyFill="1" applyBorder="1" applyAlignment="1">
      <alignment horizontal="center" vertical="center" wrapText="1"/>
    </xf>
    <xf numFmtId="0" fontId="10" fillId="2" borderId="65" xfId="0" applyFont="1" applyFill="1" applyBorder="1" applyAlignment="1">
      <alignment horizontal="center" vertical="center" wrapText="1"/>
    </xf>
    <xf numFmtId="0" fontId="10" fillId="2" borderId="66" xfId="0" applyFont="1" applyFill="1" applyBorder="1" applyAlignment="1">
      <alignment horizontal="center" vertical="center" wrapText="1"/>
    </xf>
    <xf numFmtId="0" fontId="10" fillId="2" borderId="67" xfId="0" applyFont="1" applyFill="1" applyBorder="1" applyAlignment="1">
      <alignment horizontal="center" vertical="center" wrapText="1"/>
    </xf>
    <xf numFmtId="0" fontId="10" fillId="2" borderId="68" xfId="0" applyNumberFormat="1" applyFont="1" applyFill="1" applyBorder="1" applyAlignment="1">
      <alignment horizontal="center" vertical="center" wrapText="1"/>
    </xf>
    <xf numFmtId="0" fontId="10" fillId="2" borderId="70" xfId="0" applyNumberFormat="1" applyFont="1" applyFill="1" applyBorder="1" applyAlignment="1">
      <alignment horizontal="center" vertical="center" wrapText="1"/>
    </xf>
    <xf numFmtId="168" fontId="10" fillId="2" borderId="71" xfId="0" applyNumberFormat="1" applyFont="1" applyFill="1" applyBorder="1" applyAlignment="1">
      <alignment horizontal="center" vertical="center" wrapText="1"/>
    </xf>
    <xf numFmtId="0" fontId="10" fillId="2" borderId="72" xfId="0" applyFont="1" applyFill="1" applyBorder="1" applyAlignment="1">
      <alignment horizontal="center" vertical="center" wrapText="1"/>
    </xf>
    <xf numFmtId="1" fontId="10" fillId="2" borderId="73" xfId="0" applyNumberFormat="1" applyFont="1" applyFill="1" applyBorder="1" applyAlignment="1">
      <alignment horizontal="center" vertical="center" wrapText="1"/>
    </xf>
    <xf numFmtId="165" fontId="10" fillId="2" borderId="74" xfId="0" applyNumberFormat="1" applyFont="1" applyFill="1" applyBorder="1" applyAlignment="1">
      <alignment horizontal="center" vertical="center" wrapText="1"/>
    </xf>
    <xf numFmtId="165" fontId="9" fillId="4" borderId="75" xfId="0" applyNumberFormat="1" applyFont="1" applyFill="1" applyBorder="1" applyAlignment="1">
      <alignment horizontal="center" vertical="center" wrapText="1"/>
    </xf>
    <xf numFmtId="0" fontId="9" fillId="4" borderId="76" xfId="0" applyNumberFormat="1" applyFont="1" applyFill="1" applyBorder="1" applyAlignment="1">
      <alignment horizontal="center" vertical="center" wrapText="1"/>
    </xf>
    <xf numFmtId="0" fontId="9" fillId="4" borderId="77" xfId="0" applyNumberFormat="1" applyFont="1" applyFill="1" applyBorder="1" applyAlignment="1">
      <alignment horizontal="center" vertical="center" wrapText="1"/>
    </xf>
    <xf numFmtId="0" fontId="9" fillId="4" borderId="78" xfId="0" applyFont="1" applyFill="1" applyBorder="1" applyAlignment="1">
      <alignment horizontal="center" vertical="center" wrapText="1"/>
    </xf>
    <xf numFmtId="0" fontId="9" fillId="4" borderId="79" xfId="0" applyNumberFormat="1" applyFont="1" applyFill="1" applyBorder="1" applyAlignment="1">
      <alignment horizontal="center" vertical="center" wrapText="1"/>
    </xf>
    <xf numFmtId="167" fontId="10" fillId="4" borderId="80" xfId="0" applyNumberFormat="1" applyFont="1" applyFill="1" applyBorder="1" applyAlignment="1">
      <alignment horizontal="center" vertical="center" wrapText="1"/>
    </xf>
    <xf numFmtId="0" fontId="10" fillId="4" borderId="81" xfId="0" applyNumberFormat="1" applyFont="1" applyFill="1" applyBorder="1" applyAlignment="1">
      <alignment horizontal="center" vertical="center" wrapText="1"/>
    </xf>
    <xf numFmtId="0" fontId="10" fillId="4" borderId="82" xfId="0" applyFont="1" applyFill="1" applyBorder="1" applyAlignment="1">
      <alignment horizontal="center" vertical="center" wrapText="1"/>
    </xf>
    <xf numFmtId="0" fontId="10" fillId="4" borderId="83" xfId="0" applyFont="1" applyFill="1" applyBorder="1" applyAlignment="1">
      <alignment horizontal="center" vertical="center" wrapText="1"/>
    </xf>
    <xf numFmtId="0" fontId="10" fillId="4" borderId="84" xfId="0" applyFont="1" applyFill="1" applyBorder="1" applyAlignment="1">
      <alignment horizontal="center" vertical="center" wrapText="1"/>
    </xf>
    <xf numFmtId="0" fontId="10" fillId="4" borderId="85" xfId="0" applyNumberFormat="1" applyFont="1" applyFill="1" applyBorder="1" applyAlignment="1">
      <alignment horizontal="center" vertical="center" wrapText="1"/>
    </xf>
    <xf numFmtId="0" fontId="10" fillId="4" borderId="87" xfId="0" applyNumberFormat="1" applyFont="1" applyFill="1" applyBorder="1" applyAlignment="1">
      <alignment horizontal="center" vertical="center" wrapText="1"/>
    </xf>
    <xf numFmtId="168" fontId="10" fillId="4" borderId="88" xfId="0" applyNumberFormat="1" applyFont="1" applyFill="1" applyBorder="1" applyAlignment="1">
      <alignment horizontal="center" vertical="center" wrapText="1"/>
    </xf>
    <xf numFmtId="0" fontId="10" fillId="4" borderId="89" xfId="0" applyFont="1" applyFill="1" applyBorder="1" applyAlignment="1">
      <alignment horizontal="center" vertical="center" wrapText="1"/>
    </xf>
    <xf numFmtId="1" fontId="10" fillId="4" borderId="5" xfId="0" applyNumberFormat="1" applyFont="1" applyFill="1" applyBorder="1" applyAlignment="1">
      <alignment horizontal="center" vertical="center" wrapText="1"/>
    </xf>
    <xf numFmtId="165" fontId="10" fillId="4" borderId="90" xfId="0" applyNumberFormat="1" applyFont="1" applyFill="1" applyBorder="1" applyAlignment="1">
      <alignment horizontal="center" vertical="center" wrapText="1"/>
    </xf>
    <xf numFmtId="165" fontId="9" fillId="2" borderId="91" xfId="0" applyNumberFormat="1" applyFont="1" applyFill="1" applyBorder="1" applyAlignment="1">
      <alignment horizontal="center" vertical="center" wrapText="1"/>
    </xf>
    <xf numFmtId="0" fontId="9" fillId="2" borderId="92" xfId="0" applyNumberFormat="1" applyFont="1" applyFill="1" applyBorder="1" applyAlignment="1">
      <alignment horizontal="center" vertical="center" wrapText="1"/>
    </xf>
    <xf numFmtId="0" fontId="9" fillId="2" borderId="93" xfId="0" applyNumberFormat="1" applyFont="1" applyFill="1" applyBorder="1" applyAlignment="1">
      <alignment horizontal="center" vertical="center" wrapText="1"/>
    </xf>
    <xf numFmtId="0" fontId="9" fillId="2" borderId="94" xfId="0" applyFont="1" applyFill="1" applyBorder="1" applyAlignment="1">
      <alignment horizontal="center" vertical="center" wrapText="1"/>
    </xf>
    <xf numFmtId="0" fontId="9" fillId="2" borderId="95" xfId="0" applyNumberFormat="1" applyFont="1" applyFill="1" applyBorder="1" applyAlignment="1">
      <alignment horizontal="center" vertical="center" wrapText="1"/>
    </xf>
    <xf numFmtId="167" fontId="10" fillId="2" borderId="96" xfId="0" applyNumberFormat="1" applyFont="1" applyFill="1" applyBorder="1" applyAlignment="1">
      <alignment horizontal="center" vertical="center" wrapText="1"/>
    </xf>
    <xf numFmtId="0" fontId="10" fillId="2" borderId="97" xfId="0" applyNumberFormat="1" applyFont="1" applyFill="1" applyBorder="1" applyAlignment="1">
      <alignment horizontal="center" vertical="center" wrapText="1"/>
    </xf>
    <xf numFmtId="0" fontId="10" fillId="2" borderId="98" xfId="0" applyFont="1" applyFill="1" applyBorder="1" applyAlignment="1">
      <alignment horizontal="center" vertical="center" wrapText="1"/>
    </xf>
    <xf numFmtId="0" fontId="10" fillId="2" borderId="99" xfId="0" applyFont="1" applyFill="1" applyBorder="1" applyAlignment="1">
      <alignment horizontal="center" vertical="center" wrapText="1"/>
    </xf>
    <xf numFmtId="0" fontId="10" fillId="2" borderId="100" xfId="0" applyFont="1" applyFill="1" applyBorder="1" applyAlignment="1">
      <alignment horizontal="center" vertical="center" wrapText="1"/>
    </xf>
    <xf numFmtId="0" fontId="10" fillId="2" borderId="101" xfId="0" applyNumberFormat="1" applyFont="1" applyFill="1" applyBorder="1" applyAlignment="1">
      <alignment horizontal="center" vertical="center" wrapText="1"/>
    </xf>
    <xf numFmtId="0" fontId="10" fillId="2" borderId="103" xfId="0" applyNumberFormat="1" applyFont="1" applyFill="1" applyBorder="1" applyAlignment="1">
      <alignment horizontal="center" vertical="center" wrapText="1"/>
    </xf>
    <xf numFmtId="168" fontId="10" fillId="2" borderId="104" xfId="0" applyNumberFormat="1" applyFont="1" applyFill="1" applyBorder="1" applyAlignment="1">
      <alignment horizontal="center" vertical="center" wrapText="1"/>
    </xf>
    <xf numFmtId="0" fontId="10" fillId="2" borderId="105" xfId="0" applyFont="1" applyFill="1" applyBorder="1" applyAlignment="1">
      <alignment horizontal="center" vertical="center" wrapText="1"/>
    </xf>
    <xf numFmtId="1" fontId="10" fillId="2" borderId="5" xfId="0" applyNumberFormat="1" applyFont="1" applyFill="1" applyBorder="1" applyAlignment="1">
      <alignment horizontal="center" vertical="center" wrapText="1"/>
    </xf>
    <xf numFmtId="165" fontId="10" fillId="2" borderId="106" xfId="0" applyNumberFormat="1" applyFont="1" applyFill="1" applyBorder="1" applyAlignment="1">
      <alignment horizontal="center" vertical="center" wrapText="1"/>
    </xf>
    <xf numFmtId="165" fontId="9" fillId="4" borderId="107" xfId="0" applyNumberFormat="1" applyFont="1" applyFill="1" applyBorder="1" applyAlignment="1">
      <alignment horizontal="center" vertical="center" wrapText="1"/>
    </xf>
    <xf numFmtId="0" fontId="9" fillId="4" borderId="108" xfId="0" applyNumberFormat="1" applyFont="1" applyFill="1" applyBorder="1" applyAlignment="1">
      <alignment horizontal="center" vertical="center" wrapText="1"/>
    </xf>
    <xf numFmtId="0" fontId="9" fillId="4" borderId="109" xfId="0" applyNumberFormat="1" applyFont="1" applyFill="1" applyBorder="1" applyAlignment="1">
      <alignment horizontal="center" vertical="center" wrapText="1"/>
    </xf>
    <xf numFmtId="0" fontId="9" fillId="4" borderId="110" xfId="0" applyFont="1" applyFill="1" applyBorder="1" applyAlignment="1">
      <alignment horizontal="center" vertical="center" wrapText="1"/>
    </xf>
    <xf numFmtId="0" fontId="9" fillId="4" borderId="111" xfId="0" applyNumberFormat="1" applyFont="1" applyFill="1" applyBorder="1" applyAlignment="1">
      <alignment horizontal="center" vertical="center" wrapText="1"/>
    </xf>
    <xf numFmtId="167" fontId="10" fillId="4" borderId="112" xfId="0" applyNumberFormat="1" applyFont="1" applyFill="1" applyBorder="1" applyAlignment="1">
      <alignment horizontal="center" vertical="center" wrapText="1"/>
    </xf>
    <xf numFmtId="0" fontId="10" fillId="4" borderId="113" xfId="0" applyNumberFormat="1" applyFont="1" applyFill="1" applyBorder="1" applyAlignment="1">
      <alignment horizontal="center" vertical="center" wrapText="1"/>
    </xf>
    <xf numFmtId="0" fontId="10" fillId="4" borderId="114" xfId="0" applyFont="1" applyFill="1" applyBorder="1" applyAlignment="1">
      <alignment horizontal="center" vertical="center" wrapText="1"/>
    </xf>
    <xf numFmtId="0" fontId="10" fillId="4" borderId="115" xfId="0" applyFont="1" applyFill="1" applyBorder="1" applyAlignment="1">
      <alignment horizontal="center" vertical="center" wrapText="1"/>
    </xf>
    <xf numFmtId="0" fontId="10" fillId="4" borderId="116" xfId="0" applyFont="1" applyFill="1" applyBorder="1" applyAlignment="1">
      <alignment horizontal="center" vertical="center" wrapText="1"/>
    </xf>
    <xf numFmtId="0" fontId="10" fillId="4" borderId="117" xfId="0" applyNumberFormat="1" applyFont="1" applyFill="1" applyBorder="1" applyAlignment="1">
      <alignment horizontal="center" vertical="center" wrapText="1"/>
    </xf>
    <xf numFmtId="0" fontId="10" fillId="4" borderId="119" xfId="0" applyNumberFormat="1" applyFont="1" applyFill="1" applyBorder="1" applyAlignment="1">
      <alignment horizontal="center" vertical="center" wrapText="1"/>
    </xf>
    <xf numFmtId="168" fontId="10" fillId="4" borderId="120" xfId="0" applyNumberFormat="1" applyFont="1" applyFill="1" applyBorder="1" applyAlignment="1">
      <alignment horizontal="center" vertical="center" wrapText="1"/>
    </xf>
    <xf numFmtId="0" fontId="10" fillId="4" borderId="121" xfId="0" applyFont="1" applyFill="1" applyBorder="1" applyAlignment="1">
      <alignment horizontal="center" vertical="center" wrapText="1"/>
    </xf>
    <xf numFmtId="165" fontId="10" fillId="4" borderId="122" xfId="0" applyNumberFormat="1" applyFont="1" applyFill="1" applyBorder="1" applyAlignment="1">
      <alignment horizontal="center" vertical="center" wrapText="1"/>
    </xf>
    <xf numFmtId="169" fontId="0" fillId="0" borderId="0" xfId="0" applyNumberFormat="1" applyFill="1"/>
    <xf numFmtId="0" fontId="0" fillId="0" borderId="0" xfId="0" applyNumberFormat="1" applyFill="1"/>
    <xf numFmtId="0" fontId="9" fillId="5" borderId="6" xfId="0" applyFont="1" applyFill="1" applyBorder="1" applyAlignment="1">
      <alignment horizontal="center" vertical="center" wrapText="1"/>
    </xf>
    <xf numFmtId="13" fontId="9" fillId="5" borderId="5" xfId="0" applyNumberFormat="1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 wrapText="1"/>
    </xf>
    <xf numFmtId="0" fontId="10" fillId="5" borderId="5" xfId="0" applyNumberFormat="1" applyFont="1" applyFill="1" applyBorder="1" applyAlignment="1">
      <alignment horizontal="center" vertical="center" wrapText="1"/>
    </xf>
    <xf numFmtId="13" fontId="10" fillId="5" borderId="7" xfId="0" applyNumberFormat="1" applyFont="1" applyFill="1" applyBorder="1" applyAlignment="1">
      <alignment horizontal="center" vertical="center" wrapText="1"/>
    </xf>
    <xf numFmtId="0" fontId="9" fillId="5" borderId="18" xfId="0" applyFont="1" applyFill="1" applyBorder="1" applyAlignment="1">
      <alignment horizontal="center" vertical="center" wrapText="1"/>
    </xf>
    <xf numFmtId="13" fontId="10" fillId="5" borderId="5" xfId="0" applyNumberFormat="1" applyFont="1" applyFill="1" applyBorder="1" applyAlignment="1">
      <alignment horizontal="center" vertical="center" wrapText="1"/>
    </xf>
    <xf numFmtId="165" fontId="10" fillId="5" borderId="5" xfId="0" applyNumberFormat="1" applyFont="1" applyFill="1" applyBorder="1" applyAlignment="1">
      <alignment horizontal="center" vertical="center" wrapText="1"/>
    </xf>
    <xf numFmtId="165" fontId="9" fillId="5" borderId="17" xfId="0" applyNumberFormat="1" applyFont="1" applyFill="1" applyBorder="1" applyAlignment="1">
      <alignment horizontal="center" vertical="center" wrapText="1"/>
    </xf>
    <xf numFmtId="0" fontId="9" fillId="5" borderId="6" xfId="0" applyNumberFormat="1" applyFont="1" applyFill="1" applyBorder="1" applyAlignment="1">
      <alignment horizontal="center" vertical="center" wrapText="1"/>
    </xf>
    <xf numFmtId="0" fontId="9" fillId="5" borderId="7" xfId="0" applyNumberFormat="1" applyFont="1" applyFill="1" applyBorder="1" applyAlignment="1">
      <alignment horizontal="center" vertical="center" wrapText="1"/>
    </xf>
    <xf numFmtId="165" fontId="9" fillId="5" borderId="18" xfId="0" applyNumberFormat="1" applyFont="1" applyFill="1" applyBorder="1" applyAlignment="1">
      <alignment horizontal="center" vertical="center" wrapText="1"/>
    </xf>
    <xf numFmtId="166" fontId="9" fillId="5" borderId="5" xfId="0" applyNumberFormat="1" applyFont="1" applyFill="1" applyBorder="1" applyAlignment="1">
      <alignment horizontal="center" vertical="center" wrapText="1"/>
    </xf>
    <xf numFmtId="0" fontId="10" fillId="5" borderId="17" xfId="0" applyNumberFormat="1" applyFont="1" applyFill="1" applyBorder="1" applyAlignment="1">
      <alignment horizontal="center" vertical="center" wrapText="1"/>
    </xf>
    <xf numFmtId="165" fontId="9" fillId="5" borderId="123" xfId="0" applyNumberFormat="1" applyFont="1" applyFill="1" applyBorder="1" applyAlignment="1">
      <alignment horizontal="center" vertical="center" wrapText="1"/>
    </xf>
    <xf numFmtId="0" fontId="9" fillId="5" borderId="124" xfId="0" applyNumberFormat="1" applyFont="1" applyFill="1" applyBorder="1" applyAlignment="1">
      <alignment horizontal="center" vertical="center" wrapText="1"/>
    </xf>
    <xf numFmtId="0" fontId="9" fillId="5" borderId="125" xfId="0" applyNumberFormat="1" applyFont="1" applyFill="1" applyBorder="1" applyAlignment="1">
      <alignment horizontal="center" vertical="center" wrapText="1"/>
    </xf>
    <xf numFmtId="0" fontId="9" fillId="5" borderId="126" xfId="0" applyFont="1" applyFill="1" applyBorder="1" applyAlignment="1">
      <alignment horizontal="center" vertical="center" wrapText="1"/>
    </xf>
    <xf numFmtId="0" fontId="9" fillId="5" borderId="127" xfId="0" applyNumberFormat="1" applyFont="1" applyFill="1" applyBorder="1" applyAlignment="1">
      <alignment horizontal="center" vertical="center" wrapText="1"/>
    </xf>
    <xf numFmtId="167" fontId="10" fillId="5" borderId="128" xfId="0" applyNumberFormat="1" applyFont="1" applyFill="1" applyBorder="1" applyAlignment="1">
      <alignment horizontal="center" vertical="center" wrapText="1"/>
    </xf>
    <xf numFmtId="0" fontId="10" fillId="5" borderId="129" xfId="0" applyNumberFormat="1" applyFont="1" applyFill="1" applyBorder="1" applyAlignment="1">
      <alignment horizontal="center" vertical="center" wrapText="1"/>
    </xf>
    <xf numFmtId="0" fontId="10" fillId="5" borderId="130" xfId="0" applyFont="1" applyFill="1" applyBorder="1" applyAlignment="1">
      <alignment horizontal="center" vertical="center" wrapText="1"/>
    </xf>
    <xf numFmtId="0" fontId="10" fillId="5" borderId="131" xfId="0" applyFont="1" applyFill="1" applyBorder="1" applyAlignment="1">
      <alignment horizontal="center" vertical="center" wrapText="1"/>
    </xf>
    <xf numFmtId="0" fontId="10" fillId="5" borderId="132" xfId="0" applyFont="1" applyFill="1" applyBorder="1" applyAlignment="1">
      <alignment horizontal="center" vertical="center" wrapText="1"/>
    </xf>
    <xf numFmtId="0" fontId="10" fillId="5" borderId="133" xfId="0" applyNumberFormat="1" applyFont="1" applyFill="1" applyBorder="1" applyAlignment="1">
      <alignment horizontal="center" vertical="center" wrapText="1"/>
    </xf>
    <xf numFmtId="0" fontId="10" fillId="5" borderId="134" xfId="0" applyNumberFormat="1" applyFont="1" applyFill="1" applyBorder="1" applyAlignment="1">
      <alignment horizontal="center" vertical="center" wrapText="1"/>
    </xf>
    <xf numFmtId="168" fontId="10" fillId="5" borderId="135" xfId="0" applyNumberFormat="1" applyFont="1" applyFill="1" applyBorder="1" applyAlignment="1">
      <alignment horizontal="center" vertical="center" wrapText="1"/>
    </xf>
    <xf numFmtId="0" fontId="10" fillId="5" borderId="136" xfId="0" applyFont="1" applyFill="1" applyBorder="1" applyAlignment="1">
      <alignment horizontal="center" vertical="center" wrapText="1"/>
    </xf>
    <xf numFmtId="1" fontId="10" fillId="5" borderId="5" xfId="0" applyNumberFormat="1" applyFont="1" applyFill="1" applyBorder="1" applyAlignment="1">
      <alignment horizontal="center" vertical="center" wrapText="1"/>
    </xf>
    <xf numFmtId="165" fontId="10" fillId="5" borderId="137" xfId="0" applyNumberFormat="1" applyFont="1" applyFill="1" applyBorder="1" applyAlignment="1">
      <alignment horizontal="center" vertical="center" wrapText="1"/>
    </xf>
    <xf numFmtId="0" fontId="9" fillId="6" borderId="6" xfId="0" applyFont="1" applyFill="1" applyBorder="1" applyAlignment="1">
      <alignment horizontal="center" vertical="center" wrapText="1"/>
    </xf>
    <xf numFmtId="13" fontId="9" fillId="6" borderId="5" xfId="0" applyNumberFormat="1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10" fillId="6" borderId="5" xfId="0" applyNumberFormat="1" applyFont="1" applyFill="1" applyBorder="1" applyAlignment="1">
      <alignment horizontal="center" vertical="center" wrapText="1"/>
    </xf>
    <xf numFmtId="13" fontId="10" fillId="6" borderId="7" xfId="0" applyNumberFormat="1" applyFont="1" applyFill="1" applyBorder="1" applyAlignment="1">
      <alignment horizontal="center" vertical="center" wrapText="1"/>
    </xf>
    <xf numFmtId="0" fontId="9" fillId="6" borderId="18" xfId="0" applyFont="1" applyFill="1" applyBorder="1" applyAlignment="1">
      <alignment horizontal="center" vertical="center" wrapText="1"/>
    </xf>
    <xf numFmtId="13" fontId="10" fillId="6" borderId="5" xfId="0" applyNumberFormat="1" applyFont="1" applyFill="1" applyBorder="1" applyAlignment="1">
      <alignment horizontal="center" vertical="center" wrapText="1"/>
    </xf>
    <xf numFmtId="165" fontId="10" fillId="6" borderId="5" xfId="0" applyNumberFormat="1" applyFont="1" applyFill="1" applyBorder="1" applyAlignment="1">
      <alignment horizontal="center" vertical="center" wrapText="1"/>
    </xf>
    <xf numFmtId="165" fontId="9" fillId="6" borderId="17" xfId="0" applyNumberFormat="1" applyFont="1" applyFill="1" applyBorder="1" applyAlignment="1">
      <alignment horizontal="center" vertical="center" wrapText="1"/>
    </xf>
    <xf numFmtId="0" fontId="9" fillId="6" borderId="6" xfId="0" applyNumberFormat="1" applyFont="1" applyFill="1" applyBorder="1" applyAlignment="1">
      <alignment horizontal="center" vertical="center" wrapText="1"/>
    </xf>
    <xf numFmtId="0" fontId="9" fillId="6" borderId="7" xfId="0" applyNumberFormat="1" applyFont="1" applyFill="1" applyBorder="1" applyAlignment="1">
      <alignment horizontal="center" vertical="center" wrapText="1"/>
    </xf>
    <xf numFmtId="165" fontId="9" fillId="6" borderId="18" xfId="0" applyNumberFormat="1" applyFont="1" applyFill="1" applyBorder="1" applyAlignment="1">
      <alignment horizontal="center" vertical="center" wrapText="1"/>
    </xf>
    <xf numFmtId="166" fontId="9" fillId="6" borderId="5" xfId="0" applyNumberFormat="1" applyFont="1" applyFill="1" applyBorder="1" applyAlignment="1">
      <alignment horizontal="center" vertical="center" wrapText="1"/>
    </xf>
    <xf numFmtId="0" fontId="10" fillId="6" borderId="17" xfId="0" applyNumberFormat="1" applyFont="1" applyFill="1" applyBorder="1" applyAlignment="1">
      <alignment horizontal="center" vertical="center" wrapText="1"/>
    </xf>
    <xf numFmtId="165" fontId="9" fillId="6" borderId="138" xfId="0" applyNumberFormat="1" applyFont="1" applyFill="1" applyBorder="1" applyAlignment="1">
      <alignment horizontal="center" vertical="center" wrapText="1"/>
    </xf>
    <xf numFmtId="0" fontId="9" fillId="6" borderId="139" xfId="0" applyNumberFormat="1" applyFont="1" applyFill="1" applyBorder="1" applyAlignment="1">
      <alignment horizontal="center" vertical="center" wrapText="1"/>
    </xf>
    <xf numFmtId="0" fontId="9" fillId="6" borderId="140" xfId="0" applyNumberFormat="1" applyFont="1" applyFill="1" applyBorder="1" applyAlignment="1">
      <alignment horizontal="center" vertical="center" wrapText="1"/>
    </xf>
    <xf numFmtId="0" fontId="9" fillId="6" borderId="141" xfId="0" applyFont="1" applyFill="1" applyBorder="1" applyAlignment="1">
      <alignment horizontal="center" vertical="center" wrapText="1"/>
    </xf>
    <xf numFmtId="0" fontId="9" fillId="6" borderId="142" xfId="0" applyNumberFormat="1" applyFont="1" applyFill="1" applyBorder="1" applyAlignment="1">
      <alignment horizontal="center" vertical="center" wrapText="1"/>
    </xf>
    <xf numFmtId="167" fontId="10" fillId="6" borderId="143" xfId="0" applyNumberFormat="1" applyFont="1" applyFill="1" applyBorder="1" applyAlignment="1">
      <alignment horizontal="center" vertical="center" wrapText="1"/>
    </xf>
    <xf numFmtId="0" fontId="10" fillId="6" borderId="144" xfId="0" applyNumberFormat="1" applyFont="1" applyFill="1" applyBorder="1" applyAlignment="1">
      <alignment horizontal="center" vertical="center" wrapText="1"/>
    </xf>
    <xf numFmtId="0" fontId="10" fillId="6" borderId="145" xfId="0" applyFont="1" applyFill="1" applyBorder="1" applyAlignment="1">
      <alignment horizontal="center" vertical="center" wrapText="1"/>
    </xf>
    <xf numFmtId="0" fontId="10" fillId="6" borderId="146" xfId="0" applyFont="1" applyFill="1" applyBorder="1" applyAlignment="1">
      <alignment horizontal="center" vertical="center" wrapText="1"/>
    </xf>
    <xf numFmtId="0" fontId="10" fillId="6" borderId="147" xfId="0" applyFont="1" applyFill="1" applyBorder="1" applyAlignment="1">
      <alignment horizontal="center" vertical="center" wrapText="1"/>
    </xf>
    <xf numFmtId="0" fontId="10" fillId="6" borderId="148" xfId="0" applyNumberFormat="1" applyFont="1" applyFill="1" applyBorder="1" applyAlignment="1">
      <alignment horizontal="center" vertical="center" wrapText="1"/>
    </xf>
    <xf numFmtId="0" fontId="10" fillId="6" borderId="149" xfId="0" applyNumberFormat="1" applyFont="1" applyFill="1" applyBorder="1" applyAlignment="1">
      <alignment horizontal="center" vertical="center" wrapText="1"/>
    </xf>
    <xf numFmtId="168" fontId="10" fillId="6" borderId="150" xfId="0" applyNumberFormat="1" applyFont="1" applyFill="1" applyBorder="1" applyAlignment="1">
      <alignment horizontal="center" vertical="center" wrapText="1"/>
    </xf>
    <xf numFmtId="0" fontId="10" fillId="6" borderId="151" xfId="0" applyFont="1" applyFill="1" applyBorder="1" applyAlignment="1">
      <alignment horizontal="center" vertical="center" wrapText="1"/>
    </xf>
    <xf numFmtId="1" fontId="10" fillId="6" borderId="5" xfId="0" applyNumberFormat="1" applyFont="1" applyFill="1" applyBorder="1" applyAlignment="1">
      <alignment horizontal="center" vertical="center" wrapText="1"/>
    </xf>
    <xf numFmtId="165" fontId="10" fillId="6" borderId="152" xfId="0" applyNumberFormat="1" applyFont="1" applyFill="1" applyBorder="1" applyAlignment="1">
      <alignment horizontal="center" vertical="center" wrapText="1"/>
    </xf>
    <xf numFmtId="165" fontId="9" fillId="5" borderId="153" xfId="0" applyNumberFormat="1" applyFont="1" applyFill="1" applyBorder="1" applyAlignment="1">
      <alignment horizontal="center" vertical="center" wrapText="1"/>
    </xf>
    <xf numFmtId="0" fontId="9" fillId="5" borderId="154" xfId="0" applyNumberFormat="1" applyFont="1" applyFill="1" applyBorder="1" applyAlignment="1">
      <alignment horizontal="center" vertical="center" wrapText="1"/>
    </xf>
    <xf numFmtId="0" fontId="9" fillId="5" borderId="155" xfId="0" applyNumberFormat="1" applyFont="1" applyFill="1" applyBorder="1" applyAlignment="1">
      <alignment horizontal="center" vertical="center" wrapText="1"/>
    </xf>
    <xf numFmtId="0" fontId="9" fillId="5" borderId="156" xfId="0" applyFont="1" applyFill="1" applyBorder="1" applyAlignment="1">
      <alignment horizontal="center" vertical="center" wrapText="1"/>
    </xf>
    <xf numFmtId="0" fontId="9" fillId="5" borderId="157" xfId="0" applyNumberFormat="1" applyFont="1" applyFill="1" applyBorder="1" applyAlignment="1">
      <alignment horizontal="center" vertical="center" wrapText="1"/>
    </xf>
    <xf numFmtId="167" fontId="10" fillId="5" borderId="158" xfId="0" applyNumberFormat="1" applyFont="1" applyFill="1" applyBorder="1" applyAlignment="1">
      <alignment horizontal="center" vertical="center" wrapText="1"/>
    </xf>
    <xf numFmtId="0" fontId="10" fillId="5" borderId="159" xfId="0" applyNumberFormat="1" applyFont="1" applyFill="1" applyBorder="1" applyAlignment="1">
      <alignment horizontal="center" vertical="center" wrapText="1"/>
    </xf>
    <xf numFmtId="0" fontId="10" fillId="5" borderId="160" xfId="0" applyFont="1" applyFill="1" applyBorder="1" applyAlignment="1">
      <alignment horizontal="center" vertical="center" wrapText="1"/>
    </xf>
    <xf numFmtId="0" fontId="10" fillId="5" borderId="161" xfId="0" applyFont="1" applyFill="1" applyBorder="1" applyAlignment="1">
      <alignment horizontal="center" vertical="center" wrapText="1"/>
    </xf>
    <xf numFmtId="0" fontId="10" fillId="5" borderId="162" xfId="0" applyFont="1" applyFill="1" applyBorder="1" applyAlignment="1">
      <alignment horizontal="center" vertical="center" wrapText="1"/>
    </xf>
    <xf numFmtId="0" fontId="10" fillId="5" borderId="163" xfId="0" applyNumberFormat="1" applyFont="1" applyFill="1" applyBorder="1" applyAlignment="1">
      <alignment horizontal="center" vertical="center" wrapText="1"/>
    </xf>
    <xf numFmtId="0" fontId="10" fillId="5" borderId="164" xfId="0" applyNumberFormat="1" applyFont="1" applyFill="1" applyBorder="1" applyAlignment="1">
      <alignment horizontal="center" vertical="center" wrapText="1"/>
    </xf>
    <xf numFmtId="168" fontId="10" fillId="5" borderId="165" xfId="0" applyNumberFormat="1" applyFont="1" applyFill="1" applyBorder="1" applyAlignment="1">
      <alignment horizontal="center" vertical="center" wrapText="1"/>
    </xf>
    <xf numFmtId="0" fontId="10" fillId="5" borderId="166" xfId="0" applyFont="1" applyFill="1" applyBorder="1" applyAlignment="1">
      <alignment horizontal="center" vertical="center" wrapText="1"/>
    </xf>
    <xf numFmtId="165" fontId="10" fillId="5" borderId="167" xfId="0" applyNumberFormat="1" applyFont="1" applyFill="1" applyBorder="1" applyAlignment="1">
      <alignment horizontal="center" vertical="center" wrapText="1"/>
    </xf>
    <xf numFmtId="165" fontId="9" fillId="6" borderId="168" xfId="0" applyNumberFormat="1" applyFont="1" applyFill="1" applyBorder="1" applyAlignment="1">
      <alignment horizontal="center" vertical="center" wrapText="1"/>
    </xf>
    <xf numFmtId="0" fontId="9" fillId="6" borderId="169" xfId="0" applyNumberFormat="1" applyFont="1" applyFill="1" applyBorder="1" applyAlignment="1">
      <alignment horizontal="center" vertical="center" wrapText="1"/>
    </xf>
    <xf numFmtId="0" fontId="9" fillId="6" borderId="170" xfId="0" applyNumberFormat="1" applyFont="1" applyFill="1" applyBorder="1" applyAlignment="1">
      <alignment horizontal="center" vertical="center" wrapText="1"/>
    </xf>
    <xf numFmtId="0" fontId="10" fillId="6" borderId="171" xfId="0" applyFont="1" applyFill="1" applyBorder="1" applyAlignment="1">
      <alignment horizontal="center" vertical="center" wrapText="1"/>
    </xf>
    <xf numFmtId="0" fontId="10" fillId="6" borderId="172" xfId="0" applyNumberFormat="1" applyFont="1" applyFill="1" applyBorder="1" applyAlignment="1">
      <alignment horizontal="center" vertical="center" wrapText="1"/>
    </xf>
    <xf numFmtId="167" fontId="10" fillId="6" borderId="173" xfId="0" applyNumberFormat="1" applyFont="1" applyFill="1" applyBorder="1" applyAlignment="1">
      <alignment horizontal="center" vertical="center" wrapText="1"/>
    </xf>
    <xf numFmtId="0" fontId="10" fillId="6" borderId="174" xfId="0" applyNumberFormat="1" applyFont="1" applyFill="1" applyBorder="1" applyAlignment="1">
      <alignment horizontal="center" vertical="center" wrapText="1"/>
    </xf>
    <xf numFmtId="0" fontId="10" fillId="6" borderId="175" xfId="0" applyFont="1" applyFill="1" applyBorder="1" applyAlignment="1">
      <alignment horizontal="center" vertical="center" wrapText="1"/>
    </xf>
    <xf numFmtId="0" fontId="10" fillId="6" borderId="176" xfId="0" applyFont="1" applyFill="1" applyBorder="1" applyAlignment="1">
      <alignment horizontal="center" vertical="center" wrapText="1"/>
    </xf>
    <xf numFmtId="0" fontId="10" fillId="6" borderId="177" xfId="0" applyFont="1" applyFill="1" applyBorder="1" applyAlignment="1">
      <alignment horizontal="center" vertical="center" wrapText="1"/>
    </xf>
    <xf numFmtId="0" fontId="10" fillId="6" borderId="178" xfId="0" applyNumberFormat="1" applyFont="1" applyFill="1" applyBorder="1" applyAlignment="1">
      <alignment horizontal="center" vertical="center" wrapText="1"/>
    </xf>
    <xf numFmtId="0" fontId="10" fillId="6" borderId="180" xfId="0" applyNumberFormat="1" applyFont="1" applyFill="1" applyBorder="1" applyAlignment="1">
      <alignment horizontal="center" vertical="center" wrapText="1"/>
    </xf>
    <xf numFmtId="168" fontId="10" fillId="6" borderId="181" xfId="0" applyNumberFormat="1" applyFont="1" applyFill="1" applyBorder="1" applyAlignment="1">
      <alignment horizontal="center" vertical="center" wrapText="1"/>
    </xf>
    <xf numFmtId="0" fontId="10" fillId="6" borderId="182" xfId="0" applyFont="1" applyFill="1" applyBorder="1" applyAlignment="1">
      <alignment horizontal="center" vertical="center" wrapText="1"/>
    </xf>
    <xf numFmtId="165" fontId="10" fillId="6" borderId="183" xfId="0" applyNumberFormat="1" applyFont="1" applyFill="1" applyBorder="1" applyAlignment="1">
      <alignment horizontal="center" vertical="center" wrapText="1"/>
    </xf>
    <xf numFmtId="165" fontId="9" fillId="5" borderId="184" xfId="0" applyNumberFormat="1" applyFont="1" applyFill="1" applyBorder="1" applyAlignment="1">
      <alignment horizontal="center" vertical="center" wrapText="1"/>
    </xf>
    <xf numFmtId="0" fontId="9" fillId="5" borderId="185" xfId="0" applyNumberFormat="1" applyFont="1" applyFill="1" applyBorder="1" applyAlignment="1">
      <alignment horizontal="center" vertical="center" wrapText="1"/>
    </xf>
    <xf numFmtId="0" fontId="9" fillId="5" borderId="186" xfId="0" applyNumberFormat="1" applyFont="1" applyFill="1" applyBorder="1" applyAlignment="1">
      <alignment horizontal="center" vertical="center" wrapText="1"/>
    </xf>
    <xf numFmtId="0" fontId="9" fillId="5" borderId="187" xfId="0" applyFont="1" applyFill="1" applyBorder="1" applyAlignment="1">
      <alignment horizontal="center" vertical="center" wrapText="1"/>
    </xf>
    <xf numFmtId="0" fontId="9" fillId="5" borderId="188" xfId="0" applyNumberFormat="1" applyFont="1" applyFill="1" applyBorder="1" applyAlignment="1">
      <alignment horizontal="center" vertical="center" wrapText="1"/>
    </xf>
    <xf numFmtId="167" fontId="10" fillId="5" borderId="189" xfId="0" applyNumberFormat="1" applyFont="1" applyFill="1" applyBorder="1" applyAlignment="1">
      <alignment horizontal="center" vertical="center" wrapText="1"/>
    </xf>
    <xf numFmtId="0" fontId="10" fillId="5" borderId="190" xfId="0" applyNumberFormat="1" applyFont="1" applyFill="1" applyBorder="1" applyAlignment="1">
      <alignment horizontal="center" vertical="center" wrapText="1"/>
    </xf>
    <xf numFmtId="0" fontId="10" fillId="5" borderId="191" xfId="0" applyFont="1" applyFill="1" applyBorder="1" applyAlignment="1">
      <alignment horizontal="center" vertical="center" wrapText="1"/>
    </xf>
    <xf numFmtId="0" fontId="10" fillId="5" borderId="192" xfId="0" applyFont="1" applyFill="1" applyBorder="1" applyAlignment="1">
      <alignment horizontal="center" vertical="center" wrapText="1"/>
    </xf>
    <xf numFmtId="0" fontId="10" fillId="5" borderId="193" xfId="0" applyFont="1" applyFill="1" applyBorder="1" applyAlignment="1">
      <alignment horizontal="center" vertical="center" wrapText="1"/>
    </xf>
    <xf numFmtId="0" fontId="10" fillId="5" borderId="194" xfId="0" applyNumberFormat="1" applyFont="1" applyFill="1" applyBorder="1" applyAlignment="1">
      <alignment horizontal="center" vertical="center" wrapText="1"/>
    </xf>
    <xf numFmtId="0" fontId="10" fillId="5" borderId="196" xfId="0" applyNumberFormat="1" applyFont="1" applyFill="1" applyBorder="1" applyAlignment="1">
      <alignment horizontal="center" vertical="center" wrapText="1"/>
    </xf>
    <xf numFmtId="168" fontId="10" fillId="5" borderId="197" xfId="0" applyNumberFormat="1" applyFont="1" applyFill="1" applyBorder="1" applyAlignment="1">
      <alignment horizontal="center" vertical="center" wrapText="1"/>
    </xf>
    <xf numFmtId="0" fontId="10" fillId="5" borderId="198" xfId="0" applyFont="1" applyFill="1" applyBorder="1" applyAlignment="1">
      <alignment horizontal="center" vertical="center" wrapText="1"/>
    </xf>
    <xf numFmtId="165" fontId="10" fillId="5" borderId="199" xfId="0" applyNumberFormat="1" applyFont="1" applyFill="1" applyBorder="1" applyAlignment="1">
      <alignment horizontal="center" vertical="center" wrapText="1"/>
    </xf>
    <xf numFmtId="165" fontId="9" fillId="6" borderId="75" xfId="0" applyNumberFormat="1" applyFont="1" applyFill="1" applyBorder="1" applyAlignment="1">
      <alignment horizontal="center" vertical="center" wrapText="1"/>
    </xf>
    <xf numFmtId="0" fontId="9" fillId="6" borderId="200" xfId="0" applyNumberFormat="1" applyFont="1" applyFill="1" applyBorder="1" applyAlignment="1">
      <alignment horizontal="center" vertical="center" wrapText="1"/>
    </xf>
    <xf numFmtId="0" fontId="9" fillId="6" borderId="201" xfId="0" applyNumberFormat="1" applyFont="1" applyFill="1" applyBorder="1" applyAlignment="1">
      <alignment horizontal="center" vertical="center" wrapText="1"/>
    </xf>
    <xf numFmtId="0" fontId="9" fillId="6" borderId="202" xfId="0" applyFont="1" applyFill="1" applyBorder="1" applyAlignment="1">
      <alignment horizontal="center" vertical="center" wrapText="1"/>
    </xf>
    <xf numFmtId="0" fontId="9" fillId="6" borderId="79" xfId="0" applyNumberFormat="1" applyFont="1" applyFill="1" applyBorder="1" applyAlignment="1">
      <alignment horizontal="center" vertical="center" wrapText="1"/>
    </xf>
    <xf numFmtId="167" fontId="10" fillId="6" borderId="203" xfId="0" applyNumberFormat="1" applyFont="1" applyFill="1" applyBorder="1" applyAlignment="1">
      <alignment horizontal="center" vertical="center" wrapText="1"/>
    </xf>
    <xf numFmtId="0" fontId="10" fillId="6" borderId="204" xfId="0" applyNumberFormat="1" applyFont="1" applyFill="1" applyBorder="1" applyAlignment="1">
      <alignment horizontal="center" vertical="center" wrapText="1"/>
    </xf>
    <xf numFmtId="0" fontId="10" fillId="6" borderId="205" xfId="0" applyFont="1" applyFill="1" applyBorder="1" applyAlignment="1">
      <alignment horizontal="center" vertical="center" wrapText="1"/>
    </xf>
    <xf numFmtId="0" fontId="10" fillId="6" borderId="206" xfId="0" applyFont="1" applyFill="1" applyBorder="1" applyAlignment="1">
      <alignment horizontal="center" vertical="center" wrapText="1"/>
    </xf>
    <xf numFmtId="0" fontId="10" fillId="6" borderId="207" xfId="0" applyFont="1" applyFill="1" applyBorder="1" applyAlignment="1">
      <alignment horizontal="center" vertical="center" wrapText="1"/>
    </xf>
    <xf numFmtId="0" fontId="10" fillId="6" borderId="208" xfId="0" applyNumberFormat="1" applyFont="1" applyFill="1" applyBorder="1" applyAlignment="1">
      <alignment horizontal="center" vertical="center" wrapText="1"/>
    </xf>
    <xf numFmtId="0" fontId="10" fillId="6" borderId="87" xfId="0" applyNumberFormat="1" applyFont="1" applyFill="1" applyBorder="1" applyAlignment="1">
      <alignment horizontal="center" vertical="center" wrapText="1"/>
    </xf>
    <xf numFmtId="168" fontId="10" fillId="6" borderId="88" xfId="0" applyNumberFormat="1" applyFont="1" applyFill="1" applyBorder="1" applyAlignment="1">
      <alignment horizontal="center" vertical="center" wrapText="1"/>
    </xf>
    <xf numFmtId="0" fontId="10" fillId="6" borderId="89" xfId="0" applyFont="1" applyFill="1" applyBorder="1" applyAlignment="1">
      <alignment horizontal="center" vertical="center" wrapText="1"/>
    </xf>
    <xf numFmtId="165" fontId="10" fillId="6" borderId="90" xfId="0" applyNumberFormat="1" applyFont="1" applyFill="1" applyBorder="1" applyAlignment="1">
      <alignment horizontal="center" vertical="center" wrapText="1"/>
    </xf>
    <xf numFmtId="165" fontId="9" fillId="5" borderId="209" xfId="0" applyNumberFormat="1" applyFont="1" applyFill="1" applyBorder="1" applyAlignment="1">
      <alignment horizontal="center" vertical="center" wrapText="1"/>
    </xf>
    <xf numFmtId="0" fontId="9" fillId="5" borderId="210" xfId="0" applyNumberFormat="1" applyFont="1" applyFill="1" applyBorder="1" applyAlignment="1">
      <alignment horizontal="center" vertical="center" wrapText="1"/>
    </xf>
    <xf numFmtId="0" fontId="9" fillId="5" borderId="211" xfId="0" applyNumberFormat="1" applyFont="1" applyFill="1" applyBorder="1" applyAlignment="1">
      <alignment horizontal="center" vertical="center" wrapText="1"/>
    </xf>
    <xf numFmtId="0" fontId="9" fillId="5" borderId="212" xfId="0" applyFont="1" applyFill="1" applyBorder="1" applyAlignment="1">
      <alignment horizontal="center" vertical="center" wrapText="1"/>
    </xf>
    <xf numFmtId="0" fontId="9" fillId="5" borderId="213" xfId="0" applyNumberFormat="1" applyFont="1" applyFill="1" applyBorder="1" applyAlignment="1">
      <alignment horizontal="center" vertical="center" wrapText="1"/>
    </xf>
    <xf numFmtId="167" fontId="10" fillId="5" borderId="214" xfId="0" applyNumberFormat="1" applyFont="1" applyFill="1" applyBorder="1" applyAlignment="1">
      <alignment horizontal="center" vertical="center" wrapText="1"/>
    </xf>
    <xf numFmtId="0" fontId="10" fillId="5" borderId="215" xfId="0" applyNumberFormat="1" applyFont="1" applyFill="1" applyBorder="1" applyAlignment="1">
      <alignment horizontal="center" vertical="center" wrapText="1"/>
    </xf>
    <xf numFmtId="0" fontId="10" fillId="5" borderId="216" xfId="0" applyFont="1" applyFill="1" applyBorder="1" applyAlignment="1">
      <alignment horizontal="center" vertical="center" wrapText="1"/>
    </xf>
    <xf numFmtId="0" fontId="10" fillId="5" borderId="217" xfId="0" applyFont="1" applyFill="1" applyBorder="1" applyAlignment="1">
      <alignment horizontal="center" vertical="center" wrapText="1"/>
    </xf>
    <xf numFmtId="0" fontId="10" fillId="5" borderId="218" xfId="0" applyFont="1" applyFill="1" applyBorder="1" applyAlignment="1">
      <alignment horizontal="center" vertical="center" wrapText="1"/>
    </xf>
    <xf numFmtId="0" fontId="10" fillId="5" borderId="219" xfId="0" applyNumberFormat="1" applyFont="1" applyFill="1" applyBorder="1" applyAlignment="1">
      <alignment horizontal="center" vertical="center" wrapText="1"/>
    </xf>
    <xf numFmtId="0" fontId="10" fillId="5" borderId="221" xfId="0" applyNumberFormat="1" applyFont="1" applyFill="1" applyBorder="1" applyAlignment="1">
      <alignment horizontal="center" vertical="center" wrapText="1"/>
    </xf>
    <xf numFmtId="168" fontId="10" fillId="5" borderId="222" xfId="0" applyNumberFormat="1" applyFont="1" applyFill="1" applyBorder="1" applyAlignment="1">
      <alignment horizontal="center" vertical="center" wrapText="1"/>
    </xf>
    <xf numFmtId="0" fontId="10" fillId="5" borderId="223" xfId="0" applyFont="1" applyFill="1" applyBorder="1" applyAlignment="1">
      <alignment horizontal="center" vertical="center" wrapText="1"/>
    </xf>
    <xf numFmtId="165" fontId="10" fillId="5" borderId="224" xfId="0" applyNumberFormat="1" applyFont="1" applyFill="1" applyBorder="1" applyAlignment="1">
      <alignment horizontal="center" vertical="center" wrapText="1"/>
    </xf>
    <xf numFmtId="165" fontId="9" fillId="6" borderId="225" xfId="0" applyNumberFormat="1" applyFont="1" applyFill="1" applyBorder="1" applyAlignment="1">
      <alignment horizontal="center" vertical="center" wrapText="1"/>
    </xf>
    <xf numFmtId="0" fontId="9" fillId="6" borderId="226" xfId="0" applyNumberFormat="1" applyFont="1" applyFill="1" applyBorder="1" applyAlignment="1">
      <alignment horizontal="center" vertical="center" wrapText="1"/>
    </xf>
    <xf numFmtId="0" fontId="9" fillId="6" borderId="227" xfId="0" applyNumberFormat="1" applyFont="1" applyFill="1" applyBorder="1" applyAlignment="1">
      <alignment horizontal="center" vertical="center" wrapText="1"/>
    </xf>
    <xf numFmtId="0" fontId="9" fillId="6" borderId="228" xfId="0" applyFont="1" applyFill="1" applyBorder="1" applyAlignment="1">
      <alignment horizontal="center" vertical="center" wrapText="1"/>
    </xf>
    <xf numFmtId="0" fontId="9" fillId="6" borderId="229" xfId="0" applyNumberFormat="1" applyFont="1" applyFill="1" applyBorder="1" applyAlignment="1">
      <alignment horizontal="center" vertical="center" wrapText="1"/>
    </xf>
    <xf numFmtId="167" fontId="10" fillId="6" borderId="230" xfId="0" applyNumberFormat="1" applyFont="1" applyFill="1" applyBorder="1" applyAlignment="1">
      <alignment horizontal="center" vertical="center" wrapText="1"/>
    </xf>
    <xf numFmtId="0" fontId="10" fillId="6" borderId="231" xfId="0" applyNumberFormat="1" applyFont="1" applyFill="1" applyBorder="1" applyAlignment="1">
      <alignment horizontal="center" vertical="center" wrapText="1"/>
    </xf>
    <xf numFmtId="0" fontId="10" fillId="6" borderId="114" xfId="0" applyFont="1" applyFill="1" applyBorder="1" applyAlignment="1">
      <alignment horizontal="center" vertical="center" wrapText="1"/>
    </xf>
    <xf numFmtId="0" fontId="10" fillId="6" borderId="232" xfId="0" applyFont="1" applyFill="1" applyBorder="1" applyAlignment="1">
      <alignment horizontal="center" vertical="center" wrapText="1"/>
    </xf>
    <xf numFmtId="0" fontId="10" fillId="6" borderId="233" xfId="0" applyFont="1" applyFill="1" applyBorder="1" applyAlignment="1">
      <alignment horizontal="center" vertical="center" wrapText="1"/>
    </xf>
    <xf numFmtId="0" fontId="10" fillId="6" borderId="234" xfId="0" applyNumberFormat="1" applyFont="1" applyFill="1" applyBorder="1" applyAlignment="1">
      <alignment horizontal="center" vertical="center" wrapText="1"/>
    </xf>
    <xf numFmtId="0" fontId="10" fillId="6" borderId="236" xfId="0" applyNumberFormat="1" applyFont="1" applyFill="1" applyBorder="1" applyAlignment="1">
      <alignment horizontal="center" vertical="center" wrapText="1"/>
    </xf>
    <xf numFmtId="0" fontId="10" fillId="6" borderId="237" xfId="0" applyFont="1" applyFill="1" applyBorder="1" applyAlignment="1">
      <alignment horizontal="center" vertical="center" wrapText="1"/>
    </xf>
    <xf numFmtId="0" fontId="10" fillId="6" borderId="238" xfId="0" applyFont="1" applyFill="1" applyBorder="1" applyAlignment="1">
      <alignment horizontal="center" vertical="center" wrapText="1"/>
    </xf>
    <xf numFmtId="165" fontId="10" fillId="6" borderId="239" xfId="0" applyNumberFormat="1" applyFont="1" applyFill="1" applyBorder="1" applyAlignment="1">
      <alignment horizontal="center" vertical="center" wrapText="1"/>
    </xf>
    <xf numFmtId="165" fontId="9" fillId="5" borderId="240" xfId="0" applyNumberFormat="1" applyFont="1" applyFill="1" applyBorder="1" applyAlignment="1">
      <alignment horizontal="center" vertical="center" wrapText="1"/>
    </xf>
    <xf numFmtId="0" fontId="9" fillId="5" borderId="241" xfId="0" applyNumberFormat="1" applyFont="1" applyFill="1" applyBorder="1" applyAlignment="1">
      <alignment horizontal="center" vertical="center" wrapText="1"/>
    </xf>
    <xf numFmtId="0" fontId="9" fillId="5" borderId="242" xfId="0" applyNumberFormat="1" applyFont="1" applyFill="1" applyBorder="1" applyAlignment="1">
      <alignment horizontal="center" vertical="center" wrapText="1"/>
    </xf>
    <xf numFmtId="0" fontId="9" fillId="5" borderId="243" xfId="0" applyFont="1" applyFill="1" applyBorder="1" applyAlignment="1">
      <alignment horizontal="center" vertical="center" wrapText="1"/>
    </xf>
    <xf numFmtId="0" fontId="9" fillId="5" borderId="244" xfId="0" applyNumberFormat="1" applyFont="1" applyFill="1" applyBorder="1" applyAlignment="1">
      <alignment horizontal="center" vertical="center" wrapText="1"/>
    </xf>
    <xf numFmtId="167" fontId="10" fillId="5" borderId="245" xfId="0" applyNumberFormat="1" applyFont="1" applyFill="1" applyBorder="1" applyAlignment="1">
      <alignment horizontal="center" vertical="center" wrapText="1"/>
    </xf>
    <xf numFmtId="0" fontId="10" fillId="5" borderId="246" xfId="0" applyNumberFormat="1" applyFont="1" applyFill="1" applyBorder="1" applyAlignment="1">
      <alignment horizontal="center" vertical="center" wrapText="1"/>
    </xf>
    <xf numFmtId="0" fontId="10" fillId="5" borderId="247" xfId="0" applyFont="1" applyFill="1" applyBorder="1" applyAlignment="1">
      <alignment horizontal="center" vertical="center" wrapText="1"/>
    </xf>
    <xf numFmtId="0" fontId="10" fillId="5" borderId="248" xfId="0" applyFont="1" applyFill="1" applyBorder="1" applyAlignment="1">
      <alignment horizontal="center" vertical="center" wrapText="1"/>
    </xf>
    <xf numFmtId="0" fontId="10" fillId="5" borderId="249" xfId="0" applyFont="1" applyFill="1" applyBorder="1" applyAlignment="1">
      <alignment horizontal="center" vertical="center" wrapText="1"/>
    </xf>
    <xf numFmtId="0" fontId="10" fillId="5" borderId="250" xfId="0" applyNumberFormat="1" applyFont="1" applyFill="1" applyBorder="1" applyAlignment="1">
      <alignment horizontal="center" vertical="center" wrapText="1"/>
    </xf>
    <xf numFmtId="0" fontId="10" fillId="5" borderId="252" xfId="0" applyNumberFormat="1" applyFont="1" applyFill="1" applyBorder="1" applyAlignment="1">
      <alignment horizontal="center" vertical="center" wrapText="1"/>
    </xf>
    <xf numFmtId="0" fontId="10" fillId="5" borderId="253" xfId="0" applyFont="1" applyFill="1" applyBorder="1" applyAlignment="1">
      <alignment horizontal="center" vertical="center" wrapText="1"/>
    </xf>
    <xf numFmtId="0" fontId="10" fillId="5" borderId="254" xfId="0" applyFont="1" applyFill="1" applyBorder="1" applyAlignment="1">
      <alignment horizontal="center" vertical="center" wrapText="1"/>
    </xf>
    <xf numFmtId="165" fontId="10" fillId="5" borderId="255" xfId="0" applyNumberFormat="1" applyFont="1" applyFill="1" applyBorder="1" applyAlignment="1">
      <alignment horizontal="center" vertical="center" wrapText="1"/>
    </xf>
    <xf numFmtId="165" fontId="9" fillId="6" borderId="256" xfId="0" applyNumberFormat="1" applyFont="1" applyFill="1" applyBorder="1" applyAlignment="1">
      <alignment horizontal="center" vertical="center" wrapText="1"/>
    </xf>
    <xf numFmtId="0" fontId="9" fillId="6" borderId="257" xfId="0" applyNumberFormat="1" applyFont="1" applyFill="1" applyBorder="1" applyAlignment="1">
      <alignment horizontal="center" vertical="center" wrapText="1"/>
    </xf>
    <xf numFmtId="0" fontId="9" fillId="6" borderId="258" xfId="0" applyNumberFormat="1" applyFont="1" applyFill="1" applyBorder="1" applyAlignment="1">
      <alignment horizontal="center" vertical="center" wrapText="1"/>
    </xf>
    <xf numFmtId="0" fontId="9" fillId="6" borderId="259" xfId="0" applyFont="1" applyFill="1" applyBorder="1" applyAlignment="1">
      <alignment horizontal="center" vertical="center" wrapText="1"/>
    </xf>
    <xf numFmtId="0" fontId="9" fillId="6" borderId="260" xfId="0" applyNumberFormat="1" applyFont="1" applyFill="1" applyBorder="1" applyAlignment="1">
      <alignment horizontal="center" vertical="center" wrapText="1"/>
    </xf>
    <xf numFmtId="167" fontId="10" fillId="6" borderId="261" xfId="0" applyNumberFormat="1" applyFont="1" applyFill="1" applyBorder="1" applyAlignment="1">
      <alignment horizontal="center" vertical="center" wrapText="1"/>
    </xf>
    <xf numFmtId="0" fontId="10" fillId="6" borderId="262" xfId="0" applyNumberFormat="1" applyFont="1" applyFill="1" applyBorder="1" applyAlignment="1">
      <alignment horizontal="center" vertical="center" wrapText="1"/>
    </xf>
    <xf numFmtId="0" fontId="10" fillId="6" borderId="263" xfId="0" applyFont="1" applyFill="1" applyBorder="1" applyAlignment="1">
      <alignment horizontal="center" vertical="center" wrapText="1"/>
    </xf>
    <xf numFmtId="0" fontId="10" fillId="6" borderId="264" xfId="0" applyFont="1" applyFill="1" applyBorder="1" applyAlignment="1">
      <alignment horizontal="center" vertical="center" wrapText="1"/>
    </xf>
    <xf numFmtId="0" fontId="10" fillId="6" borderId="265" xfId="0" applyFont="1" applyFill="1" applyBorder="1" applyAlignment="1">
      <alignment horizontal="center" vertical="center" wrapText="1"/>
    </xf>
    <xf numFmtId="0" fontId="10" fillId="6" borderId="266" xfId="0" applyNumberFormat="1" applyFont="1" applyFill="1" applyBorder="1" applyAlignment="1">
      <alignment horizontal="center" vertical="center" wrapText="1"/>
    </xf>
    <xf numFmtId="0" fontId="10" fillId="6" borderId="268" xfId="0" applyNumberFormat="1" applyFont="1" applyFill="1" applyBorder="1" applyAlignment="1">
      <alignment horizontal="center" vertical="center" wrapText="1"/>
    </xf>
    <xf numFmtId="0" fontId="10" fillId="6" borderId="269" xfId="0" applyFont="1" applyFill="1" applyBorder="1" applyAlignment="1">
      <alignment horizontal="center" vertical="center" wrapText="1"/>
    </xf>
    <xf numFmtId="0" fontId="10" fillId="6" borderId="270" xfId="0" applyFont="1" applyFill="1" applyBorder="1" applyAlignment="1">
      <alignment horizontal="center" vertical="center" wrapText="1"/>
    </xf>
    <xf numFmtId="165" fontId="10" fillId="6" borderId="271" xfId="0" applyNumberFormat="1" applyFont="1" applyFill="1" applyBorder="1" applyAlignment="1">
      <alignment horizontal="center" vertical="center" wrapText="1"/>
    </xf>
    <xf numFmtId="165" fontId="9" fillId="5" borderId="272" xfId="0" applyNumberFormat="1" applyFont="1" applyFill="1" applyBorder="1" applyAlignment="1">
      <alignment horizontal="center" vertical="center" wrapText="1"/>
    </xf>
    <xf numFmtId="0" fontId="9" fillId="5" borderId="273" xfId="0" applyNumberFormat="1" applyFont="1" applyFill="1" applyBorder="1" applyAlignment="1">
      <alignment horizontal="center" vertical="center" wrapText="1"/>
    </xf>
    <xf numFmtId="0" fontId="9" fillId="5" borderId="274" xfId="0" applyNumberFormat="1" applyFont="1" applyFill="1" applyBorder="1" applyAlignment="1">
      <alignment horizontal="center" vertical="center" wrapText="1"/>
    </xf>
    <xf numFmtId="0" fontId="9" fillId="5" borderId="275" xfId="0" applyFont="1" applyFill="1" applyBorder="1" applyAlignment="1">
      <alignment horizontal="center" vertical="center" wrapText="1"/>
    </xf>
    <xf numFmtId="0" fontId="9" fillId="5" borderId="276" xfId="0" applyNumberFormat="1" applyFont="1" applyFill="1" applyBorder="1" applyAlignment="1">
      <alignment horizontal="center" vertical="center" wrapText="1"/>
    </xf>
    <xf numFmtId="167" fontId="10" fillId="5" borderId="277" xfId="0" applyNumberFormat="1" applyFont="1" applyFill="1" applyBorder="1" applyAlignment="1">
      <alignment horizontal="center" vertical="center" wrapText="1"/>
    </xf>
    <xf numFmtId="0" fontId="10" fillId="5" borderId="278" xfId="0" applyNumberFormat="1" applyFont="1" applyFill="1" applyBorder="1" applyAlignment="1">
      <alignment horizontal="center" vertical="center" wrapText="1"/>
    </xf>
    <xf numFmtId="0" fontId="10" fillId="5" borderId="279" xfId="0" applyFont="1" applyFill="1" applyBorder="1" applyAlignment="1">
      <alignment horizontal="center" vertical="center" wrapText="1"/>
    </xf>
    <xf numFmtId="0" fontId="10" fillId="5" borderId="280" xfId="0" applyFont="1" applyFill="1" applyBorder="1" applyAlignment="1">
      <alignment horizontal="center" vertical="center" wrapText="1"/>
    </xf>
    <xf numFmtId="0" fontId="10" fillId="5" borderId="281" xfId="0" applyFont="1" applyFill="1" applyBorder="1" applyAlignment="1">
      <alignment horizontal="center" vertical="center" wrapText="1"/>
    </xf>
    <xf numFmtId="0" fontId="10" fillId="5" borderId="282" xfId="0" applyNumberFormat="1" applyFont="1" applyFill="1" applyBorder="1" applyAlignment="1">
      <alignment horizontal="center" vertical="center" wrapText="1"/>
    </xf>
    <xf numFmtId="0" fontId="10" fillId="5" borderId="284" xfId="0" applyNumberFormat="1" applyFont="1" applyFill="1" applyBorder="1" applyAlignment="1">
      <alignment horizontal="center" vertical="center" wrapText="1"/>
    </xf>
    <xf numFmtId="0" fontId="10" fillId="5" borderId="285" xfId="0" applyFont="1" applyFill="1" applyBorder="1" applyAlignment="1">
      <alignment horizontal="center" vertical="center" wrapText="1"/>
    </xf>
    <xf numFmtId="0" fontId="10" fillId="5" borderId="286" xfId="0" applyFont="1" applyFill="1" applyBorder="1" applyAlignment="1">
      <alignment horizontal="center" vertical="center" wrapText="1"/>
    </xf>
    <xf numFmtId="165" fontId="10" fillId="5" borderId="287" xfId="0" applyNumberFormat="1" applyFont="1" applyFill="1" applyBorder="1" applyAlignment="1">
      <alignment horizontal="center" vertical="center" wrapText="1"/>
    </xf>
    <xf numFmtId="165" fontId="9" fillId="6" borderId="288" xfId="0" applyNumberFormat="1" applyFont="1" applyFill="1" applyBorder="1" applyAlignment="1">
      <alignment horizontal="center" vertical="center" wrapText="1"/>
    </xf>
    <xf numFmtId="0" fontId="9" fillId="6" borderId="289" xfId="0" applyNumberFormat="1" applyFont="1" applyFill="1" applyBorder="1" applyAlignment="1">
      <alignment horizontal="center" vertical="center" wrapText="1"/>
    </xf>
    <xf numFmtId="0" fontId="9" fillId="6" borderId="290" xfId="0" applyNumberFormat="1" applyFont="1" applyFill="1" applyBorder="1" applyAlignment="1">
      <alignment horizontal="center" vertical="center" wrapText="1"/>
    </xf>
    <xf numFmtId="0" fontId="9" fillId="6" borderId="291" xfId="0" applyFont="1" applyFill="1" applyBorder="1" applyAlignment="1">
      <alignment horizontal="center" vertical="center" wrapText="1"/>
    </xf>
    <xf numFmtId="0" fontId="9" fillId="6" borderId="292" xfId="0" applyNumberFormat="1" applyFont="1" applyFill="1" applyBorder="1" applyAlignment="1">
      <alignment horizontal="center" vertical="center" wrapText="1"/>
    </xf>
    <xf numFmtId="167" fontId="10" fillId="6" borderId="293" xfId="0" applyNumberFormat="1" applyFont="1" applyFill="1" applyBorder="1" applyAlignment="1">
      <alignment horizontal="center" vertical="center" wrapText="1"/>
    </xf>
    <xf numFmtId="0" fontId="10" fillId="6" borderId="294" xfId="0" applyNumberFormat="1" applyFont="1" applyFill="1" applyBorder="1" applyAlignment="1">
      <alignment horizontal="center" vertical="center" wrapText="1"/>
    </xf>
    <xf numFmtId="0" fontId="10" fillId="6" borderId="295" xfId="0" applyFont="1" applyFill="1" applyBorder="1" applyAlignment="1">
      <alignment horizontal="center" vertical="center" wrapText="1"/>
    </xf>
    <xf numFmtId="0" fontId="10" fillId="6" borderId="296" xfId="0" applyFont="1" applyFill="1" applyBorder="1" applyAlignment="1">
      <alignment horizontal="center" vertical="center" wrapText="1"/>
    </xf>
    <xf numFmtId="0" fontId="10" fillId="6" borderId="297" xfId="0" applyFont="1" applyFill="1" applyBorder="1" applyAlignment="1">
      <alignment horizontal="center" vertical="center" wrapText="1"/>
    </xf>
    <xf numFmtId="0" fontId="10" fillId="6" borderId="298" xfId="0" applyNumberFormat="1" applyFont="1" applyFill="1" applyBorder="1" applyAlignment="1">
      <alignment horizontal="center" vertical="center" wrapText="1"/>
    </xf>
    <xf numFmtId="0" fontId="10" fillId="6" borderId="300" xfId="0" applyNumberFormat="1" applyFont="1" applyFill="1" applyBorder="1" applyAlignment="1">
      <alignment horizontal="center" vertical="center" wrapText="1"/>
    </xf>
    <xf numFmtId="0" fontId="10" fillId="6" borderId="301" xfId="0" applyFont="1" applyFill="1" applyBorder="1" applyAlignment="1">
      <alignment horizontal="center" vertical="center" wrapText="1"/>
    </xf>
    <xf numFmtId="0" fontId="10" fillId="6" borderId="302" xfId="0" applyFont="1" applyFill="1" applyBorder="1" applyAlignment="1">
      <alignment horizontal="center" vertical="center" wrapText="1"/>
    </xf>
    <xf numFmtId="165" fontId="10" fillId="6" borderId="303" xfId="0" applyNumberFormat="1" applyFont="1" applyFill="1" applyBorder="1" applyAlignment="1">
      <alignment horizontal="center" vertical="center" wrapText="1"/>
    </xf>
    <xf numFmtId="165" fontId="9" fillId="5" borderId="304" xfId="0" applyNumberFormat="1" applyFont="1" applyFill="1" applyBorder="1" applyAlignment="1">
      <alignment horizontal="center" vertical="center" wrapText="1"/>
    </xf>
    <xf numFmtId="0" fontId="9" fillId="5" borderId="305" xfId="0" applyNumberFormat="1" applyFont="1" applyFill="1" applyBorder="1" applyAlignment="1">
      <alignment horizontal="center" vertical="center" wrapText="1"/>
    </xf>
    <xf numFmtId="0" fontId="9" fillId="5" borderId="306" xfId="0" applyNumberFormat="1" applyFont="1" applyFill="1" applyBorder="1" applyAlignment="1">
      <alignment horizontal="center" vertical="center" wrapText="1"/>
    </xf>
    <xf numFmtId="0" fontId="9" fillId="5" borderId="307" xfId="0" applyFont="1" applyFill="1" applyBorder="1" applyAlignment="1">
      <alignment horizontal="center" vertical="center" wrapText="1"/>
    </xf>
    <xf numFmtId="0" fontId="9" fillId="5" borderId="308" xfId="0" applyNumberFormat="1" applyFont="1" applyFill="1" applyBorder="1" applyAlignment="1">
      <alignment horizontal="center" vertical="center" wrapText="1"/>
    </xf>
    <xf numFmtId="167" fontId="10" fillId="5" borderId="309" xfId="0" applyNumberFormat="1" applyFont="1" applyFill="1" applyBorder="1" applyAlignment="1">
      <alignment horizontal="center" vertical="center" wrapText="1"/>
    </xf>
    <xf numFmtId="0" fontId="10" fillId="5" borderId="310" xfId="0" applyNumberFormat="1" applyFont="1" applyFill="1" applyBorder="1" applyAlignment="1">
      <alignment horizontal="center" vertical="center" wrapText="1"/>
    </xf>
    <xf numFmtId="0" fontId="10" fillId="5" borderId="311" xfId="0" applyFont="1" applyFill="1" applyBorder="1" applyAlignment="1">
      <alignment horizontal="center" vertical="center" wrapText="1"/>
    </xf>
    <xf numFmtId="0" fontId="10" fillId="5" borderId="312" xfId="0" applyFont="1" applyFill="1" applyBorder="1" applyAlignment="1">
      <alignment horizontal="center" vertical="center" wrapText="1"/>
    </xf>
    <xf numFmtId="0" fontId="10" fillId="5" borderId="313" xfId="0" applyFont="1" applyFill="1" applyBorder="1" applyAlignment="1">
      <alignment horizontal="center" vertical="center" wrapText="1"/>
    </xf>
    <xf numFmtId="0" fontId="10" fillId="5" borderId="314" xfId="0" applyNumberFormat="1" applyFont="1" applyFill="1" applyBorder="1" applyAlignment="1">
      <alignment horizontal="center" vertical="center" wrapText="1"/>
    </xf>
    <xf numFmtId="0" fontId="10" fillId="5" borderId="316" xfId="0" applyNumberFormat="1" applyFont="1" applyFill="1" applyBorder="1" applyAlignment="1">
      <alignment horizontal="center" vertical="center" wrapText="1"/>
    </xf>
    <xf numFmtId="0" fontId="10" fillId="5" borderId="317" xfId="0" applyFont="1" applyFill="1" applyBorder="1" applyAlignment="1">
      <alignment horizontal="center" vertical="center" wrapText="1"/>
    </xf>
    <xf numFmtId="165" fontId="10" fillId="5" borderId="318" xfId="0" applyNumberFormat="1" applyFont="1" applyFill="1" applyBorder="1" applyAlignment="1">
      <alignment horizontal="center" vertical="center" wrapText="1"/>
    </xf>
    <xf numFmtId="165" fontId="9" fillId="6" borderId="319" xfId="0" applyNumberFormat="1" applyFont="1" applyFill="1" applyBorder="1" applyAlignment="1">
      <alignment horizontal="center" vertical="center" wrapText="1"/>
    </xf>
    <xf numFmtId="0" fontId="9" fillId="6" borderId="320" xfId="0" applyNumberFormat="1" applyFont="1" applyFill="1" applyBorder="1" applyAlignment="1">
      <alignment horizontal="center" vertical="center" wrapText="1"/>
    </xf>
    <xf numFmtId="0" fontId="9" fillId="6" borderId="321" xfId="0" applyNumberFormat="1" applyFont="1" applyFill="1" applyBorder="1" applyAlignment="1">
      <alignment horizontal="center" vertical="center" wrapText="1"/>
    </xf>
    <xf numFmtId="0" fontId="9" fillId="6" borderId="322" xfId="0" applyFont="1" applyFill="1" applyBorder="1" applyAlignment="1">
      <alignment horizontal="center" vertical="center" wrapText="1"/>
    </xf>
    <xf numFmtId="0" fontId="9" fillId="6" borderId="323" xfId="0" applyNumberFormat="1" applyFont="1" applyFill="1" applyBorder="1" applyAlignment="1">
      <alignment horizontal="center" vertical="center" wrapText="1"/>
    </xf>
    <xf numFmtId="167" fontId="10" fillId="6" borderId="324" xfId="0" applyNumberFormat="1" applyFont="1" applyFill="1" applyBorder="1" applyAlignment="1">
      <alignment horizontal="center" vertical="center" wrapText="1"/>
    </xf>
    <xf numFmtId="0" fontId="10" fillId="6" borderId="325" xfId="0" applyNumberFormat="1" applyFont="1" applyFill="1" applyBorder="1" applyAlignment="1">
      <alignment horizontal="center" vertical="center" wrapText="1"/>
    </xf>
    <xf numFmtId="0" fontId="10" fillId="6" borderId="326" xfId="0" applyFont="1" applyFill="1" applyBorder="1" applyAlignment="1">
      <alignment horizontal="center" vertical="center" wrapText="1"/>
    </xf>
    <xf numFmtId="0" fontId="10" fillId="6" borderId="327" xfId="0" applyFont="1" applyFill="1" applyBorder="1" applyAlignment="1">
      <alignment horizontal="center" vertical="center" wrapText="1"/>
    </xf>
    <xf numFmtId="0" fontId="10" fillId="6" borderId="328" xfId="0" applyFont="1" applyFill="1" applyBorder="1" applyAlignment="1">
      <alignment horizontal="center" vertical="center" wrapText="1"/>
    </xf>
    <xf numFmtId="0" fontId="10" fillId="6" borderId="329" xfId="0" applyNumberFormat="1" applyFont="1" applyFill="1" applyBorder="1" applyAlignment="1">
      <alignment horizontal="center" vertical="center" wrapText="1"/>
    </xf>
    <xf numFmtId="0" fontId="10" fillId="6" borderId="331" xfId="0" applyNumberFormat="1" applyFont="1" applyFill="1" applyBorder="1" applyAlignment="1">
      <alignment horizontal="center" vertical="center" wrapText="1"/>
    </xf>
    <xf numFmtId="168" fontId="10" fillId="6" borderId="327" xfId="0" applyNumberFormat="1" applyFont="1" applyFill="1" applyBorder="1" applyAlignment="1">
      <alignment horizontal="center" vertical="center" wrapText="1"/>
    </xf>
    <xf numFmtId="0" fontId="10" fillId="6" borderId="332" xfId="0" applyFont="1" applyFill="1" applyBorder="1" applyAlignment="1">
      <alignment horizontal="center" vertical="center" wrapText="1"/>
    </xf>
    <xf numFmtId="165" fontId="10" fillId="6" borderId="333" xfId="0" applyNumberFormat="1" applyFont="1" applyFill="1" applyBorder="1" applyAlignment="1">
      <alignment horizontal="center" vertical="center" wrapText="1"/>
    </xf>
    <xf numFmtId="165" fontId="9" fillId="5" borderId="334" xfId="0" applyNumberFormat="1" applyFont="1" applyFill="1" applyBorder="1" applyAlignment="1">
      <alignment horizontal="center" vertical="center" wrapText="1"/>
    </xf>
    <xf numFmtId="0" fontId="9" fillId="5" borderId="335" xfId="0" applyNumberFormat="1" applyFont="1" applyFill="1" applyBorder="1" applyAlignment="1">
      <alignment horizontal="center" vertical="center" wrapText="1"/>
    </xf>
    <xf numFmtId="0" fontId="9" fillId="5" borderId="336" xfId="0" applyNumberFormat="1" applyFont="1" applyFill="1" applyBorder="1" applyAlignment="1">
      <alignment horizontal="center" vertical="center" wrapText="1"/>
    </xf>
    <xf numFmtId="0" fontId="9" fillId="5" borderId="337" xfId="0" applyFont="1" applyFill="1" applyBorder="1" applyAlignment="1">
      <alignment horizontal="center" vertical="center" wrapText="1"/>
    </xf>
    <xf numFmtId="0" fontId="9" fillId="5" borderId="338" xfId="0" applyNumberFormat="1" applyFont="1" applyFill="1" applyBorder="1" applyAlignment="1">
      <alignment horizontal="center" vertical="center" wrapText="1"/>
    </xf>
    <xf numFmtId="167" fontId="10" fillId="5" borderId="339" xfId="0" applyNumberFormat="1" applyFont="1" applyFill="1" applyBorder="1" applyAlignment="1">
      <alignment horizontal="center" vertical="center" wrapText="1"/>
    </xf>
    <xf numFmtId="0" fontId="10" fillId="5" borderId="340" xfId="0" applyNumberFormat="1" applyFont="1" applyFill="1" applyBorder="1" applyAlignment="1">
      <alignment horizontal="center" vertical="center" wrapText="1"/>
    </xf>
    <xf numFmtId="0" fontId="10" fillId="5" borderId="341" xfId="0" applyFont="1" applyFill="1" applyBorder="1" applyAlignment="1">
      <alignment horizontal="center" vertical="center" wrapText="1"/>
    </xf>
    <xf numFmtId="0" fontId="10" fillId="5" borderId="342" xfId="0" applyFont="1" applyFill="1" applyBorder="1" applyAlignment="1">
      <alignment horizontal="center" vertical="center" wrapText="1"/>
    </xf>
    <xf numFmtId="0" fontId="10" fillId="5" borderId="343" xfId="0" applyFont="1" applyFill="1" applyBorder="1" applyAlignment="1">
      <alignment horizontal="center" vertical="center" wrapText="1"/>
    </xf>
    <xf numFmtId="0" fontId="10" fillId="5" borderId="344" xfId="0" applyNumberFormat="1" applyFont="1" applyFill="1" applyBorder="1" applyAlignment="1">
      <alignment horizontal="center" vertical="center" wrapText="1"/>
    </xf>
    <xf numFmtId="0" fontId="10" fillId="5" borderId="346" xfId="0" applyNumberFormat="1" applyFont="1" applyFill="1" applyBorder="1" applyAlignment="1">
      <alignment horizontal="center" vertical="center" wrapText="1"/>
    </xf>
    <xf numFmtId="168" fontId="10" fillId="5" borderId="342" xfId="0" applyNumberFormat="1" applyFont="1" applyFill="1" applyBorder="1" applyAlignment="1">
      <alignment horizontal="center" vertical="center" wrapText="1"/>
    </xf>
    <xf numFmtId="0" fontId="10" fillId="5" borderId="347" xfId="0" applyFont="1" applyFill="1" applyBorder="1" applyAlignment="1">
      <alignment horizontal="center" vertical="center" wrapText="1"/>
    </xf>
    <xf numFmtId="165" fontId="10" fillId="5" borderId="348" xfId="0" applyNumberFormat="1" applyFont="1" applyFill="1" applyBorder="1" applyAlignment="1">
      <alignment horizontal="center" vertical="center" wrapText="1"/>
    </xf>
    <xf numFmtId="0" fontId="9" fillId="6" borderId="349" xfId="0" applyFont="1" applyFill="1" applyBorder="1" applyAlignment="1">
      <alignment horizontal="center" vertical="center" wrapText="1"/>
    </xf>
    <xf numFmtId="0" fontId="9" fillId="6" borderId="350" xfId="0" applyFont="1" applyFill="1" applyBorder="1" applyAlignment="1">
      <alignment horizontal="center" vertical="center" wrapText="1"/>
    </xf>
    <xf numFmtId="13" fontId="9" fillId="6" borderId="351" xfId="0" applyNumberFormat="1" applyFont="1" applyFill="1" applyBorder="1" applyAlignment="1">
      <alignment horizontal="center" vertical="center" wrapText="1"/>
    </xf>
    <xf numFmtId="0" fontId="9" fillId="6" borderId="352" xfId="0" applyFont="1" applyFill="1" applyBorder="1" applyAlignment="1">
      <alignment horizontal="center" vertical="center" wrapText="1"/>
    </xf>
    <xf numFmtId="0" fontId="10" fillId="6" borderId="353" xfId="0" applyNumberFormat="1" applyFont="1" applyFill="1" applyBorder="1" applyAlignment="1">
      <alignment horizontal="center" vertical="center" wrapText="1"/>
    </xf>
    <xf numFmtId="13" fontId="10" fillId="6" borderId="354" xfId="0" applyNumberFormat="1" applyFont="1" applyFill="1" applyBorder="1" applyAlignment="1">
      <alignment horizontal="center" vertical="center" wrapText="1"/>
    </xf>
    <xf numFmtId="0" fontId="9" fillId="6" borderId="355" xfId="0" applyFont="1" applyFill="1" applyBorder="1" applyAlignment="1">
      <alignment horizontal="center" vertical="center" wrapText="1"/>
    </xf>
    <xf numFmtId="0" fontId="9" fillId="6" borderId="356" xfId="0" applyFont="1" applyFill="1" applyBorder="1" applyAlignment="1">
      <alignment horizontal="center" vertical="center" wrapText="1"/>
    </xf>
    <xf numFmtId="13" fontId="10" fillId="6" borderId="357" xfId="0" applyNumberFormat="1" applyFont="1" applyFill="1" applyBorder="1" applyAlignment="1">
      <alignment horizontal="center" vertical="center" wrapText="1"/>
    </xf>
    <xf numFmtId="165" fontId="10" fillId="6" borderId="358" xfId="0" applyNumberFormat="1" applyFont="1" applyFill="1" applyBorder="1" applyAlignment="1">
      <alignment horizontal="center" vertical="center" wrapText="1"/>
    </xf>
    <xf numFmtId="165" fontId="9" fillId="6" borderId="359" xfId="0" applyNumberFormat="1" applyFont="1" applyFill="1" applyBorder="1" applyAlignment="1">
      <alignment horizontal="center" vertical="center" wrapText="1"/>
    </xf>
    <xf numFmtId="0" fontId="9" fillId="6" borderId="360" xfId="0" applyNumberFormat="1" applyFont="1" applyFill="1" applyBorder="1" applyAlignment="1">
      <alignment horizontal="center" vertical="center" wrapText="1"/>
    </xf>
    <xf numFmtId="0" fontId="10" fillId="6" borderId="361" xfId="0" applyNumberFormat="1" applyFont="1" applyFill="1" applyBorder="1" applyAlignment="1">
      <alignment horizontal="center" vertical="center" wrapText="1"/>
    </xf>
    <xf numFmtId="0" fontId="10" fillId="6" borderId="362" xfId="0" applyNumberFormat="1" applyFont="1" applyFill="1" applyBorder="1" applyAlignment="1">
      <alignment horizontal="center" vertical="center" wrapText="1"/>
    </xf>
    <xf numFmtId="0" fontId="9" fillId="6" borderId="354" xfId="0" applyNumberFormat="1" applyFont="1" applyFill="1" applyBorder="1" applyAlignment="1">
      <alignment horizontal="center" vertical="center" wrapText="1"/>
    </xf>
    <xf numFmtId="165" fontId="9" fillId="6" borderId="363" xfId="0" applyNumberFormat="1" applyFont="1" applyFill="1" applyBorder="1" applyAlignment="1">
      <alignment horizontal="center" vertical="center" wrapText="1"/>
    </xf>
    <xf numFmtId="166" fontId="9" fillId="6" borderId="361" xfId="0" applyNumberFormat="1" applyFont="1" applyFill="1" applyBorder="1" applyAlignment="1">
      <alignment horizontal="center" vertical="center" wrapText="1"/>
    </xf>
    <xf numFmtId="0" fontId="10" fillId="6" borderId="364" xfId="0" applyNumberFormat="1" applyFont="1" applyFill="1" applyBorder="1" applyAlignment="1">
      <alignment horizontal="center" vertical="center" wrapText="1"/>
    </xf>
    <xf numFmtId="165" fontId="9" fillId="6" borderId="365" xfId="0" applyNumberFormat="1" applyFont="1" applyFill="1" applyBorder="1" applyAlignment="1">
      <alignment horizontal="center" vertical="center" wrapText="1"/>
    </xf>
    <xf numFmtId="0" fontId="9" fillId="6" borderId="366" xfId="0" applyNumberFormat="1" applyFont="1" applyFill="1" applyBorder="1" applyAlignment="1">
      <alignment horizontal="center" vertical="center" wrapText="1"/>
    </xf>
    <xf numFmtId="0" fontId="9" fillId="6" borderId="367" xfId="0" applyNumberFormat="1" applyFont="1" applyFill="1" applyBorder="1" applyAlignment="1">
      <alignment horizontal="center" vertical="center" wrapText="1"/>
    </xf>
    <xf numFmtId="0" fontId="9" fillId="6" borderId="368" xfId="0" applyFont="1" applyFill="1" applyBorder="1" applyAlignment="1">
      <alignment horizontal="center" vertical="center" wrapText="1"/>
    </xf>
    <xf numFmtId="0" fontId="9" fillId="6" borderId="369" xfId="0" applyNumberFormat="1" applyFont="1" applyFill="1" applyBorder="1" applyAlignment="1">
      <alignment horizontal="center" vertical="center" wrapText="1"/>
    </xf>
    <xf numFmtId="167" fontId="10" fillId="6" borderId="370" xfId="0" applyNumberFormat="1" applyFont="1" applyFill="1" applyBorder="1" applyAlignment="1">
      <alignment horizontal="center" vertical="center" wrapText="1"/>
    </xf>
    <xf numFmtId="0" fontId="10" fillId="6" borderId="371" xfId="0" applyNumberFormat="1" applyFont="1" applyFill="1" applyBorder="1" applyAlignment="1">
      <alignment horizontal="center" vertical="center" wrapText="1"/>
    </xf>
    <xf numFmtId="0" fontId="10" fillId="6" borderId="372" xfId="0" applyFont="1" applyFill="1" applyBorder="1" applyAlignment="1">
      <alignment horizontal="center" vertical="center" wrapText="1"/>
    </xf>
    <xf numFmtId="0" fontId="10" fillId="6" borderId="373" xfId="0" applyFont="1" applyFill="1" applyBorder="1" applyAlignment="1">
      <alignment horizontal="center" vertical="center" wrapText="1"/>
    </xf>
    <xf numFmtId="0" fontId="10" fillId="6" borderId="374" xfId="0" applyFont="1" applyFill="1" applyBorder="1" applyAlignment="1">
      <alignment horizontal="center" vertical="center" wrapText="1"/>
    </xf>
    <xf numFmtId="0" fontId="10" fillId="6" borderId="375" xfId="0" applyNumberFormat="1" applyFont="1" applyFill="1" applyBorder="1" applyAlignment="1">
      <alignment horizontal="center" vertical="center" wrapText="1"/>
    </xf>
    <xf numFmtId="0" fontId="10" fillId="6" borderId="377" xfId="0" applyNumberFormat="1" applyFont="1" applyFill="1" applyBorder="1" applyAlignment="1">
      <alignment horizontal="center" vertical="center" wrapText="1"/>
    </xf>
    <xf numFmtId="168" fontId="10" fillId="6" borderId="378" xfId="0" applyNumberFormat="1" applyFont="1" applyFill="1" applyBorder="1" applyAlignment="1">
      <alignment horizontal="center" vertical="center" wrapText="1"/>
    </xf>
    <xf numFmtId="0" fontId="10" fillId="6" borderId="379" xfId="0" applyFont="1" applyFill="1" applyBorder="1" applyAlignment="1">
      <alignment horizontal="center" vertical="center" wrapText="1"/>
    </xf>
    <xf numFmtId="165" fontId="10" fillId="6" borderId="380" xfId="0" applyNumberFormat="1" applyFont="1" applyFill="1" applyBorder="1" applyAlignment="1">
      <alignment horizontal="center" vertical="center" wrapText="1"/>
    </xf>
    <xf numFmtId="0" fontId="9" fillId="5" borderId="381" xfId="0" applyFont="1" applyFill="1" applyBorder="1" applyAlignment="1">
      <alignment horizontal="center" vertical="center" wrapText="1"/>
    </xf>
    <xf numFmtId="0" fontId="9" fillId="5" borderId="382" xfId="0" applyFont="1" applyFill="1" applyBorder="1" applyAlignment="1">
      <alignment horizontal="center" vertical="center" wrapText="1"/>
    </xf>
    <xf numFmtId="13" fontId="9" fillId="5" borderId="383" xfId="0" applyNumberFormat="1" applyFont="1" applyFill="1" applyBorder="1" applyAlignment="1">
      <alignment horizontal="center" vertical="center" wrapText="1"/>
    </xf>
    <xf numFmtId="0" fontId="9" fillId="5" borderId="384" xfId="0" applyFont="1" applyFill="1" applyBorder="1" applyAlignment="1">
      <alignment horizontal="center" vertical="center" wrapText="1"/>
    </xf>
    <xf numFmtId="0" fontId="10" fillId="5" borderId="385" xfId="0" applyNumberFormat="1" applyFont="1" applyFill="1" applyBorder="1" applyAlignment="1">
      <alignment horizontal="center" vertical="center" wrapText="1"/>
    </xf>
    <xf numFmtId="13" fontId="10" fillId="5" borderId="386" xfId="0" applyNumberFormat="1" applyFont="1" applyFill="1" applyBorder="1" applyAlignment="1">
      <alignment horizontal="center" vertical="center" wrapText="1"/>
    </xf>
    <xf numFmtId="0" fontId="9" fillId="5" borderId="387" xfId="0" applyFont="1" applyFill="1" applyBorder="1" applyAlignment="1">
      <alignment horizontal="center" vertical="center" wrapText="1"/>
    </xf>
    <xf numFmtId="0" fontId="9" fillId="5" borderId="388" xfId="0" applyFont="1" applyFill="1" applyBorder="1" applyAlignment="1">
      <alignment horizontal="center" vertical="center" wrapText="1"/>
    </xf>
    <xf numFmtId="13" fontId="10" fillId="5" borderId="389" xfId="0" applyNumberFormat="1" applyFont="1" applyFill="1" applyBorder="1" applyAlignment="1">
      <alignment horizontal="center" vertical="center" wrapText="1"/>
    </xf>
    <xf numFmtId="165" fontId="10" fillId="5" borderId="390" xfId="0" applyNumberFormat="1" applyFont="1" applyFill="1" applyBorder="1" applyAlignment="1">
      <alignment horizontal="center" vertical="center" wrapText="1"/>
    </xf>
    <xf numFmtId="165" fontId="9" fillId="5" borderId="391" xfId="0" applyNumberFormat="1" applyFont="1" applyFill="1" applyBorder="1" applyAlignment="1">
      <alignment horizontal="center" vertical="center" wrapText="1"/>
    </xf>
    <xf numFmtId="0" fontId="9" fillId="5" borderId="209" xfId="0" applyNumberFormat="1" applyFont="1" applyFill="1" applyBorder="1" applyAlignment="1">
      <alignment horizontal="center" vertical="center" wrapText="1"/>
    </xf>
    <xf numFmtId="0" fontId="10" fillId="5" borderId="392" xfId="0" applyNumberFormat="1" applyFont="1" applyFill="1" applyBorder="1" applyAlignment="1">
      <alignment horizontal="center" vertical="center" wrapText="1"/>
    </xf>
    <xf numFmtId="0" fontId="10" fillId="5" borderId="393" xfId="0" applyNumberFormat="1" applyFont="1" applyFill="1" applyBorder="1" applyAlignment="1">
      <alignment horizontal="center" vertical="center" wrapText="1"/>
    </xf>
    <xf numFmtId="0" fontId="9" fillId="5" borderId="386" xfId="0" applyNumberFormat="1" applyFont="1" applyFill="1" applyBorder="1" applyAlignment="1">
      <alignment horizontal="center" vertical="center" wrapText="1"/>
    </xf>
    <xf numFmtId="165" fontId="9" fillId="5" borderId="394" xfId="0" applyNumberFormat="1" applyFont="1" applyFill="1" applyBorder="1" applyAlignment="1">
      <alignment horizontal="center" vertical="center" wrapText="1"/>
    </xf>
    <xf numFmtId="166" fontId="9" fillId="5" borderId="392" xfId="0" applyNumberFormat="1" applyFont="1" applyFill="1" applyBorder="1" applyAlignment="1">
      <alignment horizontal="center" vertical="center" wrapText="1"/>
    </xf>
    <xf numFmtId="0" fontId="10" fillId="5" borderId="395" xfId="0" applyNumberFormat="1" applyFont="1" applyFill="1" applyBorder="1" applyAlignment="1">
      <alignment horizontal="center" vertical="center" wrapText="1"/>
    </xf>
    <xf numFmtId="0" fontId="9" fillId="5" borderId="396" xfId="0" applyNumberFormat="1" applyFont="1" applyFill="1" applyBorder="1" applyAlignment="1">
      <alignment horizontal="center" vertical="center" wrapText="1"/>
    </xf>
    <xf numFmtId="0" fontId="9" fillId="5" borderId="397" xfId="0" applyFont="1" applyFill="1" applyBorder="1" applyAlignment="1">
      <alignment horizontal="center" vertical="center" wrapText="1"/>
    </xf>
    <xf numFmtId="0" fontId="9" fillId="5" borderId="398" xfId="0" applyNumberFormat="1" applyFont="1" applyFill="1" applyBorder="1" applyAlignment="1">
      <alignment horizontal="center" vertical="center" wrapText="1"/>
    </xf>
    <xf numFmtId="167" fontId="10" fillId="5" borderId="399" xfId="0" applyNumberFormat="1" applyFont="1" applyFill="1" applyBorder="1" applyAlignment="1">
      <alignment horizontal="center" vertical="center" wrapText="1"/>
    </xf>
    <xf numFmtId="0" fontId="10" fillId="5" borderId="400" xfId="0" applyNumberFormat="1" applyFont="1" applyFill="1" applyBorder="1" applyAlignment="1">
      <alignment horizontal="center" vertical="center" wrapText="1"/>
    </xf>
    <xf numFmtId="0" fontId="10" fillId="5" borderId="401" xfId="0" applyFont="1" applyFill="1" applyBorder="1" applyAlignment="1">
      <alignment horizontal="center" vertical="center" wrapText="1"/>
    </xf>
    <xf numFmtId="0" fontId="10" fillId="5" borderId="402" xfId="0" applyFont="1" applyFill="1" applyBorder="1" applyAlignment="1">
      <alignment horizontal="center" vertical="center" wrapText="1"/>
    </xf>
    <xf numFmtId="0" fontId="10" fillId="5" borderId="403" xfId="0" applyFont="1" applyFill="1" applyBorder="1" applyAlignment="1">
      <alignment horizontal="center" vertical="center" wrapText="1"/>
    </xf>
    <xf numFmtId="0" fontId="10" fillId="5" borderId="404" xfId="0" applyNumberFormat="1" applyFont="1" applyFill="1" applyBorder="1" applyAlignment="1">
      <alignment horizontal="center" vertical="center" wrapText="1"/>
    </xf>
    <xf numFmtId="0" fontId="10" fillId="5" borderId="406" xfId="0" applyNumberFormat="1" applyFont="1" applyFill="1" applyBorder="1" applyAlignment="1">
      <alignment horizontal="center" vertical="center" wrapText="1"/>
    </xf>
    <xf numFmtId="167" fontId="10" fillId="5" borderId="407" xfId="0" applyNumberFormat="1" applyFont="1" applyFill="1" applyBorder="1" applyAlignment="1">
      <alignment horizontal="center" vertical="center" wrapText="1"/>
    </xf>
    <xf numFmtId="0" fontId="10" fillId="5" borderId="408" xfId="0" applyFont="1" applyFill="1" applyBorder="1" applyAlignment="1">
      <alignment horizontal="center" vertical="center" wrapText="1"/>
    </xf>
    <xf numFmtId="165" fontId="10" fillId="5" borderId="409" xfId="0" applyNumberFormat="1" applyFont="1" applyFill="1" applyBorder="1" applyAlignment="1">
      <alignment horizontal="center" vertical="center" wrapText="1"/>
    </xf>
    <xf numFmtId="0" fontId="9" fillId="6" borderId="410" xfId="0" applyFont="1" applyFill="1" applyBorder="1" applyAlignment="1">
      <alignment horizontal="center" vertical="center" wrapText="1"/>
    </xf>
    <xf numFmtId="0" fontId="9" fillId="6" borderId="411" xfId="0" applyFont="1" applyFill="1" applyBorder="1" applyAlignment="1">
      <alignment horizontal="center" vertical="center" wrapText="1"/>
    </xf>
    <xf numFmtId="13" fontId="9" fillId="6" borderId="412" xfId="0" applyNumberFormat="1" applyFont="1" applyFill="1" applyBorder="1" applyAlignment="1">
      <alignment horizontal="center" vertical="center" wrapText="1"/>
    </xf>
    <xf numFmtId="0" fontId="9" fillId="6" borderId="413" xfId="0" applyFont="1" applyFill="1" applyBorder="1" applyAlignment="1">
      <alignment horizontal="center" vertical="center" wrapText="1"/>
    </xf>
    <xf numFmtId="0" fontId="10" fillId="6" borderId="414" xfId="0" applyNumberFormat="1" applyFont="1" applyFill="1" applyBorder="1" applyAlignment="1">
      <alignment horizontal="center" vertical="center" wrapText="1"/>
    </xf>
    <xf numFmtId="13" fontId="10" fillId="6" borderId="415" xfId="0" applyNumberFormat="1" applyFont="1" applyFill="1" applyBorder="1" applyAlignment="1">
      <alignment horizontal="center" vertical="center" wrapText="1"/>
    </xf>
    <xf numFmtId="0" fontId="9" fillId="6" borderId="416" xfId="0" applyFont="1" applyFill="1" applyBorder="1" applyAlignment="1">
      <alignment horizontal="center" vertical="center" wrapText="1"/>
    </xf>
    <xf numFmtId="0" fontId="9" fillId="6" borderId="417" xfId="0" applyFont="1" applyFill="1" applyBorder="1" applyAlignment="1">
      <alignment horizontal="center" vertical="center" wrapText="1"/>
    </xf>
    <xf numFmtId="13" fontId="10" fillId="6" borderId="418" xfId="0" applyNumberFormat="1" applyFont="1" applyFill="1" applyBorder="1" applyAlignment="1">
      <alignment horizontal="center" vertical="center" wrapText="1"/>
    </xf>
    <xf numFmtId="165" fontId="10" fillId="6" borderId="419" xfId="0" applyNumberFormat="1" applyFont="1" applyFill="1" applyBorder="1" applyAlignment="1">
      <alignment horizontal="center" vertical="center" wrapText="1"/>
    </xf>
    <xf numFmtId="165" fontId="9" fillId="6" borderId="420" xfId="0" applyNumberFormat="1" applyFont="1" applyFill="1" applyBorder="1" applyAlignment="1">
      <alignment horizontal="center" vertical="center" wrapText="1"/>
    </xf>
    <xf numFmtId="0" fontId="9" fillId="6" borderId="421" xfId="0" applyNumberFormat="1" applyFont="1" applyFill="1" applyBorder="1" applyAlignment="1">
      <alignment horizontal="center" vertical="center" wrapText="1"/>
    </xf>
    <xf numFmtId="0" fontId="10" fillId="6" borderId="422" xfId="0" applyNumberFormat="1" applyFont="1" applyFill="1" applyBorder="1" applyAlignment="1">
      <alignment horizontal="center" vertical="center" wrapText="1"/>
    </xf>
    <xf numFmtId="0" fontId="10" fillId="6" borderId="423" xfId="0" applyNumberFormat="1" applyFont="1" applyFill="1" applyBorder="1" applyAlignment="1">
      <alignment horizontal="center" vertical="center" wrapText="1"/>
    </xf>
    <xf numFmtId="0" fontId="9" fillId="6" borderId="415" xfId="0" applyNumberFormat="1" applyFont="1" applyFill="1" applyBorder="1" applyAlignment="1">
      <alignment horizontal="center" vertical="center" wrapText="1"/>
    </xf>
    <xf numFmtId="165" fontId="9" fillId="6" borderId="424" xfId="0" applyNumberFormat="1" applyFont="1" applyFill="1" applyBorder="1" applyAlignment="1">
      <alignment horizontal="center" vertical="center" wrapText="1"/>
    </xf>
    <xf numFmtId="166" fontId="9" fillId="6" borderId="422" xfId="0" applyNumberFormat="1" applyFont="1" applyFill="1" applyBorder="1" applyAlignment="1">
      <alignment horizontal="center" vertical="center" wrapText="1"/>
    </xf>
    <xf numFmtId="0" fontId="10" fillId="6" borderId="425" xfId="0" applyNumberFormat="1" applyFont="1" applyFill="1" applyBorder="1" applyAlignment="1">
      <alignment horizontal="center" vertical="center" wrapText="1"/>
    </xf>
    <xf numFmtId="165" fontId="9" fillId="6" borderId="426" xfId="0" applyNumberFormat="1" applyFont="1" applyFill="1" applyBorder="1" applyAlignment="1">
      <alignment horizontal="center" vertical="center" wrapText="1"/>
    </xf>
    <xf numFmtId="0" fontId="9" fillId="6" borderId="427" xfId="0" applyNumberFormat="1" applyFont="1" applyFill="1" applyBorder="1" applyAlignment="1">
      <alignment horizontal="center" vertical="center" wrapText="1"/>
    </xf>
    <xf numFmtId="0" fontId="9" fillId="6" borderId="428" xfId="0" applyNumberFormat="1" applyFont="1" applyFill="1" applyBorder="1" applyAlignment="1">
      <alignment horizontal="center" vertical="center" wrapText="1"/>
    </xf>
    <xf numFmtId="0" fontId="9" fillId="6" borderId="429" xfId="0" applyFont="1" applyFill="1" applyBorder="1" applyAlignment="1">
      <alignment horizontal="center" vertical="center" wrapText="1"/>
    </xf>
    <xf numFmtId="0" fontId="9" fillId="6" borderId="430" xfId="0" applyNumberFormat="1" applyFont="1" applyFill="1" applyBorder="1" applyAlignment="1">
      <alignment horizontal="center" vertical="center" wrapText="1"/>
    </xf>
    <xf numFmtId="167" fontId="10" fillId="6" borderId="431" xfId="0" applyNumberFormat="1" applyFont="1" applyFill="1" applyBorder="1" applyAlignment="1">
      <alignment horizontal="center" vertical="center" wrapText="1"/>
    </xf>
    <xf numFmtId="0" fontId="10" fillId="6" borderId="432" xfId="0" applyNumberFormat="1" applyFont="1" applyFill="1" applyBorder="1" applyAlignment="1">
      <alignment horizontal="center" vertical="center" wrapText="1"/>
    </xf>
    <xf numFmtId="0" fontId="10" fillId="6" borderId="433" xfId="0" applyFont="1" applyFill="1" applyBorder="1" applyAlignment="1">
      <alignment horizontal="center" vertical="center" wrapText="1"/>
    </xf>
    <xf numFmtId="0" fontId="10" fillId="6" borderId="434" xfId="0" applyFont="1" applyFill="1" applyBorder="1" applyAlignment="1">
      <alignment horizontal="center" vertical="center" wrapText="1"/>
    </xf>
    <xf numFmtId="0" fontId="10" fillId="6" borderId="435" xfId="0" applyFont="1" applyFill="1" applyBorder="1" applyAlignment="1">
      <alignment horizontal="center" vertical="center" wrapText="1"/>
    </xf>
    <xf numFmtId="0" fontId="10" fillId="6" borderId="436" xfId="0" applyNumberFormat="1" applyFont="1" applyFill="1" applyBorder="1" applyAlignment="1">
      <alignment horizontal="center" vertical="center" wrapText="1"/>
    </xf>
    <xf numFmtId="0" fontId="10" fillId="6" borderId="438" xfId="0" applyNumberFormat="1" applyFont="1" applyFill="1" applyBorder="1" applyAlignment="1">
      <alignment horizontal="center" vertical="center" wrapText="1"/>
    </xf>
    <xf numFmtId="167" fontId="10" fillId="6" borderId="439" xfId="0" applyNumberFormat="1" applyFont="1" applyFill="1" applyBorder="1" applyAlignment="1">
      <alignment horizontal="center" vertical="center" wrapText="1"/>
    </xf>
    <xf numFmtId="0" fontId="10" fillId="6" borderId="440" xfId="0" applyFont="1" applyFill="1" applyBorder="1" applyAlignment="1">
      <alignment horizontal="center" vertical="center" wrapText="1"/>
    </xf>
    <xf numFmtId="1" fontId="10" fillId="6" borderId="441" xfId="0" applyNumberFormat="1" applyFont="1" applyFill="1" applyBorder="1" applyAlignment="1">
      <alignment horizontal="center" vertical="center" wrapText="1"/>
    </xf>
    <xf numFmtId="165" fontId="10" fillId="6" borderId="442" xfId="0" applyNumberFormat="1" applyFont="1" applyFill="1" applyBorder="1" applyAlignment="1">
      <alignment horizontal="center" vertical="center" wrapText="1"/>
    </xf>
    <xf numFmtId="0" fontId="9" fillId="5" borderId="443" xfId="0" applyFont="1" applyFill="1" applyBorder="1" applyAlignment="1">
      <alignment horizontal="center" vertical="center" wrapText="1"/>
    </xf>
    <xf numFmtId="0" fontId="9" fillId="5" borderId="444" xfId="0" applyFont="1" applyFill="1" applyBorder="1" applyAlignment="1">
      <alignment horizontal="center" vertical="center" wrapText="1"/>
    </xf>
    <xf numFmtId="13" fontId="9" fillId="5" borderId="445" xfId="0" applyNumberFormat="1" applyFont="1" applyFill="1" applyBorder="1" applyAlignment="1">
      <alignment horizontal="center" vertical="center" wrapText="1"/>
    </xf>
    <xf numFmtId="0" fontId="9" fillId="5" borderId="446" xfId="0" applyFont="1" applyFill="1" applyBorder="1" applyAlignment="1">
      <alignment horizontal="center" vertical="center" wrapText="1"/>
    </xf>
    <xf numFmtId="0" fontId="10" fillId="5" borderId="447" xfId="0" applyNumberFormat="1" applyFont="1" applyFill="1" applyBorder="1" applyAlignment="1">
      <alignment horizontal="center" vertical="center" wrapText="1"/>
    </xf>
    <xf numFmtId="13" fontId="10" fillId="5" borderId="448" xfId="0" applyNumberFormat="1" applyFont="1" applyFill="1" applyBorder="1" applyAlignment="1">
      <alignment horizontal="center" vertical="center" wrapText="1"/>
    </xf>
    <xf numFmtId="0" fontId="9" fillId="5" borderId="449" xfId="0" applyFont="1" applyFill="1" applyBorder="1" applyAlignment="1">
      <alignment horizontal="center" vertical="center" wrapText="1"/>
    </xf>
    <xf numFmtId="0" fontId="9" fillId="5" borderId="450" xfId="0" applyFont="1" applyFill="1" applyBorder="1" applyAlignment="1">
      <alignment horizontal="center" vertical="center" wrapText="1"/>
    </xf>
    <xf numFmtId="13" fontId="10" fillId="5" borderId="451" xfId="0" applyNumberFormat="1" applyFont="1" applyFill="1" applyBorder="1" applyAlignment="1">
      <alignment horizontal="center" vertical="center" wrapText="1"/>
    </xf>
    <xf numFmtId="165" fontId="10" fillId="5" borderId="452" xfId="0" applyNumberFormat="1" applyFont="1" applyFill="1" applyBorder="1" applyAlignment="1">
      <alignment horizontal="center" vertical="center" wrapText="1"/>
    </xf>
    <xf numFmtId="165" fontId="9" fillId="5" borderId="453" xfId="0" applyNumberFormat="1" applyFont="1" applyFill="1" applyBorder="1" applyAlignment="1">
      <alignment horizontal="center" vertical="center" wrapText="1"/>
    </xf>
    <xf numFmtId="0" fontId="9" fillId="5" borderId="454" xfId="0" applyNumberFormat="1" applyFont="1" applyFill="1" applyBorder="1" applyAlignment="1">
      <alignment horizontal="center" vertical="center" wrapText="1"/>
    </xf>
    <xf numFmtId="0" fontId="10" fillId="5" borderId="455" xfId="0" applyNumberFormat="1" applyFont="1" applyFill="1" applyBorder="1" applyAlignment="1">
      <alignment horizontal="center" vertical="center" wrapText="1"/>
    </xf>
    <xf numFmtId="0" fontId="10" fillId="5" borderId="456" xfId="0" applyNumberFormat="1" applyFont="1" applyFill="1" applyBorder="1" applyAlignment="1">
      <alignment horizontal="center" vertical="center" wrapText="1"/>
    </xf>
    <xf numFmtId="0" fontId="9" fillId="5" borderId="448" xfId="0" applyNumberFormat="1" applyFont="1" applyFill="1" applyBorder="1" applyAlignment="1">
      <alignment horizontal="center" vertical="center" wrapText="1"/>
    </xf>
    <xf numFmtId="165" fontId="9" fillId="5" borderId="457" xfId="0" applyNumberFormat="1" applyFont="1" applyFill="1" applyBorder="1" applyAlignment="1">
      <alignment horizontal="center" vertical="center" wrapText="1"/>
    </xf>
    <xf numFmtId="166" fontId="9" fillId="5" borderId="455" xfId="0" applyNumberFormat="1" applyFont="1" applyFill="1" applyBorder="1" applyAlignment="1">
      <alignment horizontal="center" vertical="center" wrapText="1"/>
    </xf>
    <xf numFmtId="170" fontId="10" fillId="5" borderId="458" xfId="0" applyNumberFormat="1" applyFont="1" applyFill="1" applyBorder="1" applyAlignment="1">
      <alignment horizontal="center" vertical="center" wrapText="1"/>
    </xf>
    <xf numFmtId="165" fontId="9" fillId="5" borderId="454" xfId="0" applyNumberFormat="1" applyFont="1" applyFill="1" applyBorder="1" applyAlignment="1">
      <alignment horizontal="center" vertical="center" wrapText="1"/>
    </xf>
    <xf numFmtId="0" fontId="9" fillId="5" borderId="459" xfId="0" applyNumberFormat="1" applyFont="1" applyFill="1" applyBorder="1" applyAlignment="1">
      <alignment horizontal="center" vertical="center" wrapText="1"/>
    </xf>
    <xf numFmtId="0" fontId="9" fillId="5" borderId="460" xfId="0" applyNumberFormat="1" applyFont="1" applyFill="1" applyBorder="1" applyAlignment="1">
      <alignment horizontal="center" vertical="center" wrapText="1"/>
    </xf>
    <xf numFmtId="0" fontId="9" fillId="5" borderId="461" xfId="0" applyFont="1" applyFill="1" applyBorder="1" applyAlignment="1">
      <alignment horizontal="center" vertical="center" wrapText="1"/>
    </xf>
    <xf numFmtId="0" fontId="9" fillId="5" borderId="462" xfId="0" applyNumberFormat="1" applyFont="1" applyFill="1" applyBorder="1" applyAlignment="1">
      <alignment horizontal="center" vertical="center" wrapText="1"/>
    </xf>
    <xf numFmtId="167" fontId="10" fillId="5" borderId="463" xfId="0" applyNumberFormat="1" applyFont="1" applyFill="1" applyBorder="1" applyAlignment="1">
      <alignment horizontal="center" vertical="center" wrapText="1"/>
    </xf>
    <xf numFmtId="0" fontId="10" fillId="5" borderId="464" xfId="0" applyNumberFormat="1" applyFont="1" applyFill="1" applyBorder="1" applyAlignment="1">
      <alignment horizontal="center" vertical="center" wrapText="1"/>
    </xf>
    <xf numFmtId="0" fontId="10" fillId="5" borderId="465" xfId="0" applyFont="1" applyFill="1" applyBorder="1" applyAlignment="1">
      <alignment horizontal="center" vertical="center" wrapText="1"/>
    </xf>
    <xf numFmtId="0" fontId="10" fillId="5" borderId="466" xfId="0" applyFont="1" applyFill="1" applyBorder="1" applyAlignment="1">
      <alignment horizontal="center" vertical="center" wrapText="1"/>
    </xf>
    <xf numFmtId="0" fontId="10" fillId="5" borderId="467" xfId="0" applyFont="1" applyFill="1" applyBorder="1" applyAlignment="1">
      <alignment horizontal="center" vertical="center" wrapText="1"/>
    </xf>
    <xf numFmtId="0" fontId="10" fillId="5" borderId="468" xfId="0" applyNumberFormat="1" applyFont="1" applyFill="1" applyBorder="1" applyAlignment="1">
      <alignment horizontal="center" vertical="center" wrapText="1"/>
    </xf>
    <xf numFmtId="0" fontId="10" fillId="5" borderId="470" xfId="0" applyNumberFormat="1" applyFont="1" applyFill="1" applyBorder="1" applyAlignment="1">
      <alignment horizontal="center" vertical="center" wrapText="1"/>
    </xf>
    <xf numFmtId="167" fontId="10" fillId="5" borderId="471" xfId="0" applyNumberFormat="1" applyFont="1" applyFill="1" applyBorder="1" applyAlignment="1">
      <alignment horizontal="center" vertical="center" wrapText="1"/>
    </xf>
    <xf numFmtId="0" fontId="10" fillId="5" borderId="472" xfId="0" applyFont="1" applyFill="1" applyBorder="1" applyAlignment="1">
      <alignment horizontal="center" vertical="center" wrapText="1"/>
    </xf>
    <xf numFmtId="1" fontId="10" fillId="5" borderId="473" xfId="0" applyNumberFormat="1" applyFont="1" applyFill="1" applyBorder="1" applyAlignment="1">
      <alignment horizontal="center" vertical="center" wrapText="1"/>
    </xf>
    <xf numFmtId="165" fontId="10" fillId="5" borderId="474" xfId="0" applyNumberFormat="1" applyFont="1" applyFill="1" applyBorder="1" applyAlignment="1">
      <alignment horizontal="center" vertical="center" wrapText="1"/>
    </xf>
    <xf numFmtId="49" fontId="12" fillId="0" borderId="0" xfId="2" applyNumberFormat="1" applyFont="1"/>
    <xf numFmtId="0" fontId="11" fillId="0" borderId="0" xfId="2" applyAlignment="1">
      <alignment horizontal="left"/>
    </xf>
    <xf numFmtId="0" fontId="11" fillId="0" borderId="0" xfId="2" applyAlignment="1">
      <alignment horizontal="center"/>
    </xf>
    <xf numFmtId="0" fontId="11" fillId="0" borderId="0" xfId="2"/>
    <xf numFmtId="0" fontId="11" fillId="0" borderId="0" xfId="2" applyBorder="1"/>
    <xf numFmtId="0" fontId="11" fillId="0" borderId="475" xfId="2" applyBorder="1"/>
    <xf numFmtId="0" fontId="11" fillId="0" borderId="476" xfId="2" applyBorder="1"/>
    <xf numFmtId="0" fontId="11" fillId="0" borderId="477" xfId="2" applyBorder="1"/>
    <xf numFmtId="0" fontId="13" fillId="0" borderId="1" xfId="2" applyFont="1" applyBorder="1" applyAlignment="1">
      <alignment horizontal="center" wrapText="1"/>
    </xf>
    <xf numFmtId="0" fontId="13" fillId="0" borderId="483" xfId="2" applyFont="1" applyBorder="1" applyAlignment="1">
      <alignment horizontal="left" wrapText="1"/>
    </xf>
    <xf numFmtId="0" fontId="11" fillId="0" borderId="1" xfId="2" applyBorder="1" applyAlignment="1">
      <alignment horizontal="center" wrapText="1"/>
    </xf>
    <xf numFmtId="0" fontId="11" fillId="0" borderId="2" xfId="2" applyBorder="1" applyAlignment="1">
      <alignment horizontal="center" wrapText="1"/>
    </xf>
    <xf numFmtId="0" fontId="11" fillId="0" borderId="2" xfId="2" applyBorder="1" applyAlignment="1">
      <alignment horizontal="center"/>
    </xf>
    <xf numFmtId="0" fontId="11" fillId="0" borderId="484" xfId="2" applyBorder="1" applyAlignment="1">
      <alignment horizontal="center" wrapText="1"/>
    </xf>
    <xf numFmtId="0" fontId="13" fillId="0" borderId="485" xfId="2" applyFont="1" applyBorder="1" applyAlignment="1">
      <alignment horizontal="center" wrapText="1"/>
    </xf>
    <xf numFmtId="0" fontId="13" fillId="0" borderId="486" xfId="2" applyFont="1" applyBorder="1" applyAlignment="1">
      <alignment horizontal="center" wrapText="1"/>
    </xf>
    <xf numFmtId="0" fontId="14" fillId="0" borderId="487" xfId="2" applyFont="1" applyBorder="1" applyAlignment="1">
      <alignment horizontal="center" wrapText="1"/>
    </xf>
    <xf numFmtId="0" fontId="11" fillId="0" borderId="488" xfId="2" applyBorder="1" applyAlignment="1">
      <alignment horizontal="center" wrapText="1"/>
    </xf>
    <xf numFmtId="0" fontId="11" fillId="0" borderId="487" xfId="2" applyBorder="1" applyAlignment="1">
      <alignment horizontal="center" wrapText="1"/>
    </xf>
    <xf numFmtId="0" fontId="11" fillId="0" borderId="483" xfId="2" applyBorder="1" applyAlignment="1">
      <alignment horizontal="center" wrapText="1"/>
    </xf>
    <xf numFmtId="0" fontId="11" fillId="0" borderId="3" xfId="2" applyBorder="1" applyAlignment="1">
      <alignment horizontal="center" wrapText="1"/>
    </xf>
    <xf numFmtId="0" fontId="11" fillId="0" borderId="489" xfId="2" applyBorder="1" applyAlignment="1">
      <alignment horizontal="center" vertical="center"/>
    </xf>
    <xf numFmtId="0" fontId="11" fillId="0" borderId="490" xfId="2" applyBorder="1" applyAlignment="1">
      <alignment horizontal="center" vertical="center"/>
    </xf>
    <xf numFmtId="0" fontId="14" fillId="0" borderId="491" xfId="2" applyFont="1" applyBorder="1" applyAlignment="1">
      <alignment horizontal="center" vertical="center" wrapText="1"/>
    </xf>
    <xf numFmtId="0" fontId="14" fillId="0" borderId="12" xfId="2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14" fillId="0" borderId="490" xfId="2" applyFont="1" applyBorder="1" applyAlignment="1">
      <alignment horizontal="center" vertical="center"/>
    </xf>
    <xf numFmtId="0" fontId="14" fillId="0" borderId="491" xfId="2" applyFont="1" applyBorder="1" applyAlignment="1">
      <alignment horizontal="center" vertical="center"/>
    </xf>
    <xf numFmtId="0" fontId="11" fillId="0" borderId="12" xfId="2" applyBorder="1" applyAlignment="1">
      <alignment horizontal="center" vertical="center"/>
    </xf>
    <xf numFmtId="0" fontId="11" fillId="0" borderId="12" xfId="2" applyBorder="1" applyAlignment="1">
      <alignment horizontal="center" vertical="center" wrapText="1"/>
    </xf>
    <xf numFmtId="0" fontId="11" fillId="0" borderId="492" xfId="2" applyBorder="1" applyAlignment="1">
      <alignment horizontal="center" vertical="center"/>
    </xf>
    <xf numFmtId="0" fontId="14" fillId="0" borderId="493" xfId="2" applyFont="1" applyFill="1" applyBorder="1" applyAlignment="1">
      <alignment horizontal="center" vertical="center"/>
    </xf>
    <xf numFmtId="0" fontId="14" fillId="0" borderId="5" xfId="2" applyFont="1" applyFill="1" applyBorder="1" applyAlignment="1">
      <alignment horizontal="center" vertical="center"/>
    </xf>
    <xf numFmtId="0" fontId="11" fillId="0" borderId="491" xfId="2" applyBorder="1" applyAlignment="1">
      <alignment horizontal="center" vertical="center"/>
    </xf>
    <xf numFmtId="0" fontId="11" fillId="0" borderId="494" xfId="2" applyBorder="1" applyAlignment="1">
      <alignment horizontal="center" vertical="center"/>
    </xf>
    <xf numFmtId="0" fontId="11" fillId="0" borderId="11" xfId="2" applyBorder="1" applyAlignment="1">
      <alignment horizontal="center" vertical="center"/>
    </xf>
    <xf numFmtId="0" fontId="11" fillId="0" borderId="13" xfId="2" applyBorder="1" applyAlignment="1">
      <alignment horizontal="center" vertical="center"/>
    </xf>
    <xf numFmtId="0" fontId="11" fillId="0" borderId="6" xfId="2" applyBorder="1" applyAlignment="1">
      <alignment horizontal="center" vertical="center"/>
    </xf>
    <xf numFmtId="0" fontId="11" fillId="0" borderId="495" xfId="2" applyBorder="1" applyAlignment="1">
      <alignment horizontal="center" vertical="center"/>
    </xf>
    <xf numFmtId="0" fontId="14" fillId="0" borderId="493" xfId="2" applyFont="1" applyBorder="1" applyAlignment="1">
      <alignment horizontal="center" vertical="center" wrapText="1"/>
    </xf>
    <xf numFmtId="0" fontId="14" fillId="0" borderId="5" xfId="2" applyFont="1" applyBorder="1" applyAlignment="1">
      <alignment horizontal="center" vertical="center"/>
    </xf>
    <xf numFmtId="0" fontId="14" fillId="0" borderId="495" xfId="2" applyFont="1" applyBorder="1" applyAlignment="1">
      <alignment horizontal="center" vertical="center"/>
    </xf>
    <xf numFmtId="0" fontId="14" fillId="0" borderId="493" xfId="2" applyFont="1" applyBorder="1" applyAlignment="1">
      <alignment horizontal="center" vertical="center"/>
    </xf>
    <xf numFmtId="0" fontId="11" fillId="0" borderId="5" xfId="2" applyBorder="1" applyAlignment="1">
      <alignment horizontal="center" vertical="center"/>
    </xf>
    <xf numFmtId="0" fontId="11" fillId="0" borderId="493" xfId="2" applyBorder="1" applyAlignment="1">
      <alignment horizontal="center" vertical="center"/>
    </xf>
    <xf numFmtId="0" fontId="11" fillId="0" borderId="17" xfId="2" applyBorder="1" applyAlignment="1">
      <alignment horizontal="center" vertical="center"/>
    </xf>
    <xf numFmtId="0" fontId="11" fillId="0" borderId="7" xfId="2" applyBorder="1" applyAlignment="1">
      <alignment horizontal="center" vertical="center"/>
    </xf>
    <xf numFmtId="0" fontId="14" fillId="0" borderId="6" xfId="2" applyFont="1" applyBorder="1" applyAlignment="1">
      <alignment horizontal="center" vertical="center"/>
    </xf>
    <xf numFmtId="0" fontId="14" fillId="0" borderId="17" xfId="2" applyFont="1" applyBorder="1" applyAlignment="1">
      <alignment horizontal="center" vertical="center"/>
    </xf>
    <xf numFmtId="0" fontId="14" fillId="0" borderId="7" xfId="2" applyFont="1" applyBorder="1" applyAlignment="1">
      <alignment horizontal="center" vertical="center"/>
    </xf>
    <xf numFmtId="0" fontId="14" fillId="0" borderId="495" xfId="2" applyFont="1" applyBorder="1" applyAlignment="1">
      <alignment horizontal="center" vertical="center" wrapText="1"/>
    </xf>
    <xf numFmtId="0" fontId="14" fillId="0" borderId="497" xfId="2" applyFont="1" applyFill="1" applyBorder="1" applyAlignment="1">
      <alignment horizontal="center" vertical="center"/>
    </xf>
    <xf numFmtId="0" fontId="14" fillId="0" borderId="12" xfId="2" applyFont="1" applyFill="1" applyBorder="1" applyAlignment="1">
      <alignment horizontal="center" vertical="center" wrapText="1"/>
    </xf>
    <xf numFmtId="0" fontId="14" fillId="0" borderId="495" xfId="2" applyFont="1" applyFill="1" applyBorder="1" applyAlignment="1">
      <alignment horizontal="center" vertical="center"/>
    </xf>
    <xf numFmtId="0" fontId="14" fillId="0" borderId="492" xfId="2" applyFont="1" applyFill="1" applyBorder="1" applyAlignment="1">
      <alignment horizontal="center" vertical="center"/>
    </xf>
    <xf numFmtId="0" fontId="14" fillId="0" borderId="17" xfId="2" applyFont="1" applyFill="1" applyBorder="1" applyAlignment="1">
      <alignment horizontal="center" vertical="center"/>
    </xf>
    <xf numFmtId="0" fontId="14" fillId="0" borderId="8" xfId="2" applyFont="1" applyFill="1" applyBorder="1" applyAlignment="1">
      <alignment horizontal="center" vertical="center"/>
    </xf>
    <xf numFmtId="0" fontId="14" fillId="0" borderId="9" xfId="2" applyFont="1" applyFill="1" applyBorder="1" applyAlignment="1">
      <alignment horizontal="center" vertical="center"/>
    </xf>
    <xf numFmtId="0" fontId="14" fillId="0" borderId="10" xfId="2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wrapText="1"/>
    </xf>
    <xf numFmtId="0" fontId="7" fillId="3" borderId="7" xfId="0" applyFont="1" applyFill="1" applyBorder="1" applyAlignment="1">
      <alignment horizontal="center" wrapText="1"/>
    </xf>
    <xf numFmtId="0" fontId="7" fillId="3" borderId="6" xfId="0" applyFont="1" applyFill="1" applyBorder="1" applyAlignment="1">
      <alignment horizontal="center" wrapText="1"/>
    </xf>
    <xf numFmtId="0" fontId="7" fillId="3" borderId="507" xfId="0" applyFont="1" applyFill="1" applyBorder="1" applyAlignment="1">
      <alignment horizontal="center" wrapText="1"/>
    </xf>
    <xf numFmtId="0" fontId="7" fillId="7" borderId="19" xfId="0" applyFont="1" applyFill="1" applyBorder="1" applyAlignment="1">
      <alignment horizontal="center" wrapText="1"/>
    </xf>
    <xf numFmtId="0" fontId="7" fillId="7" borderId="20" xfId="0" applyFont="1" applyFill="1" applyBorder="1" applyAlignment="1">
      <alignment horizontal="center" wrapText="1"/>
    </xf>
    <xf numFmtId="0" fontId="7" fillId="7" borderId="21" xfId="0" applyFont="1" applyFill="1" applyBorder="1" applyAlignment="1">
      <alignment horizontal="center" wrapText="1"/>
    </xf>
    <xf numFmtId="0" fontId="7" fillId="7" borderId="22" xfId="0" applyFont="1" applyFill="1" applyBorder="1" applyAlignment="1">
      <alignment horizontal="center" wrapText="1"/>
    </xf>
    <xf numFmtId="0" fontId="9" fillId="2" borderId="507" xfId="0" applyFont="1" applyFill="1" applyBorder="1" applyAlignment="1">
      <alignment horizontal="center" vertical="center" wrapText="1"/>
    </xf>
    <xf numFmtId="0" fontId="9" fillId="2" borderId="508" xfId="0" applyNumberFormat="1" applyFont="1" applyFill="1" applyBorder="1" applyAlignment="1">
      <alignment horizontal="center" vertical="center" wrapText="1"/>
    </xf>
    <xf numFmtId="0" fontId="9" fillId="2" borderId="507" xfId="0" applyNumberFormat="1" applyFont="1" applyFill="1" applyBorder="1" applyAlignment="1">
      <alignment horizontal="center" vertical="center" wrapText="1"/>
    </xf>
    <xf numFmtId="166" fontId="10" fillId="2" borderId="35" xfId="0" applyNumberFormat="1" applyFont="1" applyFill="1" applyBorder="1" applyAlignment="1">
      <alignment horizontal="center" vertical="center" wrapText="1"/>
    </xf>
    <xf numFmtId="166" fontId="10" fillId="2" borderId="39" xfId="0" applyNumberFormat="1" applyFont="1" applyFill="1" applyBorder="1" applyAlignment="1">
      <alignment horizontal="center" vertical="center" wrapText="1"/>
    </xf>
    <xf numFmtId="0" fontId="9" fillId="4" borderId="507" xfId="0" applyFont="1" applyFill="1" applyBorder="1" applyAlignment="1">
      <alignment horizontal="center" vertical="center" wrapText="1"/>
    </xf>
    <xf numFmtId="0" fontId="9" fillId="4" borderId="508" xfId="0" applyNumberFormat="1" applyFont="1" applyFill="1" applyBorder="1" applyAlignment="1">
      <alignment horizontal="center" vertical="center" wrapText="1"/>
    </xf>
    <xf numFmtId="0" fontId="9" fillId="4" borderId="507" xfId="0" applyNumberFormat="1" applyFont="1" applyFill="1" applyBorder="1" applyAlignment="1">
      <alignment horizontal="center" vertical="center" wrapText="1"/>
    </xf>
    <xf numFmtId="166" fontId="10" fillId="4" borderId="52" xfId="0" applyNumberFormat="1" applyFont="1" applyFill="1" applyBorder="1" applyAlignment="1">
      <alignment horizontal="center" vertical="center" wrapText="1"/>
    </xf>
    <xf numFmtId="166" fontId="10" fillId="4" borderId="509" xfId="0" applyNumberFormat="1" applyFont="1" applyFill="1" applyBorder="1" applyAlignment="1">
      <alignment horizontal="center" vertical="center" wrapText="1"/>
    </xf>
    <xf numFmtId="166" fontId="10" fillId="2" borderId="69" xfId="0" applyNumberFormat="1" applyFont="1" applyFill="1" applyBorder="1" applyAlignment="1">
      <alignment horizontal="center" vertical="center" wrapText="1"/>
    </xf>
    <xf numFmtId="166" fontId="10" fillId="2" borderId="510" xfId="0" applyNumberFormat="1" applyFont="1" applyFill="1" applyBorder="1" applyAlignment="1">
      <alignment horizontal="center" vertical="center" wrapText="1"/>
    </xf>
    <xf numFmtId="166" fontId="10" fillId="4" borderId="86" xfId="0" applyNumberFormat="1" applyFont="1" applyFill="1" applyBorder="1" applyAlignment="1">
      <alignment horizontal="center" vertical="center" wrapText="1"/>
    </xf>
    <xf numFmtId="166" fontId="10" fillId="4" borderId="511" xfId="0" applyNumberFormat="1" applyFont="1" applyFill="1" applyBorder="1" applyAlignment="1">
      <alignment horizontal="center" vertical="center" wrapText="1"/>
    </xf>
    <xf numFmtId="166" fontId="10" fillId="2" borderId="102" xfId="0" applyNumberFormat="1" applyFont="1" applyFill="1" applyBorder="1" applyAlignment="1">
      <alignment horizontal="center" vertical="center" wrapText="1"/>
    </xf>
    <xf numFmtId="166" fontId="10" fillId="2" borderId="512" xfId="0" applyNumberFormat="1" applyFont="1" applyFill="1" applyBorder="1" applyAlignment="1">
      <alignment horizontal="center" vertical="center" wrapText="1"/>
    </xf>
    <xf numFmtId="166" fontId="10" fillId="4" borderId="118" xfId="0" applyNumberFormat="1" applyFont="1" applyFill="1" applyBorder="1" applyAlignment="1">
      <alignment horizontal="center" vertical="center" wrapText="1"/>
    </xf>
    <xf numFmtId="166" fontId="10" fillId="4" borderId="513" xfId="0" applyNumberFormat="1" applyFont="1" applyFill="1" applyBorder="1" applyAlignment="1">
      <alignment horizontal="center" vertical="center" wrapText="1"/>
    </xf>
    <xf numFmtId="0" fontId="9" fillId="6" borderId="507" xfId="0" applyFont="1" applyFill="1" applyBorder="1" applyAlignment="1">
      <alignment horizontal="center" vertical="center" wrapText="1"/>
    </xf>
    <xf numFmtId="0" fontId="9" fillId="6" borderId="508" xfId="0" applyNumberFormat="1" applyFont="1" applyFill="1" applyBorder="1" applyAlignment="1">
      <alignment horizontal="center" vertical="center" wrapText="1"/>
    </xf>
    <xf numFmtId="0" fontId="9" fillId="6" borderId="507" xfId="0" applyNumberFormat="1" applyFont="1" applyFill="1" applyBorder="1" applyAlignment="1">
      <alignment horizontal="center" vertical="center" wrapText="1"/>
    </xf>
    <xf numFmtId="166" fontId="10" fillId="6" borderId="144" xfId="0" applyNumberFormat="1" applyFont="1" applyFill="1" applyBorder="1" applyAlignment="1">
      <alignment horizontal="center" vertical="center" wrapText="1"/>
    </xf>
    <xf numFmtId="166" fontId="10" fillId="6" borderId="514" xfId="0" applyNumberFormat="1" applyFont="1" applyFill="1" applyBorder="1" applyAlignment="1">
      <alignment horizontal="center" vertical="center" wrapText="1"/>
    </xf>
    <xf numFmtId="0" fontId="9" fillId="5" borderId="507" xfId="0" applyFont="1" applyFill="1" applyBorder="1" applyAlignment="1">
      <alignment horizontal="center" vertical="center" wrapText="1"/>
    </xf>
    <xf numFmtId="0" fontId="9" fillId="5" borderId="508" xfId="0" applyNumberFormat="1" applyFont="1" applyFill="1" applyBorder="1" applyAlignment="1">
      <alignment horizontal="center" vertical="center" wrapText="1"/>
    </xf>
    <xf numFmtId="0" fontId="9" fillId="5" borderId="507" xfId="0" applyNumberFormat="1" applyFont="1" applyFill="1" applyBorder="1" applyAlignment="1">
      <alignment horizontal="center" vertical="center" wrapText="1"/>
    </xf>
    <xf numFmtId="166" fontId="10" fillId="5" borderId="129" xfId="0" applyNumberFormat="1" applyFont="1" applyFill="1" applyBorder="1" applyAlignment="1">
      <alignment horizontal="center" vertical="center" wrapText="1"/>
    </xf>
    <xf numFmtId="166" fontId="10" fillId="5" borderId="515" xfId="0" applyNumberFormat="1" applyFont="1" applyFill="1" applyBorder="1" applyAlignment="1">
      <alignment horizontal="center" vertical="center" wrapText="1"/>
    </xf>
    <xf numFmtId="166" fontId="10" fillId="5" borderId="159" xfId="0" applyNumberFormat="1" applyFont="1" applyFill="1" applyBorder="1" applyAlignment="1">
      <alignment horizontal="center" vertical="center" wrapText="1"/>
    </xf>
    <xf numFmtId="166" fontId="10" fillId="5" borderId="516" xfId="0" applyNumberFormat="1" applyFont="1" applyFill="1" applyBorder="1" applyAlignment="1">
      <alignment horizontal="center" vertical="center" wrapText="1"/>
    </xf>
    <xf numFmtId="166" fontId="10" fillId="6" borderId="179" xfId="0" applyNumberFormat="1" applyFont="1" applyFill="1" applyBorder="1" applyAlignment="1">
      <alignment horizontal="center" vertical="center" wrapText="1"/>
    </xf>
    <xf numFmtId="166" fontId="10" fillId="6" borderId="517" xfId="0" applyNumberFormat="1" applyFont="1" applyFill="1" applyBorder="1" applyAlignment="1">
      <alignment horizontal="center" vertical="center" wrapText="1"/>
    </xf>
    <xf numFmtId="166" fontId="10" fillId="5" borderId="195" xfId="0" applyNumberFormat="1" applyFont="1" applyFill="1" applyBorder="1" applyAlignment="1">
      <alignment horizontal="center" vertical="center" wrapText="1"/>
    </xf>
    <xf numFmtId="166" fontId="10" fillId="5" borderId="518" xfId="0" applyNumberFormat="1" applyFont="1" applyFill="1" applyBorder="1" applyAlignment="1">
      <alignment horizontal="center" vertical="center" wrapText="1"/>
    </xf>
    <xf numFmtId="166" fontId="10" fillId="6" borderId="81" xfId="0" applyNumberFormat="1" applyFont="1" applyFill="1" applyBorder="1" applyAlignment="1">
      <alignment horizontal="center" vertical="center" wrapText="1"/>
    </xf>
    <xf numFmtId="166" fontId="10" fillId="6" borderId="511" xfId="0" applyNumberFormat="1" applyFont="1" applyFill="1" applyBorder="1" applyAlignment="1">
      <alignment horizontal="center" vertical="center" wrapText="1"/>
    </xf>
    <xf numFmtId="166" fontId="10" fillId="5" borderId="220" xfId="0" applyNumberFormat="1" applyFont="1" applyFill="1" applyBorder="1" applyAlignment="1">
      <alignment horizontal="center" vertical="center" wrapText="1"/>
    </xf>
    <xf numFmtId="166" fontId="10" fillId="5" borderId="519" xfId="0" applyNumberFormat="1" applyFont="1" applyFill="1" applyBorder="1" applyAlignment="1">
      <alignment horizontal="center" vertical="center" wrapText="1"/>
    </xf>
    <xf numFmtId="166" fontId="10" fillId="6" borderId="235" xfId="0" applyNumberFormat="1" applyFont="1" applyFill="1" applyBorder="1" applyAlignment="1">
      <alignment horizontal="center" vertical="center" wrapText="1"/>
    </xf>
    <xf numFmtId="166" fontId="10" fillId="6" borderId="520" xfId="0" applyNumberFormat="1" applyFont="1" applyFill="1" applyBorder="1" applyAlignment="1">
      <alignment horizontal="center" vertical="center" wrapText="1"/>
    </xf>
    <xf numFmtId="166" fontId="10" fillId="5" borderId="251" xfId="0" applyNumberFormat="1" applyFont="1" applyFill="1" applyBorder="1" applyAlignment="1">
      <alignment horizontal="center" vertical="center" wrapText="1"/>
    </xf>
    <xf numFmtId="166" fontId="10" fillId="5" borderId="521" xfId="0" applyNumberFormat="1" applyFont="1" applyFill="1" applyBorder="1" applyAlignment="1">
      <alignment horizontal="center" vertical="center" wrapText="1"/>
    </xf>
    <xf numFmtId="0" fontId="15" fillId="0" borderId="0" xfId="0" applyFont="1"/>
    <xf numFmtId="166" fontId="10" fillId="6" borderId="267" xfId="0" applyNumberFormat="1" applyFont="1" applyFill="1" applyBorder="1" applyAlignment="1">
      <alignment horizontal="center" vertical="center" wrapText="1"/>
    </xf>
    <xf numFmtId="166" fontId="10" fillId="6" borderId="522" xfId="0" applyNumberFormat="1" applyFont="1" applyFill="1" applyBorder="1" applyAlignment="1">
      <alignment horizontal="center" vertical="center" wrapText="1"/>
    </xf>
    <xf numFmtId="166" fontId="10" fillId="5" borderId="283" xfId="0" applyNumberFormat="1" applyFont="1" applyFill="1" applyBorder="1" applyAlignment="1">
      <alignment horizontal="center" vertical="center" wrapText="1"/>
    </xf>
    <xf numFmtId="166" fontId="10" fillId="5" borderId="23" xfId="0" applyNumberFormat="1" applyFont="1" applyFill="1" applyBorder="1" applyAlignment="1">
      <alignment horizontal="center" vertical="center" wrapText="1"/>
    </xf>
    <xf numFmtId="166" fontId="10" fillId="6" borderId="299" xfId="0" applyNumberFormat="1" applyFont="1" applyFill="1" applyBorder="1" applyAlignment="1">
      <alignment horizontal="center" vertical="center" wrapText="1"/>
    </xf>
    <xf numFmtId="166" fontId="10" fillId="6" borderId="523" xfId="0" applyNumberFormat="1" applyFont="1" applyFill="1" applyBorder="1" applyAlignment="1">
      <alignment horizontal="center" vertical="center" wrapText="1"/>
    </xf>
    <xf numFmtId="166" fontId="10" fillId="5" borderId="315" xfId="0" applyNumberFormat="1" applyFont="1" applyFill="1" applyBorder="1" applyAlignment="1">
      <alignment horizontal="center" vertical="center" wrapText="1"/>
    </xf>
    <xf numFmtId="166" fontId="10" fillId="5" borderId="524" xfId="0" applyNumberFormat="1" applyFont="1" applyFill="1" applyBorder="1" applyAlignment="1">
      <alignment horizontal="center" vertical="center" wrapText="1"/>
    </xf>
    <xf numFmtId="166" fontId="10" fillId="6" borderId="330" xfId="0" applyNumberFormat="1" applyFont="1" applyFill="1" applyBorder="1" applyAlignment="1">
      <alignment horizontal="center" vertical="center" wrapText="1"/>
    </xf>
    <xf numFmtId="166" fontId="10" fillId="6" borderId="525" xfId="0" applyNumberFormat="1" applyFont="1" applyFill="1" applyBorder="1" applyAlignment="1">
      <alignment horizontal="center" vertical="center" wrapText="1"/>
    </xf>
    <xf numFmtId="166" fontId="10" fillId="5" borderId="345" xfId="0" applyNumberFormat="1" applyFont="1" applyFill="1" applyBorder="1" applyAlignment="1">
      <alignment horizontal="center" vertical="center" wrapText="1"/>
    </xf>
    <xf numFmtId="166" fontId="10" fillId="5" borderId="526" xfId="0" applyNumberFormat="1" applyFont="1" applyFill="1" applyBorder="1" applyAlignment="1">
      <alignment horizontal="center" vertical="center" wrapText="1"/>
    </xf>
    <xf numFmtId="0" fontId="9" fillId="6" borderId="362" xfId="0" applyFont="1" applyFill="1" applyBorder="1" applyAlignment="1">
      <alignment horizontal="center" vertical="center" wrapText="1"/>
    </xf>
    <xf numFmtId="0" fontId="9" fillId="6" borderId="527" xfId="0" applyNumberFormat="1" applyFont="1" applyFill="1" applyBorder="1" applyAlignment="1">
      <alignment horizontal="center" vertical="center" wrapText="1"/>
    </xf>
    <xf numFmtId="0" fontId="9" fillId="6" borderId="528" xfId="0" applyNumberFormat="1" applyFont="1" applyFill="1" applyBorder="1" applyAlignment="1">
      <alignment horizontal="center" vertical="center" wrapText="1"/>
    </xf>
    <xf numFmtId="0" fontId="9" fillId="6" borderId="362" xfId="0" applyNumberFormat="1" applyFont="1" applyFill="1" applyBorder="1" applyAlignment="1">
      <alignment horizontal="center" vertical="center" wrapText="1"/>
    </xf>
    <xf numFmtId="166" fontId="10" fillId="6" borderId="376" xfId="0" applyNumberFormat="1" applyFont="1" applyFill="1" applyBorder="1" applyAlignment="1">
      <alignment horizontal="center" vertical="center" wrapText="1"/>
    </xf>
    <xf numFmtId="166" fontId="10" fillId="6" borderId="529" xfId="0" applyNumberFormat="1" applyFont="1" applyFill="1" applyBorder="1" applyAlignment="1">
      <alignment horizontal="center" vertical="center" wrapText="1"/>
    </xf>
    <xf numFmtId="0" fontId="9" fillId="5" borderId="393" xfId="0" applyFont="1" applyFill="1" applyBorder="1" applyAlignment="1">
      <alignment horizontal="center" vertical="center" wrapText="1"/>
    </xf>
    <xf numFmtId="0" fontId="9" fillId="5" borderId="530" xfId="0" applyNumberFormat="1" applyFont="1" applyFill="1" applyBorder="1" applyAlignment="1">
      <alignment horizontal="center" vertical="center" wrapText="1"/>
    </xf>
    <xf numFmtId="0" fontId="9" fillId="5" borderId="531" xfId="0" applyNumberFormat="1" applyFont="1" applyFill="1" applyBorder="1" applyAlignment="1">
      <alignment horizontal="center" vertical="center" wrapText="1"/>
    </xf>
    <xf numFmtId="0" fontId="9" fillId="5" borderId="393" xfId="0" applyNumberFormat="1" applyFont="1" applyFill="1" applyBorder="1" applyAlignment="1">
      <alignment horizontal="center" vertical="center" wrapText="1"/>
    </xf>
    <xf numFmtId="166" fontId="10" fillId="5" borderId="405" xfId="0" applyNumberFormat="1" applyFont="1" applyFill="1" applyBorder="1" applyAlignment="1">
      <alignment horizontal="center" vertical="center" wrapText="1"/>
    </xf>
    <xf numFmtId="166" fontId="10" fillId="5" borderId="532" xfId="0" applyNumberFormat="1" applyFont="1" applyFill="1" applyBorder="1" applyAlignment="1">
      <alignment horizontal="center" vertical="center" wrapText="1"/>
    </xf>
    <xf numFmtId="0" fontId="9" fillId="6" borderId="423" xfId="0" applyFont="1" applyFill="1" applyBorder="1" applyAlignment="1">
      <alignment horizontal="center" vertical="center" wrapText="1"/>
    </xf>
    <xf numFmtId="0" fontId="9" fillId="6" borderId="533" xfId="0" applyNumberFormat="1" applyFont="1" applyFill="1" applyBorder="1" applyAlignment="1">
      <alignment horizontal="center" vertical="center" wrapText="1"/>
    </xf>
    <xf numFmtId="0" fontId="9" fillId="6" borderId="534" xfId="0" applyNumberFormat="1" applyFont="1" applyFill="1" applyBorder="1" applyAlignment="1">
      <alignment horizontal="center" vertical="center" wrapText="1"/>
    </xf>
    <xf numFmtId="0" fontId="9" fillId="6" borderId="423" xfId="0" applyNumberFormat="1" applyFont="1" applyFill="1" applyBorder="1" applyAlignment="1">
      <alignment horizontal="center" vertical="center" wrapText="1"/>
    </xf>
    <xf numFmtId="166" fontId="10" fillId="6" borderId="437" xfId="0" applyNumberFormat="1" applyFont="1" applyFill="1" applyBorder="1" applyAlignment="1">
      <alignment horizontal="center" vertical="center" wrapText="1"/>
    </xf>
    <xf numFmtId="166" fontId="10" fillId="6" borderId="423" xfId="0" applyNumberFormat="1" applyFont="1" applyFill="1" applyBorder="1" applyAlignment="1">
      <alignment horizontal="center" vertical="center" wrapText="1"/>
    </xf>
    <xf numFmtId="0" fontId="9" fillId="5" borderId="456" xfId="0" applyFont="1" applyFill="1" applyBorder="1" applyAlignment="1">
      <alignment horizontal="center" vertical="center" wrapText="1"/>
    </xf>
    <xf numFmtId="0" fontId="9" fillId="5" borderId="535" xfId="0" applyNumberFormat="1" applyFont="1" applyFill="1" applyBorder="1" applyAlignment="1">
      <alignment horizontal="center" vertical="center" wrapText="1"/>
    </xf>
    <xf numFmtId="0" fontId="9" fillId="5" borderId="536" xfId="0" applyNumberFormat="1" applyFont="1" applyFill="1" applyBorder="1" applyAlignment="1">
      <alignment horizontal="center" vertical="center" wrapText="1"/>
    </xf>
    <xf numFmtId="0" fontId="9" fillId="5" borderId="456" xfId="0" applyNumberFormat="1" applyFont="1" applyFill="1" applyBorder="1" applyAlignment="1">
      <alignment horizontal="center" vertical="center" wrapText="1"/>
    </xf>
    <xf numFmtId="166" fontId="10" fillId="5" borderId="469" xfId="0" applyNumberFormat="1" applyFont="1" applyFill="1" applyBorder="1" applyAlignment="1">
      <alignment horizontal="center" vertical="center" wrapText="1"/>
    </xf>
    <xf numFmtId="166" fontId="10" fillId="5" borderId="47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71" fontId="0" fillId="0" borderId="0" xfId="0" applyNumberFormat="1"/>
    <xf numFmtId="0" fontId="16" fillId="0" borderId="0" xfId="0" applyFont="1"/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quotePrefix="1" applyBorder="1" applyAlignment="1">
      <alignment horizontal="center"/>
    </xf>
    <xf numFmtId="0" fontId="1" fillId="7" borderId="4" xfId="0" applyFont="1" applyFill="1" applyBorder="1" applyAlignment="1">
      <alignment horizontal="center" wrapText="1"/>
    </xf>
    <xf numFmtId="0" fontId="0" fillId="0" borderId="12" xfId="0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7" fillId="3" borderId="7" xfId="0" applyFont="1" applyFill="1" applyBorder="1" applyAlignment="1">
      <alignment horizontal="center" wrapText="1"/>
    </xf>
    <xf numFmtId="0" fontId="7" fillId="7" borderId="5" xfId="0" applyFont="1" applyFill="1" applyBorder="1" applyAlignment="1">
      <alignment horizontal="center" wrapText="1"/>
    </xf>
    <xf numFmtId="0" fontId="4" fillId="7" borderId="18" xfId="0" applyFont="1" applyFill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0" fontId="7" fillId="3" borderId="18" xfId="0" applyFont="1" applyFill="1" applyBorder="1" applyAlignment="1">
      <alignment horizontal="center" wrapText="1"/>
    </xf>
    <xf numFmtId="0" fontId="7" fillId="3" borderId="5" xfId="0" applyFont="1" applyFill="1" applyBorder="1" applyAlignment="1">
      <alignment horizontal="center" wrapText="1"/>
    </xf>
    <xf numFmtId="0" fontId="7" fillId="3" borderId="17" xfId="0" applyFont="1" applyFill="1" applyBorder="1" applyAlignment="1">
      <alignment horizontal="center" wrapText="1"/>
    </xf>
    <xf numFmtId="0" fontId="7" fillId="7" borderId="6" xfId="0" applyFont="1" applyFill="1" applyBorder="1" applyAlignment="1">
      <alignment horizontal="center" wrapText="1"/>
    </xf>
    <xf numFmtId="0" fontId="7" fillId="7" borderId="7" xfId="0" applyFont="1" applyFill="1" applyBorder="1" applyAlignment="1">
      <alignment horizontal="center" wrapText="1"/>
    </xf>
    <xf numFmtId="0" fontId="7" fillId="3" borderId="504" xfId="0" applyFont="1" applyFill="1" applyBorder="1" applyAlignment="1">
      <alignment horizontal="center" wrapText="1"/>
    </xf>
    <xf numFmtId="0" fontId="7" fillId="3" borderId="505" xfId="0" applyFont="1" applyFill="1" applyBorder="1" applyAlignment="1">
      <alignment horizontal="center" wrapText="1"/>
    </xf>
    <xf numFmtId="0" fontId="7" fillId="3" borderId="506" xfId="0" applyFont="1" applyFill="1" applyBorder="1" applyAlignment="1">
      <alignment horizontal="center" wrapText="1"/>
    </xf>
    <xf numFmtId="0" fontId="7" fillId="3" borderId="507" xfId="0" applyFont="1" applyFill="1" applyBorder="1" applyAlignment="1">
      <alignment horizontal="center" wrapText="1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4" fillId="3" borderId="501" xfId="0" applyFont="1" applyFill="1" applyBorder="1" applyAlignment="1">
      <alignment horizontal="center" vertical="center" wrapText="1"/>
    </xf>
    <xf numFmtId="0" fontId="4" fillId="3" borderId="502" xfId="0" applyFont="1" applyFill="1" applyBorder="1" applyAlignment="1">
      <alignment horizontal="center" vertical="center" wrapText="1"/>
    </xf>
    <xf numFmtId="0" fontId="4" fillId="3" borderId="503" xfId="0" applyFont="1" applyFill="1" applyBorder="1" applyAlignment="1">
      <alignment horizontal="center" vertical="center" wrapText="1"/>
    </xf>
    <xf numFmtId="0" fontId="4" fillId="7" borderId="14" xfId="0" applyFont="1" applyFill="1" applyBorder="1" applyAlignment="1">
      <alignment horizontal="center" vertical="center" wrapText="1"/>
    </xf>
    <xf numFmtId="0" fontId="4" fillId="7" borderId="15" xfId="0" applyFont="1" applyFill="1" applyBorder="1" applyAlignment="1">
      <alignment horizontal="center" vertical="center" wrapText="1"/>
    </xf>
    <xf numFmtId="0" fontId="4" fillId="7" borderId="16" xfId="0" applyFont="1" applyFill="1" applyBorder="1" applyAlignment="1">
      <alignment horizontal="center" vertical="center" wrapText="1"/>
    </xf>
    <xf numFmtId="0" fontId="6" fillId="3" borderId="15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>
      <alignment horizontal="center" vertical="center" wrapText="1"/>
    </xf>
    <xf numFmtId="0" fontId="5" fillId="7" borderId="14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5" fillId="7" borderId="16" xfId="0" applyFont="1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4" fillId="3" borderId="16" xfId="0" applyFont="1" applyFill="1" applyBorder="1" applyAlignment="1">
      <alignment horizontal="center" vertical="center" wrapText="1"/>
    </xf>
    <xf numFmtId="0" fontId="14" fillId="0" borderId="497" xfId="2" applyFont="1" applyFill="1" applyBorder="1" applyAlignment="1">
      <alignment horizontal="center" vertical="center" wrapText="1"/>
    </xf>
    <xf numFmtId="0" fontId="14" fillId="0" borderId="12" xfId="2" applyFont="1" applyBorder="1" applyAlignment="1">
      <alignment horizontal="center" vertical="center" wrapText="1"/>
    </xf>
    <xf numFmtId="0" fontId="14" fillId="0" borderId="12" xfId="2" applyFont="1" applyFill="1" applyBorder="1" applyAlignment="1">
      <alignment horizontal="center" vertical="center" wrapText="1"/>
    </xf>
    <xf numFmtId="0" fontId="14" fillId="0" borderId="500" xfId="2" applyFont="1" applyFill="1" applyBorder="1" applyAlignment="1">
      <alignment horizontal="center" vertical="center" wrapText="1"/>
    </xf>
    <xf numFmtId="0" fontId="14" fillId="0" borderId="13" xfId="2" applyFont="1" applyBorder="1" applyAlignment="1">
      <alignment horizontal="center" vertical="center" wrapText="1"/>
    </xf>
    <xf numFmtId="0" fontId="14" fillId="0" borderId="499" xfId="2" applyFont="1" applyFill="1" applyBorder="1" applyAlignment="1">
      <alignment horizontal="center" vertical="center"/>
    </xf>
    <xf numFmtId="0" fontId="14" fillId="0" borderId="494" xfId="2" applyFont="1" applyFill="1" applyBorder="1" applyAlignment="1">
      <alignment horizontal="center" vertical="center"/>
    </xf>
    <xf numFmtId="0" fontId="14" fillId="0" borderId="496" xfId="2" applyFont="1" applyFill="1" applyBorder="1" applyAlignment="1">
      <alignment horizontal="center" vertical="center" wrapText="1"/>
    </xf>
    <xf numFmtId="0" fontId="14" fillId="0" borderId="11" xfId="2" applyFont="1" applyFill="1" applyBorder="1" applyAlignment="1">
      <alignment horizontal="center" vertical="center" wrapText="1"/>
    </xf>
    <xf numFmtId="0" fontId="14" fillId="0" borderId="498" xfId="2" applyFont="1" applyFill="1" applyBorder="1" applyAlignment="1">
      <alignment horizontal="center" vertical="center"/>
    </xf>
    <xf numFmtId="0" fontId="14" fillId="0" borderId="491" xfId="2" applyFont="1" applyFill="1" applyBorder="1" applyAlignment="1">
      <alignment horizontal="center" vertical="center"/>
    </xf>
    <xf numFmtId="0" fontId="11" fillId="0" borderId="482" xfId="2" applyBorder="1" applyAlignment="1">
      <alignment horizontal="center" wrapText="1"/>
    </xf>
    <xf numFmtId="0" fontId="11" fillId="0" borderId="480" xfId="2" applyBorder="1" applyAlignment="1">
      <alignment horizontal="center" wrapText="1"/>
    </xf>
    <xf numFmtId="0" fontId="11" fillId="0" borderId="478" xfId="2" applyBorder="1" applyAlignment="1">
      <alignment horizontal="center" wrapText="1"/>
    </xf>
    <xf numFmtId="0" fontId="11" fillId="0" borderId="479" xfId="2" applyBorder="1" applyAlignment="1">
      <alignment horizontal="center" wrapText="1"/>
    </xf>
    <xf numFmtId="0" fontId="11" fillId="0" borderId="478" xfId="2" applyBorder="1" applyAlignment="1">
      <alignment horizontal="center"/>
    </xf>
    <xf numFmtId="0" fontId="11" fillId="0" borderId="480" xfId="2" applyBorder="1" applyAlignment="1">
      <alignment horizontal="center"/>
    </xf>
    <xf numFmtId="0" fontId="11" fillId="0" borderId="479" xfId="2" applyBorder="1" applyAlignment="1">
      <alignment horizontal="center"/>
    </xf>
    <xf numFmtId="0" fontId="11" fillId="0" borderId="481" xfId="2" applyBorder="1" applyAlignment="1">
      <alignment horizontal="center"/>
    </xf>
    <xf numFmtId="0" fontId="11" fillId="0" borderId="482" xfId="2" applyBorder="1" applyAlignment="1">
      <alignment horizontal="center"/>
    </xf>
    <xf numFmtId="0" fontId="14" fillId="0" borderId="496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7" fillId="3" borderId="508" xfId="0" applyFont="1" applyFill="1" applyBorder="1" applyAlignment="1">
      <alignment horizontal="center" wrapText="1"/>
    </xf>
    <xf numFmtId="0" fontId="7" fillId="3" borderId="537" xfId="0" applyFont="1" applyFill="1" applyBorder="1" applyAlignment="1">
      <alignment horizontal="center" wrapText="1"/>
    </xf>
    <xf numFmtId="0" fontId="0" fillId="3" borderId="0" xfId="0" applyFill="1"/>
    <xf numFmtId="0" fontId="7" fillId="3" borderId="8" xfId="0" applyFont="1" applyFill="1" applyBorder="1" applyAlignment="1">
      <alignment horizontal="center" wrapText="1"/>
    </xf>
    <xf numFmtId="0" fontId="7" fillId="3" borderId="538" xfId="0" applyFont="1" applyFill="1" applyBorder="1" applyAlignment="1">
      <alignment horizontal="center" wrapText="1"/>
    </xf>
    <xf numFmtId="0" fontId="7" fillId="3" borderId="539" xfId="0" applyFont="1" applyFill="1" applyBorder="1" applyAlignment="1">
      <alignment horizontal="center" wrapText="1"/>
    </xf>
    <xf numFmtId="0" fontId="7" fillId="3" borderId="538" xfId="0" applyFont="1" applyFill="1" applyBorder="1" applyAlignment="1">
      <alignment horizontal="center" wrapText="1"/>
    </xf>
    <xf numFmtId="0" fontId="7" fillId="7" borderId="8" xfId="0" applyFont="1" applyFill="1" applyBorder="1" applyAlignment="1">
      <alignment horizontal="center" wrapText="1"/>
    </xf>
    <xf numFmtId="0" fontId="7" fillId="7" borderId="9" xfId="0" applyFont="1" applyFill="1" applyBorder="1" applyAlignment="1">
      <alignment horizontal="center" wrapText="1"/>
    </xf>
    <xf numFmtId="0" fontId="7" fillId="7" borderId="10" xfId="0" applyFont="1" applyFill="1" applyBorder="1" applyAlignment="1">
      <alignment horizontal="center" wrapText="1"/>
    </xf>
    <xf numFmtId="0" fontId="7" fillId="3" borderId="540" xfId="0" applyFont="1" applyFill="1" applyBorder="1" applyAlignment="1">
      <alignment horizontal="center" wrapText="1"/>
    </xf>
    <xf numFmtId="0" fontId="7" fillId="3" borderId="9" xfId="0" applyFont="1" applyFill="1" applyBorder="1" applyAlignment="1">
      <alignment horizontal="center" wrapText="1"/>
    </xf>
    <xf numFmtId="0" fontId="7" fillId="3" borderId="541" xfId="0" applyFont="1" applyFill="1" applyBorder="1" applyAlignment="1">
      <alignment horizontal="center" wrapText="1"/>
    </xf>
    <xf numFmtId="0" fontId="7" fillId="7" borderId="542" xfId="0" applyFont="1" applyFill="1" applyBorder="1" applyAlignment="1">
      <alignment horizontal="center" wrapText="1"/>
    </xf>
    <xf numFmtId="0" fontId="7" fillId="7" borderId="543" xfId="0" applyFont="1" applyFill="1" applyBorder="1" applyAlignment="1">
      <alignment horizontal="center" wrapText="1"/>
    </xf>
    <xf numFmtId="0" fontId="7" fillId="7" borderId="544" xfId="0" applyFont="1" applyFill="1" applyBorder="1" applyAlignment="1">
      <alignment horizontal="center" wrapText="1"/>
    </xf>
    <xf numFmtId="0" fontId="7" fillId="7" borderId="545" xfId="0" applyFont="1" applyFill="1" applyBorder="1" applyAlignment="1">
      <alignment horizontal="center" wrapText="1"/>
    </xf>
    <xf numFmtId="0" fontId="7" fillId="3" borderId="9" xfId="0" applyFont="1" applyFill="1" applyBorder="1" applyAlignment="1">
      <alignment horizontal="center" wrapText="1"/>
    </xf>
    <xf numFmtId="0" fontId="7" fillId="3" borderId="10" xfId="0" applyFont="1" applyFill="1" applyBorder="1" applyAlignment="1">
      <alignment horizontal="center" wrapText="1"/>
    </xf>
    <xf numFmtId="0" fontId="0" fillId="5" borderId="0" xfId="0" applyFill="1"/>
    <xf numFmtId="0" fontId="0" fillId="5" borderId="0" xfId="0" applyFill="1" applyAlignment="1">
      <alignment horizontal="center" wrapText="1"/>
    </xf>
    <xf numFmtId="0" fontId="0" fillId="3" borderId="0" xfId="0" applyFill="1" applyAlignment="1">
      <alignment horizontal="center" wrapText="1"/>
    </xf>
    <xf numFmtId="0" fontId="0" fillId="0" borderId="0" xfId="0" applyFill="1" applyAlignment="1">
      <alignment horizontal="right" shrinkToFit="1"/>
    </xf>
    <xf numFmtId="0" fontId="9" fillId="4" borderId="6" xfId="0" applyFont="1" applyFill="1" applyBorder="1" applyAlignment="1">
      <alignment horizontal="center" vertical="center" shrinkToFit="1"/>
    </xf>
    <xf numFmtId="0" fontId="18" fillId="4" borderId="507" xfId="0" applyFont="1" applyFill="1" applyBorder="1" applyAlignment="1">
      <alignment horizontal="center" vertical="center" shrinkToFit="1"/>
    </xf>
    <xf numFmtId="0" fontId="9" fillId="4" borderId="6" xfId="0" applyNumberFormat="1" applyFont="1" applyFill="1" applyBorder="1" applyAlignment="1">
      <alignment horizontal="center" vertical="center" shrinkToFit="1"/>
    </xf>
    <xf numFmtId="0" fontId="18" fillId="4" borderId="537" xfId="0" applyNumberFormat="1" applyFont="1" applyFill="1" applyBorder="1" applyAlignment="1">
      <alignment horizontal="center" vertical="center" shrinkToFit="1"/>
    </xf>
    <xf numFmtId="0" fontId="9" fillId="4" borderId="507" xfId="0" applyNumberFormat="1" applyFont="1" applyFill="1" applyBorder="1" applyAlignment="1">
      <alignment horizontal="center" vertical="center" shrinkToFit="1"/>
    </xf>
    <xf numFmtId="0" fontId="18" fillId="4" borderId="6" xfId="0" applyFont="1" applyFill="1" applyBorder="1" applyAlignment="1">
      <alignment horizontal="center" vertical="center" shrinkToFit="1"/>
    </xf>
    <xf numFmtId="13" fontId="9" fillId="4" borderId="5" xfId="0" applyNumberFormat="1" applyFont="1" applyFill="1" applyBorder="1" applyAlignment="1">
      <alignment horizontal="center" vertical="center" shrinkToFit="1"/>
    </xf>
    <xf numFmtId="0" fontId="9" fillId="4" borderId="5" xfId="0" applyFont="1" applyFill="1" applyBorder="1" applyAlignment="1">
      <alignment horizontal="center" vertical="center" shrinkToFit="1"/>
    </xf>
    <xf numFmtId="0" fontId="10" fillId="4" borderId="5" xfId="0" applyNumberFormat="1" applyFont="1" applyFill="1" applyBorder="1" applyAlignment="1">
      <alignment horizontal="center" vertical="center" shrinkToFit="1"/>
    </xf>
    <xf numFmtId="13" fontId="10" fillId="4" borderId="7" xfId="0" applyNumberFormat="1" applyFont="1" applyFill="1" applyBorder="1" applyAlignment="1">
      <alignment horizontal="center" vertical="center" shrinkToFit="1"/>
    </xf>
    <xf numFmtId="0" fontId="18" fillId="4" borderId="18" xfId="0" applyFont="1" applyFill="1" applyBorder="1" applyAlignment="1">
      <alignment horizontal="center" vertical="center" shrinkToFit="1"/>
    </xf>
    <xf numFmtId="0" fontId="18" fillId="4" borderId="5" xfId="0" applyFont="1" applyFill="1" applyBorder="1" applyAlignment="1">
      <alignment horizontal="center" vertical="center" shrinkToFit="1"/>
    </xf>
    <xf numFmtId="13" fontId="10" fillId="4" borderId="5" xfId="0" applyNumberFormat="1" applyFont="1" applyFill="1" applyBorder="1" applyAlignment="1">
      <alignment horizontal="center" vertical="center" shrinkToFit="1"/>
    </xf>
    <xf numFmtId="165" fontId="10" fillId="4" borderId="5" xfId="0" applyNumberFormat="1" applyFont="1" applyFill="1" applyBorder="1" applyAlignment="1">
      <alignment horizontal="center" vertical="center" shrinkToFit="1"/>
    </xf>
    <xf numFmtId="165" fontId="9" fillId="4" borderId="17" xfId="0" applyNumberFormat="1" applyFont="1" applyFill="1" applyBorder="1" applyAlignment="1">
      <alignment horizontal="center" vertical="center" shrinkToFit="1"/>
    </xf>
    <xf numFmtId="0" fontId="9" fillId="4" borderId="7" xfId="0" applyNumberFormat="1" applyFont="1" applyFill="1" applyBorder="1" applyAlignment="1">
      <alignment horizontal="center" vertical="center" shrinkToFit="1"/>
    </xf>
    <xf numFmtId="165" fontId="9" fillId="4" borderId="18" xfId="0" applyNumberFormat="1" applyFont="1" applyFill="1" applyBorder="1" applyAlignment="1">
      <alignment horizontal="center" vertical="center" shrinkToFit="1"/>
    </xf>
    <xf numFmtId="166" fontId="9" fillId="4" borderId="5" xfId="0" applyNumberFormat="1" applyFont="1" applyFill="1" applyBorder="1" applyAlignment="1">
      <alignment horizontal="center" vertical="center" shrinkToFit="1"/>
    </xf>
    <xf numFmtId="0" fontId="10" fillId="4" borderId="17" xfId="0" applyNumberFormat="1" applyFont="1" applyFill="1" applyBorder="1" applyAlignment="1">
      <alignment horizontal="center" vertical="center" shrinkToFit="1"/>
    </xf>
    <xf numFmtId="165" fontId="9" fillId="4" borderId="107" xfId="0" applyNumberFormat="1" applyFont="1" applyFill="1" applyBorder="1" applyAlignment="1">
      <alignment horizontal="center" vertical="center" shrinkToFit="1"/>
    </xf>
    <xf numFmtId="0" fontId="9" fillId="4" borderId="108" xfId="0" applyNumberFormat="1" applyFont="1" applyFill="1" applyBorder="1" applyAlignment="1">
      <alignment horizontal="center" vertical="center" shrinkToFit="1"/>
    </xf>
    <xf numFmtId="0" fontId="9" fillId="4" borderId="109" xfId="0" applyNumberFormat="1" applyFont="1" applyFill="1" applyBorder="1" applyAlignment="1">
      <alignment horizontal="center" vertical="center" shrinkToFit="1"/>
    </xf>
    <xf numFmtId="0" fontId="9" fillId="4" borderId="110" xfId="0" applyFont="1" applyFill="1" applyBorder="1" applyAlignment="1">
      <alignment horizontal="center" vertical="center" shrinkToFit="1"/>
    </xf>
    <xf numFmtId="0" fontId="9" fillId="4" borderId="111" xfId="0" applyNumberFormat="1" applyFont="1" applyFill="1" applyBorder="1" applyAlignment="1">
      <alignment horizontal="center" vertical="center" shrinkToFit="1"/>
    </xf>
    <xf numFmtId="167" fontId="10" fillId="4" borderId="112" xfId="0" applyNumberFormat="1" applyFont="1" applyFill="1" applyBorder="1" applyAlignment="1">
      <alignment horizontal="center" vertical="center" shrinkToFit="1"/>
    </xf>
    <xf numFmtId="0" fontId="10" fillId="4" borderId="113" xfId="0" applyNumberFormat="1" applyFont="1" applyFill="1" applyBorder="1" applyAlignment="1">
      <alignment horizontal="center" vertical="center" shrinkToFit="1"/>
    </xf>
    <xf numFmtId="0" fontId="10" fillId="4" borderId="114" xfId="0" applyFont="1" applyFill="1" applyBorder="1" applyAlignment="1">
      <alignment horizontal="center" vertical="center" shrinkToFit="1"/>
    </xf>
    <xf numFmtId="0" fontId="10" fillId="4" borderId="115" xfId="0" applyFont="1" applyFill="1" applyBorder="1" applyAlignment="1">
      <alignment horizontal="center" vertical="center" shrinkToFit="1"/>
    </xf>
    <xf numFmtId="0" fontId="10" fillId="4" borderId="116" xfId="0" applyFont="1" applyFill="1" applyBorder="1" applyAlignment="1">
      <alignment horizontal="center" vertical="center" shrinkToFit="1"/>
    </xf>
    <xf numFmtId="0" fontId="10" fillId="4" borderId="117" xfId="0" applyNumberFormat="1" applyFont="1" applyFill="1" applyBorder="1" applyAlignment="1">
      <alignment horizontal="center" vertical="center" shrinkToFit="1"/>
    </xf>
    <xf numFmtId="0" fontId="10" fillId="4" borderId="119" xfId="0" applyNumberFormat="1" applyFont="1" applyFill="1" applyBorder="1" applyAlignment="1">
      <alignment horizontal="center" vertical="center" shrinkToFit="1"/>
    </xf>
    <xf numFmtId="166" fontId="10" fillId="4" borderId="118" xfId="0" applyNumberFormat="1" applyFont="1" applyFill="1" applyBorder="1" applyAlignment="1">
      <alignment horizontal="center" vertical="center" shrinkToFit="1"/>
    </xf>
    <xf numFmtId="166" fontId="10" fillId="4" borderId="513" xfId="0" applyNumberFormat="1" applyFont="1" applyFill="1" applyBorder="1" applyAlignment="1">
      <alignment horizontal="center" vertical="center" shrinkToFit="1"/>
    </xf>
    <xf numFmtId="168" fontId="10" fillId="4" borderId="120" xfId="0" applyNumberFormat="1" applyFont="1" applyFill="1" applyBorder="1" applyAlignment="1">
      <alignment horizontal="center" vertical="center" shrinkToFit="1"/>
    </xf>
    <xf numFmtId="0" fontId="10" fillId="4" borderId="121" xfId="0" applyFont="1" applyFill="1" applyBorder="1" applyAlignment="1">
      <alignment horizontal="center" vertical="center" shrinkToFit="1"/>
    </xf>
    <xf numFmtId="1" fontId="10" fillId="4" borderId="5" xfId="0" applyNumberFormat="1" applyFont="1" applyFill="1" applyBorder="1" applyAlignment="1">
      <alignment horizontal="center" vertical="center" shrinkToFit="1"/>
    </xf>
    <xf numFmtId="165" fontId="10" fillId="4" borderId="122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center" shrinkToFit="1"/>
    </xf>
    <xf numFmtId="169" fontId="0" fillId="0" borderId="0" xfId="0" applyNumberFormat="1" applyAlignment="1">
      <alignment shrinkToFit="1"/>
    </xf>
    <xf numFmtId="0" fontId="0" fillId="0" borderId="0" xfId="0" applyNumberFormat="1" applyAlignment="1">
      <alignment shrinkToFit="1"/>
    </xf>
    <xf numFmtId="0" fontId="0" fillId="5" borderId="0" xfId="0" applyFill="1" applyAlignment="1">
      <alignment shrinkToFit="1"/>
    </xf>
    <xf numFmtId="0" fontId="0" fillId="0" borderId="0" xfId="0" applyAlignment="1">
      <alignment shrinkToFit="1"/>
    </xf>
    <xf numFmtId="171" fontId="0" fillId="5" borderId="0" xfId="0" applyNumberFormat="1" applyFill="1" applyAlignment="1">
      <alignment shrinkToFit="1"/>
    </xf>
    <xf numFmtId="0" fontId="0" fillId="3" borderId="0" xfId="0" applyFill="1" applyAlignment="1">
      <alignment shrinkToFit="1"/>
    </xf>
    <xf numFmtId="0" fontId="17" fillId="0" borderId="0" xfId="0" applyFont="1" applyFill="1" applyAlignment="1">
      <alignment horizontal="right" shrinkToFit="1"/>
    </xf>
    <xf numFmtId="0" fontId="18" fillId="2" borderId="6" xfId="0" applyFont="1" applyFill="1" applyBorder="1" applyAlignment="1">
      <alignment horizontal="center" vertical="center" shrinkToFit="1"/>
    </xf>
    <xf numFmtId="0" fontId="18" fillId="2" borderId="507" xfId="0" applyFont="1" applyFill="1" applyBorder="1" applyAlignment="1">
      <alignment horizontal="center" vertical="center" shrinkToFit="1"/>
    </xf>
    <xf numFmtId="0" fontId="18" fillId="2" borderId="6" xfId="0" applyNumberFormat="1" applyFont="1" applyFill="1" applyBorder="1" applyAlignment="1">
      <alignment horizontal="center" vertical="center" shrinkToFit="1"/>
    </xf>
    <xf numFmtId="0" fontId="18" fillId="2" borderId="537" xfId="0" applyNumberFormat="1" applyFont="1" applyFill="1" applyBorder="1" applyAlignment="1">
      <alignment horizontal="center" vertical="center" shrinkToFit="1"/>
    </xf>
    <xf numFmtId="0" fontId="18" fillId="2" borderId="507" xfId="0" applyNumberFormat="1" applyFont="1" applyFill="1" applyBorder="1" applyAlignment="1">
      <alignment horizontal="center" vertical="center" shrinkToFit="1"/>
    </xf>
    <xf numFmtId="13" fontId="18" fillId="2" borderId="5" xfId="0" applyNumberFormat="1" applyFont="1" applyFill="1" applyBorder="1" applyAlignment="1">
      <alignment horizontal="center" vertical="center" shrinkToFit="1"/>
    </xf>
    <xf numFmtId="0" fontId="18" fillId="2" borderId="5" xfId="0" applyFont="1" applyFill="1" applyBorder="1" applyAlignment="1">
      <alignment horizontal="center" vertical="center" shrinkToFit="1"/>
    </xf>
    <xf numFmtId="0" fontId="18" fillId="2" borderId="5" xfId="0" applyNumberFormat="1" applyFont="1" applyFill="1" applyBorder="1" applyAlignment="1">
      <alignment horizontal="center" vertical="center" shrinkToFit="1"/>
    </xf>
    <xf numFmtId="13" fontId="18" fillId="2" borderId="7" xfId="0" applyNumberFormat="1" applyFont="1" applyFill="1" applyBorder="1" applyAlignment="1">
      <alignment horizontal="center" vertical="center" shrinkToFit="1"/>
    </xf>
    <xf numFmtId="0" fontId="18" fillId="2" borderId="18" xfId="0" applyFont="1" applyFill="1" applyBorder="1" applyAlignment="1">
      <alignment horizontal="center" vertical="center" shrinkToFit="1"/>
    </xf>
    <xf numFmtId="165" fontId="18" fillId="2" borderId="5" xfId="0" applyNumberFormat="1" applyFont="1" applyFill="1" applyBorder="1" applyAlignment="1">
      <alignment horizontal="center" vertical="center" shrinkToFit="1"/>
    </xf>
    <xf numFmtId="165" fontId="18" fillId="2" borderId="17" xfId="0" applyNumberFormat="1" applyFont="1" applyFill="1" applyBorder="1" applyAlignment="1">
      <alignment horizontal="center" vertical="center" shrinkToFit="1"/>
    </xf>
    <xf numFmtId="0" fontId="18" fillId="2" borderId="7" xfId="0" applyNumberFormat="1" applyFont="1" applyFill="1" applyBorder="1" applyAlignment="1">
      <alignment horizontal="center" vertical="center" shrinkToFit="1"/>
    </xf>
    <xf numFmtId="165" fontId="18" fillId="2" borderId="18" xfId="0" applyNumberFormat="1" applyFont="1" applyFill="1" applyBorder="1" applyAlignment="1">
      <alignment horizontal="center" vertical="center" shrinkToFit="1"/>
    </xf>
    <xf numFmtId="166" fontId="18" fillId="2" borderId="5" xfId="0" applyNumberFormat="1" applyFont="1" applyFill="1" applyBorder="1" applyAlignment="1">
      <alignment horizontal="center" vertical="center" shrinkToFit="1"/>
    </xf>
    <xf numFmtId="0" fontId="18" fillId="2" borderId="17" xfId="0" applyNumberFormat="1" applyFont="1" applyFill="1" applyBorder="1" applyAlignment="1">
      <alignment horizontal="center" vertical="center" shrinkToFit="1"/>
    </xf>
    <xf numFmtId="165" fontId="18" fillId="2" borderId="91" xfId="0" applyNumberFormat="1" applyFont="1" applyFill="1" applyBorder="1" applyAlignment="1">
      <alignment horizontal="center" vertical="center" shrinkToFit="1"/>
    </xf>
    <xf numFmtId="0" fontId="18" fillId="2" borderId="92" xfId="0" applyNumberFormat="1" applyFont="1" applyFill="1" applyBorder="1" applyAlignment="1">
      <alignment horizontal="center" vertical="center" shrinkToFit="1"/>
    </xf>
    <xf numFmtId="0" fontId="18" fillId="2" borderId="93" xfId="0" applyNumberFormat="1" applyFont="1" applyFill="1" applyBorder="1" applyAlignment="1">
      <alignment horizontal="center" vertical="center" shrinkToFit="1"/>
    </xf>
    <xf numFmtId="0" fontId="18" fillId="2" borderId="94" xfId="0" applyFont="1" applyFill="1" applyBorder="1" applyAlignment="1">
      <alignment horizontal="center" vertical="center" shrinkToFit="1"/>
    </xf>
    <xf numFmtId="0" fontId="18" fillId="2" borderId="95" xfId="0" applyNumberFormat="1" applyFont="1" applyFill="1" applyBorder="1" applyAlignment="1">
      <alignment horizontal="center" vertical="center" shrinkToFit="1"/>
    </xf>
    <xf numFmtId="167" fontId="18" fillId="2" borderId="96" xfId="0" applyNumberFormat="1" applyFont="1" applyFill="1" applyBorder="1" applyAlignment="1">
      <alignment horizontal="center" vertical="center" shrinkToFit="1"/>
    </xf>
    <xf numFmtId="0" fontId="18" fillId="2" borderId="97" xfId="0" applyNumberFormat="1" applyFont="1" applyFill="1" applyBorder="1" applyAlignment="1">
      <alignment horizontal="center" vertical="center" shrinkToFit="1"/>
    </xf>
    <xf numFmtId="0" fontId="18" fillId="2" borderId="98" xfId="0" applyFont="1" applyFill="1" applyBorder="1" applyAlignment="1">
      <alignment horizontal="center" vertical="center" shrinkToFit="1"/>
    </xf>
    <xf numFmtId="0" fontId="18" fillId="2" borderId="99" xfId="0" applyFont="1" applyFill="1" applyBorder="1" applyAlignment="1">
      <alignment horizontal="center" vertical="center" shrinkToFit="1"/>
    </xf>
    <xf numFmtId="0" fontId="18" fillId="2" borderId="100" xfId="0" applyFont="1" applyFill="1" applyBorder="1" applyAlignment="1">
      <alignment horizontal="center" vertical="center" shrinkToFit="1"/>
    </xf>
    <xf numFmtId="0" fontId="18" fillId="2" borderId="101" xfId="0" applyNumberFormat="1" applyFont="1" applyFill="1" applyBorder="1" applyAlignment="1">
      <alignment horizontal="center" vertical="center" shrinkToFit="1"/>
    </xf>
    <xf numFmtId="0" fontId="18" fillId="2" borderId="103" xfId="0" applyNumberFormat="1" applyFont="1" applyFill="1" applyBorder="1" applyAlignment="1">
      <alignment horizontal="center" vertical="center" shrinkToFit="1"/>
    </xf>
    <xf numFmtId="166" fontId="18" fillId="2" borderId="102" xfId="0" applyNumberFormat="1" applyFont="1" applyFill="1" applyBorder="1" applyAlignment="1">
      <alignment horizontal="center" vertical="center" shrinkToFit="1"/>
    </xf>
    <xf numFmtId="166" fontId="18" fillId="2" borderId="512" xfId="0" applyNumberFormat="1" applyFont="1" applyFill="1" applyBorder="1" applyAlignment="1">
      <alignment horizontal="center" vertical="center" shrinkToFit="1"/>
    </xf>
    <xf numFmtId="168" fontId="18" fillId="2" borderId="104" xfId="0" applyNumberFormat="1" applyFont="1" applyFill="1" applyBorder="1" applyAlignment="1">
      <alignment horizontal="center" vertical="center" shrinkToFit="1"/>
    </xf>
    <xf numFmtId="0" fontId="18" fillId="2" borderId="105" xfId="0" applyFont="1" applyFill="1" applyBorder="1" applyAlignment="1">
      <alignment horizontal="center" vertical="center" shrinkToFit="1"/>
    </xf>
    <xf numFmtId="1" fontId="18" fillId="2" borderId="5" xfId="0" applyNumberFormat="1" applyFont="1" applyFill="1" applyBorder="1" applyAlignment="1">
      <alignment horizontal="center" vertical="center" shrinkToFit="1"/>
    </xf>
    <xf numFmtId="165" fontId="18" fillId="2" borderId="106" xfId="0" applyNumberFormat="1" applyFont="1" applyFill="1" applyBorder="1" applyAlignment="1">
      <alignment horizontal="center" vertical="center" shrinkToFit="1"/>
    </xf>
    <xf numFmtId="0" fontId="17" fillId="0" borderId="0" xfId="0" applyFont="1" applyAlignment="1">
      <alignment horizontal="center" shrinkToFit="1"/>
    </xf>
    <xf numFmtId="169" fontId="17" fillId="0" borderId="0" xfId="0" applyNumberFormat="1" applyFont="1" applyAlignment="1">
      <alignment shrinkToFit="1"/>
    </xf>
    <xf numFmtId="0" fontId="17" fillId="0" borderId="0" xfId="0" applyNumberFormat="1" applyFont="1" applyAlignment="1">
      <alignment shrinkToFit="1"/>
    </xf>
    <xf numFmtId="0" fontId="17" fillId="5" borderId="0" xfId="0" applyFont="1" applyFill="1" applyAlignment="1">
      <alignment shrinkToFit="1"/>
    </xf>
    <xf numFmtId="0" fontId="17" fillId="0" borderId="0" xfId="0" applyFont="1" applyAlignment="1">
      <alignment shrinkToFit="1"/>
    </xf>
    <xf numFmtId="171" fontId="17" fillId="5" borderId="0" xfId="0" applyNumberFormat="1" applyFont="1" applyFill="1" applyAlignment="1">
      <alignment shrinkToFit="1"/>
    </xf>
    <xf numFmtId="0" fontId="17" fillId="3" borderId="0" xfId="0" applyFont="1" applyFill="1" applyAlignment="1">
      <alignment shrinkToFit="1"/>
    </xf>
    <xf numFmtId="0" fontId="18" fillId="4" borderId="6" xfId="0" applyNumberFormat="1" applyFont="1" applyFill="1" applyBorder="1" applyAlignment="1">
      <alignment horizontal="center" vertical="center" shrinkToFit="1"/>
    </xf>
    <xf numFmtId="0" fontId="18" fillId="4" borderId="507" xfId="0" applyNumberFormat="1" applyFont="1" applyFill="1" applyBorder="1" applyAlignment="1">
      <alignment horizontal="center" vertical="center" shrinkToFit="1"/>
    </xf>
    <xf numFmtId="13" fontId="18" fillId="4" borderId="5" xfId="0" applyNumberFormat="1" applyFont="1" applyFill="1" applyBorder="1" applyAlignment="1">
      <alignment horizontal="center" vertical="center" shrinkToFit="1"/>
    </xf>
    <xf numFmtId="0" fontId="18" fillId="4" borderId="5" xfId="0" applyNumberFormat="1" applyFont="1" applyFill="1" applyBorder="1" applyAlignment="1">
      <alignment horizontal="center" vertical="center" shrinkToFit="1"/>
    </xf>
    <xf numFmtId="13" fontId="18" fillId="4" borderId="7" xfId="0" applyNumberFormat="1" applyFont="1" applyFill="1" applyBorder="1" applyAlignment="1">
      <alignment horizontal="center" vertical="center" shrinkToFit="1"/>
    </xf>
    <xf numFmtId="165" fontId="18" fillId="4" borderId="5" xfId="0" applyNumberFormat="1" applyFont="1" applyFill="1" applyBorder="1" applyAlignment="1">
      <alignment horizontal="center" vertical="center" shrinkToFit="1"/>
    </xf>
    <xf numFmtId="165" fontId="18" fillId="4" borderId="17" xfId="0" applyNumberFormat="1" applyFont="1" applyFill="1" applyBorder="1" applyAlignment="1">
      <alignment horizontal="center" vertical="center" shrinkToFit="1"/>
    </xf>
    <xf numFmtId="0" fontId="18" fillId="4" borderId="7" xfId="0" applyNumberFormat="1" applyFont="1" applyFill="1" applyBorder="1" applyAlignment="1">
      <alignment horizontal="center" vertical="center" shrinkToFit="1"/>
    </xf>
    <xf numFmtId="165" fontId="18" fillId="4" borderId="18" xfId="0" applyNumberFormat="1" applyFont="1" applyFill="1" applyBorder="1" applyAlignment="1">
      <alignment horizontal="center" vertical="center" shrinkToFit="1"/>
    </xf>
    <xf numFmtId="166" fontId="18" fillId="4" borderId="5" xfId="0" applyNumberFormat="1" applyFont="1" applyFill="1" applyBorder="1" applyAlignment="1">
      <alignment horizontal="center" vertical="center" shrinkToFit="1"/>
    </xf>
    <xf numFmtId="0" fontId="18" fillId="4" borderId="17" xfId="0" applyNumberFormat="1" applyFont="1" applyFill="1" applyBorder="1" applyAlignment="1">
      <alignment horizontal="center" vertical="center" shrinkToFit="1"/>
    </xf>
    <xf numFmtId="165" fontId="18" fillId="4" borderId="107" xfId="0" applyNumberFormat="1" applyFont="1" applyFill="1" applyBorder="1" applyAlignment="1">
      <alignment horizontal="center" vertical="center" shrinkToFit="1"/>
    </xf>
    <xf numFmtId="0" fontId="18" fillId="4" borderId="108" xfId="0" applyNumberFormat="1" applyFont="1" applyFill="1" applyBorder="1" applyAlignment="1">
      <alignment horizontal="center" vertical="center" shrinkToFit="1"/>
    </xf>
    <xf numFmtId="0" fontId="18" fillId="4" borderId="109" xfId="0" applyNumberFormat="1" applyFont="1" applyFill="1" applyBorder="1" applyAlignment="1">
      <alignment horizontal="center" vertical="center" shrinkToFit="1"/>
    </xf>
    <xf numFmtId="0" fontId="18" fillId="4" borderId="110" xfId="0" applyFont="1" applyFill="1" applyBorder="1" applyAlignment="1">
      <alignment horizontal="center" vertical="center" shrinkToFit="1"/>
    </xf>
    <xf numFmtId="0" fontId="18" fillId="4" borderId="111" xfId="0" applyNumberFormat="1" applyFont="1" applyFill="1" applyBorder="1" applyAlignment="1">
      <alignment horizontal="center" vertical="center" shrinkToFit="1"/>
    </xf>
    <xf numFmtId="167" fontId="18" fillId="4" borderId="112" xfId="0" applyNumberFormat="1" applyFont="1" applyFill="1" applyBorder="1" applyAlignment="1">
      <alignment horizontal="center" vertical="center" shrinkToFit="1"/>
    </xf>
    <xf numFmtId="0" fontId="18" fillId="4" borderId="113" xfId="0" applyNumberFormat="1" applyFont="1" applyFill="1" applyBorder="1" applyAlignment="1">
      <alignment horizontal="center" vertical="center" shrinkToFit="1"/>
    </xf>
    <xf numFmtId="0" fontId="18" fillId="4" borderId="114" xfId="0" applyFont="1" applyFill="1" applyBorder="1" applyAlignment="1">
      <alignment horizontal="center" vertical="center" shrinkToFit="1"/>
    </xf>
    <xf numFmtId="0" fontId="18" fillId="4" borderId="115" xfId="0" applyFont="1" applyFill="1" applyBorder="1" applyAlignment="1">
      <alignment horizontal="center" vertical="center" shrinkToFit="1"/>
    </xf>
    <xf numFmtId="0" fontId="18" fillId="4" borderId="116" xfId="0" applyFont="1" applyFill="1" applyBorder="1" applyAlignment="1">
      <alignment horizontal="center" vertical="center" shrinkToFit="1"/>
    </xf>
    <xf numFmtId="0" fontId="18" fillId="4" borderId="117" xfId="0" applyNumberFormat="1" applyFont="1" applyFill="1" applyBorder="1" applyAlignment="1">
      <alignment horizontal="center" vertical="center" shrinkToFit="1"/>
    </xf>
    <xf numFmtId="0" fontId="18" fillId="4" borderId="119" xfId="0" applyNumberFormat="1" applyFont="1" applyFill="1" applyBorder="1" applyAlignment="1">
      <alignment horizontal="center" vertical="center" shrinkToFit="1"/>
    </xf>
    <xf numFmtId="166" fontId="18" fillId="4" borderId="118" xfId="0" applyNumberFormat="1" applyFont="1" applyFill="1" applyBorder="1" applyAlignment="1">
      <alignment horizontal="center" vertical="center" shrinkToFit="1"/>
    </xf>
    <xf numFmtId="166" fontId="18" fillId="4" borderId="513" xfId="0" applyNumberFormat="1" applyFont="1" applyFill="1" applyBorder="1" applyAlignment="1">
      <alignment horizontal="center" vertical="center" shrinkToFit="1"/>
    </xf>
    <xf numFmtId="168" fontId="18" fillId="4" borderId="120" xfId="0" applyNumberFormat="1" applyFont="1" applyFill="1" applyBorder="1" applyAlignment="1">
      <alignment horizontal="center" vertical="center" shrinkToFit="1"/>
    </xf>
    <xf numFmtId="0" fontId="18" fillId="4" borderId="121" xfId="0" applyFont="1" applyFill="1" applyBorder="1" applyAlignment="1">
      <alignment horizontal="center" vertical="center" shrinkToFit="1"/>
    </xf>
    <xf numFmtId="1" fontId="18" fillId="4" borderId="5" xfId="0" applyNumberFormat="1" applyFont="1" applyFill="1" applyBorder="1" applyAlignment="1">
      <alignment horizontal="center" vertical="center" shrinkToFit="1"/>
    </xf>
    <xf numFmtId="165" fontId="18" fillId="4" borderId="122" xfId="0" applyNumberFormat="1" applyFont="1" applyFill="1" applyBorder="1" applyAlignment="1">
      <alignment horizontal="center" vertical="center" shrinkToFit="1"/>
    </xf>
    <xf numFmtId="13" fontId="9" fillId="2" borderId="5" xfId="0" applyNumberFormat="1" applyFont="1" applyFill="1" applyBorder="1" applyAlignment="1">
      <alignment horizontal="center" vertical="center" shrinkToFit="1"/>
    </xf>
    <xf numFmtId="0" fontId="9" fillId="2" borderId="5" xfId="0" applyFont="1" applyFill="1" applyBorder="1" applyAlignment="1">
      <alignment horizontal="center" vertical="center" shrinkToFit="1"/>
    </xf>
    <xf numFmtId="0" fontId="10" fillId="2" borderId="5" xfId="0" applyNumberFormat="1" applyFont="1" applyFill="1" applyBorder="1" applyAlignment="1">
      <alignment horizontal="center" vertical="center" shrinkToFit="1"/>
    </xf>
    <xf numFmtId="13" fontId="10" fillId="2" borderId="7" xfId="0" applyNumberFormat="1" applyFont="1" applyFill="1" applyBorder="1" applyAlignment="1">
      <alignment horizontal="center" vertical="center" shrinkToFit="1"/>
    </xf>
    <xf numFmtId="13" fontId="10" fillId="2" borderId="5" xfId="0" applyNumberFormat="1" applyFont="1" applyFill="1" applyBorder="1" applyAlignment="1">
      <alignment horizontal="center" vertical="center" shrinkToFit="1"/>
    </xf>
    <xf numFmtId="165" fontId="10" fillId="2" borderId="5" xfId="0" applyNumberFormat="1" applyFont="1" applyFill="1" applyBorder="1" applyAlignment="1">
      <alignment horizontal="center" vertical="center" shrinkToFit="1"/>
    </xf>
    <xf numFmtId="165" fontId="9" fillId="2" borderId="17" xfId="0" applyNumberFormat="1" applyFont="1" applyFill="1" applyBorder="1" applyAlignment="1">
      <alignment horizontal="center" vertical="center" shrinkToFit="1"/>
    </xf>
    <xf numFmtId="0" fontId="9" fillId="2" borderId="6" xfId="0" applyNumberFormat="1" applyFont="1" applyFill="1" applyBorder="1" applyAlignment="1">
      <alignment horizontal="center" vertical="center" shrinkToFit="1"/>
    </xf>
    <xf numFmtId="0" fontId="9" fillId="2" borderId="7" xfId="0" applyNumberFormat="1" applyFont="1" applyFill="1" applyBorder="1" applyAlignment="1">
      <alignment horizontal="center" vertical="center" shrinkToFit="1"/>
    </xf>
    <xf numFmtId="165" fontId="9" fillId="2" borderId="18" xfId="0" applyNumberFormat="1" applyFont="1" applyFill="1" applyBorder="1" applyAlignment="1">
      <alignment horizontal="center" vertical="center" shrinkToFit="1"/>
    </xf>
    <xf numFmtId="166" fontId="9" fillId="2" borderId="5" xfId="0" applyNumberFormat="1" applyFont="1" applyFill="1" applyBorder="1" applyAlignment="1">
      <alignment horizontal="center" vertical="center" shrinkToFit="1"/>
    </xf>
    <xf numFmtId="0" fontId="10" fillId="2" borderId="17" xfId="0" applyNumberFormat="1" applyFont="1" applyFill="1" applyBorder="1" applyAlignment="1">
      <alignment horizontal="center" vertical="center" shrinkToFit="1"/>
    </xf>
    <xf numFmtId="165" fontId="9" fillId="2" borderId="91" xfId="0" applyNumberFormat="1" applyFont="1" applyFill="1" applyBorder="1" applyAlignment="1">
      <alignment horizontal="center" vertical="center" shrinkToFit="1"/>
    </xf>
    <xf numFmtId="0" fontId="9" fillId="2" borderId="92" xfId="0" applyNumberFormat="1" applyFont="1" applyFill="1" applyBorder="1" applyAlignment="1">
      <alignment horizontal="center" vertical="center" shrinkToFit="1"/>
    </xf>
    <xf numFmtId="0" fontId="9" fillId="2" borderId="93" xfId="0" applyNumberFormat="1" applyFont="1" applyFill="1" applyBorder="1" applyAlignment="1">
      <alignment horizontal="center" vertical="center" shrinkToFit="1"/>
    </xf>
    <xf numFmtId="0" fontId="9" fillId="2" borderId="94" xfId="0" applyFont="1" applyFill="1" applyBorder="1" applyAlignment="1">
      <alignment horizontal="center" vertical="center" shrinkToFit="1"/>
    </xf>
    <xf numFmtId="0" fontId="9" fillId="2" borderId="95" xfId="0" applyNumberFormat="1" applyFont="1" applyFill="1" applyBorder="1" applyAlignment="1">
      <alignment horizontal="center" vertical="center" shrinkToFit="1"/>
    </xf>
    <xf numFmtId="167" fontId="10" fillId="2" borderId="96" xfId="0" applyNumberFormat="1" applyFont="1" applyFill="1" applyBorder="1" applyAlignment="1">
      <alignment horizontal="center" vertical="center" shrinkToFit="1"/>
    </xf>
    <xf numFmtId="0" fontId="10" fillId="2" borderId="97" xfId="0" applyNumberFormat="1" applyFont="1" applyFill="1" applyBorder="1" applyAlignment="1">
      <alignment horizontal="center" vertical="center" shrinkToFit="1"/>
    </xf>
    <xf numFmtId="0" fontId="10" fillId="2" borderId="98" xfId="0" applyFont="1" applyFill="1" applyBorder="1" applyAlignment="1">
      <alignment horizontal="center" vertical="center" shrinkToFit="1"/>
    </xf>
    <xf numFmtId="0" fontId="10" fillId="2" borderId="99" xfId="0" applyFont="1" applyFill="1" applyBorder="1" applyAlignment="1">
      <alignment horizontal="center" vertical="center" shrinkToFit="1"/>
    </xf>
    <xf numFmtId="0" fontId="10" fillId="2" borderId="100" xfId="0" applyFont="1" applyFill="1" applyBorder="1" applyAlignment="1">
      <alignment horizontal="center" vertical="center" shrinkToFit="1"/>
    </xf>
    <xf numFmtId="0" fontId="10" fillId="2" borderId="101" xfId="0" applyNumberFormat="1" applyFont="1" applyFill="1" applyBorder="1" applyAlignment="1">
      <alignment horizontal="center" vertical="center" shrinkToFit="1"/>
    </xf>
    <xf numFmtId="0" fontId="10" fillId="2" borderId="103" xfId="0" applyNumberFormat="1" applyFont="1" applyFill="1" applyBorder="1" applyAlignment="1">
      <alignment horizontal="center" vertical="center" shrinkToFit="1"/>
    </xf>
    <xf numFmtId="166" fontId="10" fillId="2" borderId="102" xfId="0" applyNumberFormat="1" applyFont="1" applyFill="1" applyBorder="1" applyAlignment="1">
      <alignment horizontal="center" vertical="center" shrinkToFit="1"/>
    </xf>
    <xf numFmtId="166" fontId="10" fillId="2" borderId="512" xfId="0" applyNumberFormat="1" applyFont="1" applyFill="1" applyBorder="1" applyAlignment="1">
      <alignment horizontal="center" vertical="center" shrinkToFit="1"/>
    </xf>
    <xf numFmtId="0" fontId="10" fillId="2" borderId="105" xfId="0" applyFont="1" applyFill="1" applyBorder="1" applyAlignment="1">
      <alignment horizontal="center" vertical="center" shrinkToFit="1"/>
    </xf>
    <xf numFmtId="1" fontId="10" fillId="2" borderId="5" xfId="0" applyNumberFormat="1" applyFont="1" applyFill="1" applyBorder="1" applyAlignment="1">
      <alignment horizontal="center" vertical="center" shrinkToFit="1"/>
    </xf>
    <xf numFmtId="165" fontId="10" fillId="2" borderId="106" xfId="0" applyNumberFormat="1" applyFont="1" applyFill="1" applyBorder="1" applyAlignment="1">
      <alignment horizontal="center" vertical="center" shrinkToFit="1"/>
    </xf>
    <xf numFmtId="0" fontId="9" fillId="2" borderId="6" xfId="0" applyFont="1" applyFill="1" applyBorder="1" applyAlignment="1">
      <alignment horizontal="center" vertical="center" shrinkToFit="1"/>
    </xf>
    <xf numFmtId="0" fontId="9" fillId="4" borderId="507" xfId="0" applyFont="1" applyFill="1" applyBorder="1" applyAlignment="1">
      <alignment horizontal="center" vertical="center" shrinkToFit="1"/>
    </xf>
    <xf numFmtId="0" fontId="9" fillId="2" borderId="507" xfId="0" applyFont="1" applyFill="1" applyBorder="1" applyAlignment="1">
      <alignment horizontal="center" vertical="center" shrinkToFit="1"/>
    </xf>
    <xf numFmtId="0" fontId="9" fillId="2" borderId="507" xfId="0" applyNumberFormat="1" applyFont="1" applyFill="1" applyBorder="1" applyAlignment="1">
      <alignment horizontal="center" vertical="center" shrinkToFit="1"/>
    </xf>
    <xf numFmtId="0" fontId="9" fillId="2" borderId="18" xfId="0" applyFont="1" applyFill="1" applyBorder="1" applyAlignment="1">
      <alignment horizontal="center" vertical="center" shrinkToFit="1"/>
    </xf>
    <xf numFmtId="168" fontId="10" fillId="2" borderId="104" xfId="0" applyNumberFormat="1" applyFont="1" applyFill="1" applyBorder="1" applyAlignment="1">
      <alignment horizontal="center" vertical="center" shrinkToFit="1"/>
    </xf>
    <xf numFmtId="0" fontId="0" fillId="0" borderId="0" xfId="0" applyFill="1" applyAlignment="1">
      <alignment shrinkToFit="1"/>
    </xf>
    <xf numFmtId="0" fontId="18" fillId="5" borderId="6" xfId="0" applyFont="1" applyFill="1" applyBorder="1" applyAlignment="1">
      <alignment horizontal="center" vertical="center" shrinkToFit="1"/>
    </xf>
    <xf numFmtId="0" fontId="18" fillId="5" borderId="507" xfId="0" applyFont="1" applyFill="1" applyBorder="1" applyAlignment="1">
      <alignment horizontal="center" vertical="center" shrinkToFit="1"/>
    </xf>
    <xf numFmtId="0" fontId="18" fillId="5" borderId="6" xfId="0" applyNumberFormat="1" applyFont="1" applyFill="1" applyBorder="1" applyAlignment="1">
      <alignment horizontal="center" vertical="center" shrinkToFit="1"/>
    </xf>
    <xf numFmtId="0" fontId="18" fillId="5" borderId="537" xfId="0" applyNumberFormat="1" applyFont="1" applyFill="1" applyBorder="1" applyAlignment="1">
      <alignment horizontal="center" vertical="center" shrinkToFit="1"/>
    </xf>
    <xf numFmtId="0" fontId="18" fillId="5" borderId="507" xfId="0" applyNumberFormat="1" applyFont="1" applyFill="1" applyBorder="1" applyAlignment="1">
      <alignment horizontal="center" vertical="center" shrinkToFit="1"/>
    </xf>
    <xf numFmtId="13" fontId="18" fillId="5" borderId="5" xfId="0" applyNumberFormat="1" applyFont="1" applyFill="1" applyBorder="1" applyAlignment="1">
      <alignment horizontal="center" vertical="center" shrinkToFit="1"/>
    </xf>
    <xf numFmtId="0" fontId="18" fillId="5" borderId="5" xfId="0" applyFont="1" applyFill="1" applyBorder="1" applyAlignment="1">
      <alignment horizontal="center" vertical="center" shrinkToFit="1"/>
    </xf>
    <xf numFmtId="0" fontId="18" fillId="5" borderId="5" xfId="0" applyNumberFormat="1" applyFont="1" applyFill="1" applyBorder="1" applyAlignment="1">
      <alignment horizontal="center" vertical="center" shrinkToFit="1"/>
    </xf>
    <xf numFmtId="13" fontId="18" fillId="5" borderId="7" xfId="0" applyNumberFormat="1" applyFont="1" applyFill="1" applyBorder="1" applyAlignment="1">
      <alignment horizontal="center" vertical="center" shrinkToFit="1"/>
    </xf>
    <xf numFmtId="0" fontId="18" fillId="5" borderId="18" xfId="0" applyFont="1" applyFill="1" applyBorder="1" applyAlignment="1">
      <alignment horizontal="center" vertical="center" shrinkToFit="1"/>
    </xf>
    <xf numFmtId="165" fontId="18" fillId="5" borderId="5" xfId="0" applyNumberFormat="1" applyFont="1" applyFill="1" applyBorder="1" applyAlignment="1">
      <alignment horizontal="center" vertical="center" shrinkToFit="1"/>
    </xf>
    <xf numFmtId="165" fontId="18" fillId="5" borderId="17" xfId="0" applyNumberFormat="1" applyFont="1" applyFill="1" applyBorder="1" applyAlignment="1">
      <alignment horizontal="center" vertical="center" shrinkToFit="1"/>
    </xf>
    <xf numFmtId="0" fontId="18" fillId="5" borderId="7" xfId="0" applyNumberFormat="1" applyFont="1" applyFill="1" applyBorder="1" applyAlignment="1">
      <alignment horizontal="center" vertical="center" shrinkToFit="1"/>
    </xf>
    <xf numFmtId="165" fontId="18" fillId="5" borderId="18" xfId="0" applyNumberFormat="1" applyFont="1" applyFill="1" applyBorder="1" applyAlignment="1">
      <alignment horizontal="center" vertical="center" shrinkToFit="1"/>
    </xf>
    <xf numFmtId="166" fontId="18" fillId="5" borderId="5" xfId="0" applyNumberFormat="1" applyFont="1" applyFill="1" applyBorder="1" applyAlignment="1">
      <alignment horizontal="center" vertical="center" shrinkToFit="1"/>
    </xf>
    <xf numFmtId="0" fontId="18" fillId="5" borderId="17" xfId="0" applyNumberFormat="1" applyFont="1" applyFill="1" applyBorder="1" applyAlignment="1">
      <alignment horizontal="center" vertical="center" shrinkToFit="1"/>
    </xf>
    <xf numFmtId="165" fontId="18" fillId="5" borderId="123" xfId="0" applyNumberFormat="1" applyFont="1" applyFill="1" applyBorder="1" applyAlignment="1">
      <alignment horizontal="center" vertical="center" shrinkToFit="1"/>
    </xf>
    <xf numFmtId="0" fontId="18" fillId="5" borderId="124" xfId="0" applyNumberFormat="1" applyFont="1" applyFill="1" applyBorder="1" applyAlignment="1">
      <alignment horizontal="center" vertical="center" shrinkToFit="1"/>
    </xf>
    <xf numFmtId="0" fontId="18" fillId="5" borderId="125" xfId="0" applyNumberFormat="1" applyFont="1" applyFill="1" applyBorder="1" applyAlignment="1">
      <alignment horizontal="center" vertical="center" shrinkToFit="1"/>
    </xf>
    <xf numFmtId="0" fontId="18" fillId="5" borderId="126" xfId="0" applyFont="1" applyFill="1" applyBorder="1" applyAlignment="1">
      <alignment horizontal="center" vertical="center" shrinkToFit="1"/>
    </xf>
    <xf numFmtId="0" fontId="18" fillId="5" borderId="127" xfId="0" applyNumberFormat="1" applyFont="1" applyFill="1" applyBorder="1" applyAlignment="1">
      <alignment horizontal="center" vertical="center" shrinkToFit="1"/>
    </xf>
    <xf numFmtId="167" fontId="18" fillId="5" borderId="128" xfId="0" applyNumberFormat="1" applyFont="1" applyFill="1" applyBorder="1" applyAlignment="1">
      <alignment horizontal="center" vertical="center" shrinkToFit="1"/>
    </xf>
    <xf numFmtId="0" fontId="18" fillId="5" borderId="129" xfId="0" applyNumberFormat="1" applyFont="1" applyFill="1" applyBorder="1" applyAlignment="1">
      <alignment horizontal="center" vertical="center" shrinkToFit="1"/>
    </xf>
    <xf numFmtId="0" fontId="18" fillId="5" borderId="130" xfId="0" applyFont="1" applyFill="1" applyBorder="1" applyAlignment="1">
      <alignment horizontal="center" vertical="center" shrinkToFit="1"/>
    </xf>
    <xf numFmtId="0" fontId="18" fillId="5" borderId="131" xfId="0" applyFont="1" applyFill="1" applyBorder="1" applyAlignment="1">
      <alignment horizontal="center" vertical="center" shrinkToFit="1"/>
    </xf>
    <xf numFmtId="0" fontId="18" fillId="5" borderId="132" xfId="0" applyFont="1" applyFill="1" applyBorder="1" applyAlignment="1">
      <alignment horizontal="center" vertical="center" shrinkToFit="1"/>
    </xf>
    <xf numFmtId="0" fontId="18" fillId="5" borderId="133" xfId="0" applyNumberFormat="1" applyFont="1" applyFill="1" applyBorder="1" applyAlignment="1">
      <alignment horizontal="center" vertical="center" shrinkToFit="1"/>
    </xf>
    <xf numFmtId="0" fontId="18" fillId="5" borderId="134" xfId="0" applyNumberFormat="1" applyFont="1" applyFill="1" applyBorder="1" applyAlignment="1">
      <alignment horizontal="center" vertical="center" shrinkToFit="1"/>
    </xf>
    <xf numFmtId="166" fontId="18" fillId="5" borderId="129" xfId="0" applyNumberFormat="1" applyFont="1" applyFill="1" applyBorder="1" applyAlignment="1">
      <alignment horizontal="center" vertical="center" shrinkToFit="1"/>
    </xf>
    <xf numFmtId="166" fontId="18" fillId="5" borderId="515" xfId="0" applyNumberFormat="1" applyFont="1" applyFill="1" applyBorder="1" applyAlignment="1">
      <alignment horizontal="center" vertical="center" shrinkToFit="1"/>
    </xf>
    <xf numFmtId="168" fontId="18" fillId="5" borderId="135" xfId="0" applyNumberFormat="1" applyFont="1" applyFill="1" applyBorder="1" applyAlignment="1">
      <alignment horizontal="center" vertical="center" shrinkToFit="1"/>
    </xf>
    <xf numFmtId="0" fontId="18" fillId="5" borderId="136" xfId="0" applyFont="1" applyFill="1" applyBorder="1" applyAlignment="1">
      <alignment horizontal="center" vertical="center" shrinkToFit="1"/>
    </xf>
    <xf numFmtId="1" fontId="18" fillId="5" borderId="5" xfId="0" applyNumberFormat="1" applyFont="1" applyFill="1" applyBorder="1" applyAlignment="1">
      <alignment horizontal="center" vertical="center" shrinkToFit="1"/>
    </xf>
    <xf numFmtId="165" fontId="18" fillId="5" borderId="137" xfId="0" applyNumberFormat="1" applyFont="1" applyFill="1" applyBorder="1" applyAlignment="1">
      <alignment horizontal="center" vertical="center" shrinkToFit="1"/>
    </xf>
    <xf numFmtId="0" fontId="17" fillId="0" borderId="0" xfId="0" applyFont="1" applyFill="1" applyAlignment="1">
      <alignment shrinkToFit="1"/>
    </xf>
    <xf numFmtId="0" fontId="9" fillId="6" borderId="6" xfId="0" applyFont="1" applyFill="1" applyBorder="1" applyAlignment="1">
      <alignment horizontal="center" vertical="center" shrinkToFit="1"/>
    </xf>
    <xf numFmtId="0" fontId="18" fillId="6" borderId="507" xfId="0" applyFont="1" applyFill="1" applyBorder="1" applyAlignment="1">
      <alignment horizontal="center" vertical="center" shrinkToFit="1"/>
    </xf>
    <xf numFmtId="0" fontId="18" fillId="6" borderId="6" xfId="0" applyNumberFormat="1" applyFont="1" applyFill="1" applyBorder="1" applyAlignment="1">
      <alignment horizontal="center" vertical="center" shrinkToFit="1"/>
    </xf>
    <xf numFmtId="0" fontId="18" fillId="6" borderId="537" xfId="0" applyNumberFormat="1" applyFont="1" applyFill="1" applyBorder="1" applyAlignment="1">
      <alignment horizontal="center" vertical="center" shrinkToFit="1"/>
    </xf>
    <xf numFmtId="0" fontId="9" fillId="6" borderId="507" xfId="0" applyNumberFormat="1" applyFont="1" applyFill="1" applyBorder="1" applyAlignment="1">
      <alignment horizontal="center" vertical="center" shrinkToFit="1"/>
    </xf>
    <xf numFmtId="0" fontId="18" fillId="6" borderId="6" xfId="0" applyFont="1" applyFill="1" applyBorder="1" applyAlignment="1">
      <alignment horizontal="center" vertical="center" shrinkToFit="1"/>
    </xf>
    <xf numFmtId="13" fontId="9" fillId="6" borderId="5" xfId="0" applyNumberFormat="1" applyFont="1" applyFill="1" applyBorder="1" applyAlignment="1">
      <alignment horizontal="center" vertical="center" shrinkToFit="1"/>
    </xf>
    <xf numFmtId="0" fontId="9" fillId="6" borderId="5" xfId="0" applyFont="1" applyFill="1" applyBorder="1" applyAlignment="1">
      <alignment horizontal="center" vertical="center" shrinkToFit="1"/>
    </xf>
    <xf numFmtId="0" fontId="10" fillId="6" borderId="5" xfId="0" applyNumberFormat="1" applyFont="1" applyFill="1" applyBorder="1" applyAlignment="1">
      <alignment horizontal="center" vertical="center" shrinkToFit="1"/>
    </xf>
    <xf numFmtId="13" fontId="10" fillId="6" borderId="7" xfId="0" applyNumberFormat="1" applyFont="1" applyFill="1" applyBorder="1" applyAlignment="1">
      <alignment horizontal="center" vertical="center" shrinkToFit="1"/>
    </xf>
    <xf numFmtId="0" fontId="18" fillId="6" borderId="18" xfId="0" applyFont="1" applyFill="1" applyBorder="1" applyAlignment="1">
      <alignment horizontal="center" vertical="center" shrinkToFit="1"/>
    </xf>
    <xf numFmtId="0" fontId="18" fillId="6" borderId="5" xfId="0" applyFont="1" applyFill="1" applyBorder="1" applyAlignment="1">
      <alignment horizontal="center" vertical="center" shrinkToFit="1"/>
    </xf>
    <xf numFmtId="13" fontId="10" fillId="6" borderId="5" xfId="0" applyNumberFormat="1" applyFont="1" applyFill="1" applyBorder="1" applyAlignment="1">
      <alignment horizontal="center" vertical="center" shrinkToFit="1"/>
    </xf>
    <xf numFmtId="165" fontId="10" fillId="6" borderId="5" xfId="0" applyNumberFormat="1" applyFont="1" applyFill="1" applyBorder="1" applyAlignment="1">
      <alignment horizontal="center" vertical="center" shrinkToFit="1"/>
    </xf>
    <xf numFmtId="165" fontId="9" fillId="6" borderId="17" xfId="0" applyNumberFormat="1" applyFont="1" applyFill="1" applyBorder="1" applyAlignment="1">
      <alignment horizontal="center" vertical="center" shrinkToFit="1"/>
    </xf>
    <xf numFmtId="0" fontId="9" fillId="6" borderId="6" xfId="0" applyNumberFormat="1" applyFont="1" applyFill="1" applyBorder="1" applyAlignment="1">
      <alignment horizontal="center" vertical="center" shrinkToFit="1"/>
    </xf>
    <xf numFmtId="0" fontId="9" fillId="6" borderId="7" xfId="0" applyNumberFormat="1" applyFont="1" applyFill="1" applyBorder="1" applyAlignment="1">
      <alignment horizontal="center" vertical="center" shrinkToFit="1"/>
    </xf>
    <xf numFmtId="165" fontId="9" fillId="6" borderId="18" xfId="0" applyNumberFormat="1" applyFont="1" applyFill="1" applyBorder="1" applyAlignment="1">
      <alignment horizontal="center" vertical="center" shrinkToFit="1"/>
    </xf>
    <xf numFmtId="166" fontId="9" fillId="6" borderId="5" xfId="0" applyNumberFormat="1" applyFont="1" applyFill="1" applyBorder="1" applyAlignment="1">
      <alignment horizontal="center" vertical="center" shrinkToFit="1"/>
    </xf>
    <xf numFmtId="0" fontId="18" fillId="6" borderId="17" xfId="0" applyNumberFormat="1" applyFont="1" applyFill="1" applyBorder="1" applyAlignment="1">
      <alignment horizontal="center" vertical="center" shrinkToFit="1"/>
    </xf>
    <xf numFmtId="165" fontId="9" fillId="6" borderId="75" xfId="0" applyNumberFormat="1" applyFont="1" applyFill="1" applyBorder="1" applyAlignment="1">
      <alignment horizontal="center" vertical="center" shrinkToFit="1"/>
    </xf>
    <xf numFmtId="0" fontId="9" fillId="6" borderId="200" xfId="0" applyNumberFormat="1" applyFont="1" applyFill="1" applyBorder="1" applyAlignment="1">
      <alignment horizontal="center" vertical="center" shrinkToFit="1"/>
    </xf>
    <xf numFmtId="0" fontId="9" fillId="6" borderId="201" xfId="0" applyNumberFormat="1" applyFont="1" applyFill="1" applyBorder="1" applyAlignment="1">
      <alignment horizontal="center" vertical="center" shrinkToFit="1"/>
    </xf>
    <xf numFmtId="0" fontId="9" fillId="6" borderId="202" xfId="0" applyFont="1" applyFill="1" applyBorder="1" applyAlignment="1">
      <alignment horizontal="center" vertical="center" shrinkToFit="1"/>
    </xf>
    <xf numFmtId="0" fontId="9" fillId="6" borderId="79" xfId="0" applyNumberFormat="1" applyFont="1" applyFill="1" applyBorder="1" applyAlignment="1">
      <alignment horizontal="center" vertical="center" shrinkToFit="1"/>
    </xf>
    <xf numFmtId="167" fontId="10" fillId="6" borderId="203" xfId="0" applyNumberFormat="1" applyFont="1" applyFill="1" applyBorder="1" applyAlignment="1">
      <alignment horizontal="center" vertical="center" shrinkToFit="1"/>
    </xf>
    <xf numFmtId="0" fontId="10" fillId="6" borderId="204" xfId="0" applyNumberFormat="1" applyFont="1" applyFill="1" applyBorder="1" applyAlignment="1">
      <alignment horizontal="center" vertical="center" shrinkToFit="1"/>
    </xf>
    <xf numFmtId="0" fontId="10" fillId="6" borderId="205" xfId="0" applyFont="1" applyFill="1" applyBorder="1" applyAlignment="1">
      <alignment horizontal="center" vertical="center" shrinkToFit="1"/>
    </xf>
    <xf numFmtId="0" fontId="10" fillId="6" borderId="206" xfId="0" applyFont="1" applyFill="1" applyBorder="1" applyAlignment="1">
      <alignment horizontal="center" vertical="center" shrinkToFit="1"/>
    </xf>
    <xf numFmtId="0" fontId="10" fillId="6" borderId="207" xfId="0" applyFont="1" applyFill="1" applyBorder="1" applyAlignment="1">
      <alignment horizontal="center" vertical="center" shrinkToFit="1"/>
    </xf>
    <xf numFmtId="0" fontId="10" fillId="6" borderId="208" xfId="0" applyNumberFormat="1" applyFont="1" applyFill="1" applyBorder="1" applyAlignment="1">
      <alignment horizontal="center" vertical="center" shrinkToFit="1"/>
    </xf>
    <xf numFmtId="0" fontId="10" fillId="6" borderId="87" xfId="0" applyNumberFormat="1" applyFont="1" applyFill="1" applyBorder="1" applyAlignment="1">
      <alignment horizontal="center" vertical="center" shrinkToFit="1"/>
    </xf>
    <xf numFmtId="166" fontId="10" fillId="6" borderId="81" xfId="0" applyNumberFormat="1" applyFont="1" applyFill="1" applyBorder="1" applyAlignment="1">
      <alignment horizontal="center" vertical="center" shrinkToFit="1"/>
    </xf>
    <xf numFmtId="166" fontId="10" fillId="6" borderId="511" xfId="0" applyNumberFormat="1" applyFont="1" applyFill="1" applyBorder="1" applyAlignment="1">
      <alignment horizontal="center" vertical="center" shrinkToFit="1"/>
    </xf>
    <xf numFmtId="168" fontId="18" fillId="6" borderId="88" xfId="0" applyNumberFormat="1" applyFont="1" applyFill="1" applyBorder="1" applyAlignment="1">
      <alignment horizontal="center" vertical="center" shrinkToFit="1"/>
    </xf>
    <xf numFmtId="0" fontId="10" fillId="6" borderId="89" xfId="0" applyFont="1" applyFill="1" applyBorder="1" applyAlignment="1">
      <alignment horizontal="center" vertical="center" shrinkToFit="1"/>
    </xf>
    <xf numFmtId="1" fontId="10" fillId="6" borderId="5" xfId="0" applyNumberFormat="1" applyFont="1" applyFill="1" applyBorder="1" applyAlignment="1">
      <alignment horizontal="center" vertical="center" shrinkToFit="1"/>
    </xf>
    <xf numFmtId="165" fontId="10" fillId="6" borderId="90" xfId="0" applyNumberFormat="1" applyFont="1" applyFill="1" applyBorder="1" applyAlignment="1">
      <alignment horizontal="center" vertical="center" shrinkToFit="1"/>
    </xf>
    <xf numFmtId="0" fontId="18" fillId="6" borderId="507" xfId="0" applyNumberFormat="1" applyFont="1" applyFill="1" applyBorder="1" applyAlignment="1">
      <alignment horizontal="center" vertical="center" shrinkToFit="1"/>
    </xf>
    <xf numFmtId="13" fontId="18" fillId="6" borderId="5" xfId="0" applyNumberFormat="1" applyFont="1" applyFill="1" applyBorder="1" applyAlignment="1">
      <alignment horizontal="center" vertical="center" shrinkToFit="1"/>
    </xf>
    <xf numFmtId="0" fontId="9" fillId="6" borderId="18" xfId="0" applyFont="1" applyFill="1" applyBorder="1" applyAlignment="1">
      <alignment horizontal="center" vertical="center" shrinkToFit="1"/>
    </xf>
    <xf numFmtId="0" fontId="18" fillId="6" borderId="5" xfId="0" applyNumberFormat="1" applyFont="1" applyFill="1" applyBorder="1" applyAlignment="1">
      <alignment horizontal="center" vertical="center" shrinkToFit="1"/>
    </xf>
    <xf numFmtId="0" fontId="18" fillId="6" borderId="7" xfId="0" applyNumberFormat="1" applyFont="1" applyFill="1" applyBorder="1" applyAlignment="1">
      <alignment horizontal="center" vertical="center" shrinkToFit="1"/>
    </xf>
    <xf numFmtId="166" fontId="18" fillId="6" borderId="5" xfId="0" applyNumberFormat="1" applyFont="1" applyFill="1" applyBorder="1" applyAlignment="1">
      <alignment horizontal="center" vertical="center" shrinkToFit="1"/>
    </xf>
    <xf numFmtId="165" fontId="18" fillId="6" borderId="138" xfId="0" applyNumberFormat="1" applyFont="1" applyFill="1" applyBorder="1" applyAlignment="1">
      <alignment horizontal="center" vertical="center" shrinkToFit="1"/>
    </xf>
    <xf numFmtId="0" fontId="18" fillId="6" borderId="139" xfId="0" applyNumberFormat="1" applyFont="1" applyFill="1" applyBorder="1" applyAlignment="1">
      <alignment horizontal="center" vertical="center" shrinkToFit="1"/>
    </xf>
    <xf numFmtId="0" fontId="18" fillId="6" borderId="140" xfId="0" applyNumberFormat="1" applyFont="1" applyFill="1" applyBorder="1" applyAlignment="1">
      <alignment horizontal="center" vertical="center" shrinkToFit="1"/>
    </xf>
    <xf numFmtId="0" fontId="9" fillId="6" borderId="141" xfId="0" applyFont="1" applyFill="1" applyBorder="1" applyAlignment="1">
      <alignment horizontal="center" vertical="center" shrinkToFit="1"/>
    </xf>
    <xf numFmtId="0" fontId="18" fillId="6" borderId="142" xfId="0" applyNumberFormat="1" applyFont="1" applyFill="1" applyBorder="1" applyAlignment="1">
      <alignment horizontal="center" vertical="center" shrinkToFit="1"/>
    </xf>
    <xf numFmtId="167" fontId="18" fillId="6" borderId="143" xfId="0" applyNumberFormat="1" applyFont="1" applyFill="1" applyBorder="1" applyAlignment="1">
      <alignment horizontal="center" vertical="center" shrinkToFit="1"/>
    </xf>
    <xf numFmtId="0" fontId="18" fillId="6" borderId="144" xfId="0" applyNumberFormat="1" applyFont="1" applyFill="1" applyBorder="1" applyAlignment="1">
      <alignment horizontal="center" vertical="center" shrinkToFit="1"/>
    </xf>
    <xf numFmtId="0" fontId="10" fillId="6" borderId="145" xfId="0" applyFont="1" applyFill="1" applyBorder="1" applyAlignment="1">
      <alignment horizontal="center" vertical="center" shrinkToFit="1"/>
    </xf>
    <xf numFmtId="0" fontId="10" fillId="6" borderId="146" xfId="0" applyFont="1" applyFill="1" applyBorder="1" applyAlignment="1">
      <alignment horizontal="center" vertical="center" shrinkToFit="1"/>
    </xf>
    <xf numFmtId="0" fontId="10" fillId="6" borderId="147" xfId="0" applyFont="1" applyFill="1" applyBorder="1" applyAlignment="1">
      <alignment horizontal="center" vertical="center" shrinkToFit="1"/>
    </xf>
    <xf numFmtId="0" fontId="10" fillId="6" borderId="148" xfId="0" applyNumberFormat="1" applyFont="1" applyFill="1" applyBorder="1" applyAlignment="1">
      <alignment horizontal="center" vertical="center" shrinkToFit="1"/>
    </xf>
    <xf numFmtId="0" fontId="18" fillId="6" borderId="149" xfId="0" applyNumberFormat="1" applyFont="1" applyFill="1" applyBorder="1" applyAlignment="1">
      <alignment horizontal="center" vertical="center" shrinkToFit="1"/>
    </xf>
    <xf numFmtId="166" fontId="18" fillId="6" borderId="144" xfId="0" applyNumberFormat="1" applyFont="1" applyFill="1" applyBorder="1" applyAlignment="1">
      <alignment horizontal="center" vertical="center" shrinkToFit="1"/>
    </xf>
    <xf numFmtId="166" fontId="10" fillId="6" borderId="514" xfId="0" applyNumberFormat="1" applyFont="1" applyFill="1" applyBorder="1" applyAlignment="1">
      <alignment horizontal="center" vertical="center" shrinkToFit="1"/>
    </xf>
    <xf numFmtId="168" fontId="18" fillId="6" borderId="150" xfId="0" applyNumberFormat="1" applyFont="1" applyFill="1" applyBorder="1" applyAlignment="1">
      <alignment horizontal="center" vertical="center" shrinkToFit="1"/>
    </xf>
    <xf numFmtId="0" fontId="18" fillId="6" borderId="151" xfId="0" applyFont="1" applyFill="1" applyBorder="1" applyAlignment="1">
      <alignment horizontal="center" vertical="center" shrinkToFit="1"/>
    </xf>
    <xf numFmtId="1" fontId="18" fillId="6" borderId="5" xfId="0" applyNumberFormat="1" applyFont="1" applyFill="1" applyBorder="1" applyAlignment="1">
      <alignment horizontal="center" vertical="center" shrinkToFit="1"/>
    </xf>
    <xf numFmtId="165" fontId="18" fillId="6" borderId="152" xfId="0" applyNumberFormat="1" applyFont="1" applyFill="1" applyBorder="1" applyAlignment="1">
      <alignment horizontal="center" vertical="center" shrinkToFit="1"/>
    </xf>
    <xf numFmtId="0" fontId="9" fillId="5" borderId="507" xfId="0" applyFont="1" applyFill="1" applyBorder="1" applyAlignment="1">
      <alignment horizontal="center" vertical="center" shrinkToFit="1"/>
    </xf>
    <xf numFmtId="0" fontId="9" fillId="5" borderId="6" xfId="0" applyNumberFormat="1" applyFont="1" applyFill="1" applyBorder="1" applyAlignment="1">
      <alignment horizontal="center" vertical="center" shrinkToFit="1"/>
    </xf>
    <xf numFmtId="0" fontId="9" fillId="5" borderId="507" xfId="0" applyNumberFormat="1" applyFont="1" applyFill="1" applyBorder="1" applyAlignment="1">
      <alignment horizontal="center" vertical="center" shrinkToFit="1"/>
    </xf>
    <xf numFmtId="0" fontId="9" fillId="5" borderId="6" xfId="0" applyFont="1" applyFill="1" applyBorder="1" applyAlignment="1">
      <alignment horizontal="center" vertical="center" shrinkToFit="1"/>
    </xf>
    <xf numFmtId="13" fontId="9" fillId="5" borderId="5" xfId="0" applyNumberFormat="1" applyFont="1" applyFill="1" applyBorder="1" applyAlignment="1">
      <alignment horizontal="center" vertical="center" shrinkToFit="1"/>
    </xf>
    <xf numFmtId="0" fontId="9" fillId="5" borderId="5" xfId="0" applyFont="1" applyFill="1" applyBorder="1" applyAlignment="1">
      <alignment horizontal="center" vertical="center" shrinkToFit="1"/>
    </xf>
    <xf numFmtId="0" fontId="10" fillId="5" borderId="5" xfId="0" applyNumberFormat="1" applyFont="1" applyFill="1" applyBorder="1" applyAlignment="1">
      <alignment horizontal="center" vertical="center" shrinkToFit="1"/>
    </xf>
    <xf numFmtId="13" fontId="10" fillId="5" borderId="7" xfId="0" applyNumberFormat="1" applyFont="1" applyFill="1" applyBorder="1" applyAlignment="1">
      <alignment horizontal="center" vertical="center" shrinkToFit="1"/>
    </xf>
    <xf numFmtId="0" fontId="9" fillId="5" borderId="18" xfId="0" applyFont="1" applyFill="1" applyBorder="1" applyAlignment="1">
      <alignment horizontal="center" vertical="center" shrinkToFit="1"/>
    </xf>
    <xf numFmtId="13" fontId="10" fillId="5" borderId="5" xfId="0" applyNumberFormat="1" applyFont="1" applyFill="1" applyBorder="1" applyAlignment="1">
      <alignment horizontal="center" vertical="center" shrinkToFit="1"/>
    </xf>
    <xf numFmtId="165" fontId="10" fillId="5" borderId="5" xfId="0" applyNumberFormat="1" applyFont="1" applyFill="1" applyBorder="1" applyAlignment="1">
      <alignment horizontal="center" vertical="center" shrinkToFit="1"/>
    </xf>
    <xf numFmtId="165" fontId="9" fillId="5" borderId="17" xfId="0" applyNumberFormat="1" applyFont="1" applyFill="1" applyBorder="1" applyAlignment="1">
      <alignment horizontal="center" vertical="center" shrinkToFit="1"/>
    </xf>
    <xf numFmtId="0" fontId="9" fillId="5" borderId="7" xfId="0" applyNumberFormat="1" applyFont="1" applyFill="1" applyBorder="1" applyAlignment="1">
      <alignment horizontal="center" vertical="center" shrinkToFit="1"/>
    </xf>
    <xf numFmtId="165" fontId="9" fillId="5" borderId="18" xfId="0" applyNumberFormat="1" applyFont="1" applyFill="1" applyBorder="1" applyAlignment="1">
      <alignment horizontal="center" vertical="center" shrinkToFit="1"/>
    </xf>
    <xf numFmtId="166" fontId="9" fillId="5" borderId="5" xfId="0" applyNumberFormat="1" applyFont="1" applyFill="1" applyBorder="1" applyAlignment="1">
      <alignment horizontal="center" vertical="center" shrinkToFit="1"/>
    </xf>
    <xf numFmtId="165" fontId="9" fillId="5" borderId="153" xfId="0" applyNumberFormat="1" applyFont="1" applyFill="1" applyBorder="1" applyAlignment="1">
      <alignment horizontal="center" vertical="center" shrinkToFit="1"/>
    </xf>
    <xf numFmtId="0" fontId="9" fillId="5" borderId="154" xfId="0" applyNumberFormat="1" applyFont="1" applyFill="1" applyBorder="1" applyAlignment="1">
      <alignment horizontal="center" vertical="center" shrinkToFit="1"/>
    </xf>
    <xf numFmtId="0" fontId="9" fillId="5" borderId="155" xfId="0" applyNumberFormat="1" applyFont="1" applyFill="1" applyBorder="1" applyAlignment="1">
      <alignment horizontal="center" vertical="center" shrinkToFit="1"/>
    </xf>
    <xf numFmtId="0" fontId="9" fillId="5" borderId="156" xfId="0" applyFont="1" applyFill="1" applyBorder="1" applyAlignment="1">
      <alignment horizontal="center" vertical="center" shrinkToFit="1"/>
    </xf>
    <xf numFmtId="0" fontId="9" fillId="5" borderId="157" xfId="0" applyNumberFormat="1" applyFont="1" applyFill="1" applyBorder="1" applyAlignment="1">
      <alignment horizontal="center" vertical="center" shrinkToFit="1"/>
    </xf>
    <xf numFmtId="167" fontId="10" fillId="5" borderId="158" xfId="0" applyNumberFormat="1" applyFont="1" applyFill="1" applyBorder="1" applyAlignment="1">
      <alignment horizontal="center" vertical="center" shrinkToFit="1"/>
    </xf>
    <xf numFmtId="0" fontId="10" fillId="5" borderId="159" xfId="0" applyNumberFormat="1" applyFont="1" applyFill="1" applyBorder="1" applyAlignment="1">
      <alignment horizontal="center" vertical="center" shrinkToFit="1"/>
    </xf>
    <xf numFmtId="0" fontId="10" fillId="5" borderId="160" xfId="0" applyFont="1" applyFill="1" applyBorder="1" applyAlignment="1">
      <alignment horizontal="center" vertical="center" shrinkToFit="1"/>
    </xf>
    <xf numFmtId="0" fontId="10" fillId="5" borderId="161" xfId="0" applyFont="1" applyFill="1" applyBorder="1" applyAlignment="1">
      <alignment horizontal="center" vertical="center" shrinkToFit="1"/>
    </xf>
    <xf numFmtId="0" fontId="10" fillId="5" borderId="162" xfId="0" applyFont="1" applyFill="1" applyBorder="1" applyAlignment="1">
      <alignment horizontal="center" vertical="center" shrinkToFit="1"/>
    </xf>
    <xf numFmtId="0" fontId="10" fillId="5" borderId="163" xfId="0" applyNumberFormat="1" applyFont="1" applyFill="1" applyBorder="1" applyAlignment="1">
      <alignment horizontal="center" vertical="center" shrinkToFit="1"/>
    </xf>
    <xf numFmtId="0" fontId="10" fillId="5" borderId="164" xfId="0" applyNumberFormat="1" applyFont="1" applyFill="1" applyBorder="1" applyAlignment="1">
      <alignment horizontal="center" vertical="center" shrinkToFit="1"/>
    </xf>
    <xf numFmtId="166" fontId="10" fillId="5" borderId="159" xfId="0" applyNumberFormat="1" applyFont="1" applyFill="1" applyBorder="1" applyAlignment="1">
      <alignment horizontal="center" vertical="center" shrinkToFit="1"/>
    </xf>
    <xf numFmtId="166" fontId="10" fillId="5" borderId="516" xfId="0" applyNumberFormat="1" applyFont="1" applyFill="1" applyBorder="1" applyAlignment="1">
      <alignment horizontal="center" vertical="center" shrinkToFit="1"/>
    </xf>
    <xf numFmtId="168" fontId="10" fillId="5" borderId="165" xfId="0" applyNumberFormat="1" applyFont="1" applyFill="1" applyBorder="1" applyAlignment="1">
      <alignment horizontal="center" vertical="center" shrinkToFit="1"/>
    </xf>
    <xf numFmtId="0" fontId="10" fillId="5" borderId="166" xfId="0" applyFont="1" applyFill="1" applyBorder="1" applyAlignment="1">
      <alignment horizontal="center" vertical="center" shrinkToFit="1"/>
    </xf>
    <xf numFmtId="1" fontId="10" fillId="5" borderId="5" xfId="0" applyNumberFormat="1" applyFont="1" applyFill="1" applyBorder="1" applyAlignment="1">
      <alignment horizontal="center" vertical="center" shrinkToFit="1"/>
    </xf>
    <xf numFmtId="165" fontId="10" fillId="5" borderId="167" xfId="0" applyNumberFormat="1" applyFont="1" applyFill="1" applyBorder="1" applyAlignment="1">
      <alignment horizontal="center" vertical="center" shrinkToFit="1"/>
    </xf>
    <xf numFmtId="13" fontId="18" fillId="6" borderId="7" xfId="0" applyNumberFormat="1" applyFont="1" applyFill="1" applyBorder="1" applyAlignment="1">
      <alignment horizontal="center" vertical="center" shrinkToFit="1"/>
    </xf>
    <xf numFmtId="165" fontId="18" fillId="6" borderId="5" xfId="0" applyNumberFormat="1" applyFont="1" applyFill="1" applyBorder="1" applyAlignment="1">
      <alignment horizontal="center" vertical="center" shrinkToFit="1"/>
    </xf>
    <xf numFmtId="165" fontId="18" fillId="6" borderId="17" xfId="0" applyNumberFormat="1" applyFont="1" applyFill="1" applyBorder="1" applyAlignment="1">
      <alignment horizontal="center" vertical="center" shrinkToFit="1"/>
    </xf>
    <xf numFmtId="165" fontId="18" fillId="6" borderId="18" xfId="0" applyNumberFormat="1" applyFont="1" applyFill="1" applyBorder="1" applyAlignment="1">
      <alignment horizontal="center" vertical="center" shrinkToFit="1"/>
    </xf>
    <xf numFmtId="165" fontId="18" fillId="6" borderId="168" xfId="0" applyNumberFormat="1" applyFont="1" applyFill="1" applyBorder="1" applyAlignment="1">
      <alignment horizontal="center" vertical="center" shrinkToFit="1"/>
    </xf>
    <xf numFmtId="0" fontId="18" fillId="6" borderId="169" xfId="0" applyNumberFormat="1" applyFont="1" applyFill="1" applyBorder="1" applyAlignment="1">
      <alignment horizontal="center" vertical="center" shrinkToFit="1"/>
    </xf>
    <xf numFmtId="0" fontId="18" fillId="6" borderId="170" xfId="0" applyNumberFormat="1" applyFont="1" applyFill="1" applyBorder="1" applyAlignment="1">
      <alignment horizontal="center" vertical="center" shrinkToFit="1"/>
    </xf>
    <xf numFmtId="0" fontId="18" fillId="6" borderId="171" xfId="0" applyFont="1" applyFill="1" applyBorder="1" applyAlignment="1">
      <alignment horizontal="center" vertical="center" shrinkToFit="1"/>
    </xf>
    <xf numFmtId="0" fontId="18" fillId="6" borderId="172" xfId="0" applyNumberFormat="1" applyFont="1" applyFill="1" applyBorder="1" applyAlignment="1">
      <alignment horizontal="center" vertical="center" shrinkToFit="1"/>
    </xf>
    <xf numFmtId="167" fontId="18" fillId="6" borderId="173" xfId="0" applyNumberFormat="1" applyFont="1" applyFill="1" applyBorder="1" applyAlignment="1">
      <alignment horizontal="center" vertical="center" shrinkToFit="1"/>
    </xf>
    <xf numFmtId="0" fontId="18" fillId="6" borderId="174" xfId="0" applyNumberFormat="1" applyFont="1" applyFill="1" applyBorder="1" applyAlignment="1">
      <alignment horizontal="center" vertical="center" shrinkToFit="1"/>
    </xf>
    <xf numFmtId="0" fontId="18" fillId="6" borderId="175" xfId="0" applyFont="1" applyFill="1" applyBorder="1" applyAlignment="1">
      <alignment horizontal="center" vertical="center" shrinkToFit="1"/>
    </xf>
    <xf numFmtId="0" fontId="18" fillId="6" borderId="176" xfId="0" applyFont="1" applyFill="1" applyBorder="1" applyAlignment="1">
      <alignment horizontal="center" vertical="center" shrinkToFit="1"/>
    </xf>
    <xf numFmtId="0" fontId="18" fillId="6" borderId="177" xfId="0" applyFont="1" applyFill="1" applyBorder="1" applyAlignment="1">
      <alignment horizontal="center" vertical="center" shrinkToFit="1"/>
    </xf>
    <xf numFmtId="0" fontId="18" fillId="6" borderId="178" xfId="0" applyNumberFormat="1" applyFont="1" applyFill="1" applyBorder="1" applyAlignment="1">
      <alignment horizontal="center" vertical="center" shrinkToFit="1"/>
    </xf>
    <xf numFmtId="0" fontId="18" fillId="6" borderId="180" xfId="0" applyNumberFormat="1" applyFont="1" applyFill="1" applyBorder="1" applyAlignment="1">
      <alignment horizontal="center" vertical="center" shrinkToFit="1"/>
    </xf>
    <xf numFmtId="166" fontId="18" fillId="6" borderId="179" xfId="0" applyNumberFormat="1" applyFont="1" applyFill="1" applyBorder="1" applyAlignment="1">
      <alignment horizontal="center" vertical="center" shrinkToFit="1"/>
    </xf>
    <xf numFmtId="166" fontId="18" fillId="6" borderId="517" xfId="0" applyNumberFormat="1" applyFont="1" applyFill="1" applyBorder="1" applyAlignment="1">
      <alignment horizontal="center" vertical="center" shrinkToFit="1"/>
    </xf>
    <xf numFmtId="168" fontId="18" fillId="6" borderId="181" xfId="0" applyNumberFormat="1" applyFont="1" applyFill="1" applyBorder="1" applyAlignment="1">
      <alignment horizontal="center" vertical="center" shrinkToFit="1"/>
    </xf>
    <xf numFmtId="0" fontId="18" fillId="6" borderId="182" xfId="0" applyFont="1" applyFill="1" applyBorder="1" applyAlignment="1">
      <alignment horizontal="center" vertical="center" shrinkToFit="1"/>
    </xf>
    <xf numFmtId="165" fontId="18" fillId="6" borderId="183" xfId="0" applyNumberFormat="1" applyFont="1" applyFill="1" applyBorder="1" applyAlignment="1">
      <alignment horizontal="center" vertical="center" shrinkToFit="1"/>
    </xf>
    <xf numFmtId="165" fontId="18" fillId="5" borderId="184" xfId="0" applyNumberFormat="1" applyFont="1" applyFill="1" applyBorder="1" applyAlignment="1">
      <alignment horizontal="center" vertical="center" shrinkToFit="1"/>
    </xf>
    <xf numFmtId="0" fontId="18" fillId="5" borderId="185" xfId="0" applyNumberFormat="1" applyFont="1" applyFill="1" applyBorder="1" applyAlignment="1">
      <alignment horizontal="center" vertical="center" shrinkToFit="1"/>
    </xf>
    <xf numFmtId="0" fontId="18" fillId="5" borderId="186" xfId="0" applyNumberFormat="1" applyFont="1" applyFill="1" applyBorder="1" applyAlignment="1">
      <alignment horizontal="center" vertical="center" shrinkToFit="1"/>
    </xf>
    <xf numFmtId="0" fontId="18" fillId="5" borderId="187" xfId="0" applyFont="1" applyFill="1" applyBorder="1" applyAlignment="1">
      <alignment horizontal="center" vertical="center" shrinkToFit="1"/>
    </xf>
    <xf numFmtId="0" fontId="18" fillId="5" borderId="188" xfId="0" applyNumberFormat="1" applyFont="1" applyFill="1" applyBorder="1" applyAlignment="1">
      <alignment horizontal="center" vertical="center" shrinkToFit="1"/>
    </xf>
    <xf numFmtId="167" fontId="18" fillId="5" borderId="189" xfId="0" applyNumberFormat="1" applyFont="1" applyFill="1" applyBorder="1" applyAlignment="1">
      <alignment horizontal="center" vertical="center" shrinkToFit="1"/>
    </xf>
    <xf numFmtId="0" fontId="18" fillId="5" borderId="190" xfId="0" applyNumberFormat="1" applyFont="1" applyFill="1" applyBorder="1" applyAlignment="1">
      <alignment horizontal="center" vertical="center" shrinkToFit="1"/>
    </xf>
    <xf numFmtId="0" fontId="18" fillId="5" borderId="191" xfId="0" applyFont="1" applyFill="1" applyBorder="1" applyAlignment="1">
      <alignment horizontal="center" vertical="center" shrinkToFit="1"/>
    </xf>
    <xf numFmtId="0" fontId="18" fillId="5" borderId="192" xfId="0" applyFont="1" applyFill="1" applyBorder="1" applyAlignment="1">
      <alignment horizontal="center" vertical="center" shrinkToFit="1"/>
    </xf>
    <xf numFmtId="0" fontId="18" fillId="5" borderId="193" xfId="0" applyFont="1" applyFill="1" applyBorder="1" applyAlignment="1">
      <alignment horizontal="center" vertical="center" shrinkToFit="1"/>
    </xf>
    <xf numFmtId="0" fontId="18" fillId="5" borderId="194" xfId="0" applyNumberFormat="1" applyFont="1" applyFill="1" applyBorder="1" applyAlignment="1">
      <alignment horizontal="center" vertical="center" shrinkToFit="1"/>
    </xf>
    <xf numFmtId="0" fontId="18" fillId="5" borderId="196" xfId="0" applyNumberFormat="1" applyFont="1" applyFill="1" applyBorder="1" applyAlignment="1">
      <alignment horizontal="center" vertical="center" shrinkToFit="1"/>
    </xf>
    <xf numFmtId="166" fontId="18" fillId="5" borderId="195" xfId="0" applyNumberFormat="1" applyFont="1" applyFill="1" applyBorder="1" applyAlignment="1">
      <alignment horizontal="center" vertical="center" shrinkToFit="1"/>
    </xf>
    <xf numFmtId="166" fontId="18" fillId="5" borderId="518" xfId="0" applyNumberFormat="1" applyFont="1" applyFill="1" applyBorder="1" applyAlignment="1">
      <alignment horizontal="center" vertical="center" shrinkToFit="1"/>
    </xf>
    <xf numFmtId="168" fontId="18" fillId="5" borderId="197" xfId="0" applyNumberFormat="1" applyFont="1" applyFill="1" applyBorder="1" applyAlignment="1">
      <alignment horizontal="center" vertical="center" shrinkToFit="1"/>
    </xf>
    <xf numFmtId="0" fontId="18" fillId="5" borderId="198" xfId="0" applyFont="1" applyFill="1" applyBorder="1" applyAlignment="1">
      <alignment horizontal="center" vertical="center" shrinkToFit="1"/>
    </xf>
    <xf numFmtId="165" fontId="18" fillId="5" borderId="199" xfId="0" applyNumberFormat="1" applyFont="1" applyFill="1" applyBorder="1" applyAlignment="1">
      <alignment horizontal="center" vertical="center" shrinkToFit="1"/>
    </xf>
    <xf numFmtId="165" fontId="18" fillId="6" borderId="75" xfId="0" applyNumberFormat="1" applyFont="1" applyFill="1" applyBorder="1" applyAlignment="1">
      <alignment horizontal="center" vertical="center" shrinkToFit="1"/>
    </xf>
    <xf numFmtId="0" fontId="18" fillId="6" borderId="200" xfId="0" applyNumberFormat="1" applyFont="1" applyFill="1" applyBorder="1" applyAlignment="1">
      <alignment horizontal="center" vertical="center" shrinkToFit="1"/>
    </xf>
    <xf numFmtId="0" fontId="18" fillId="6" borderId="201" xfId="0" applyNumberFormat="1" applyFont="1" applyFill="1" applyBorder="1" applyAlignment="1">
      <alignment horizontal="center" vertical="center" shrinkToFit="1"/>
    </xf>
    <xf numFmtId="0" fontId="18" fillId="6" borderId="202" xfId="0" applyFont="1" applyFill="1" applyBorder="1" applyAlignment="1">
      <alignment horizontal="center" vertical="center" shrinkToFit="1"/>
    </xf>
    <xf numFmtId="0" fontId="18" fillId="6" borderId="79" xfId="0" applyNumberFormat="1" applyFont="1" applyFill="1" applyBorder="1" applyAlignment="1">
      <alignment horizontal="center" vertical="center" shrinkToFit="1"/>
    </xf>
    <xf numFmtId="167" fontId="18" fillId="6" borderId="203" xfId="0" applyNumberFormat="1" applyFont="1" applyFill="1" applyBorder="1" applyAlignment="1">
      <alignment horizontal="center" vertical="center" shrinkToFit="1"/>
    </xf>
    <xf numFmtId="0" fontId="18" fillId="6" borderId="204" xfId="0" applyNumberFormat="1" applyFont="1" applyFill="1" applyBorder="1" applyAlignment="1">
      <alignment horizontal="center" vertical="center" shrinkToFit="1"/>
    </xf>
    <xf numFmtId="0" fontId="18" fillId="6" borderId="205" xfId="0" applyFont="1" applyFill="1" applyBorder="1" applyAlignment="1">
      <alignment horizontal="center" vertical="center" shrinkToFit="1"/>
    </xf>
    <xf numFmtId="0" fontId="18" fillId="6" borderId="206" xfId="0" applyFont="1" applyFill="1" applyBorder="1" applyAlignment="1">
      <alignment horizontal="center" vertical="center" shrinkToFit="1"/>
    </xf>
    <xf numFmtId="0" fontId="18" fillId="6" borderId="207" xfId="0" applyFont="1" applyFill="1" applyBorder="1" applyAlignment="1">
      <alignment horizontal="center" vertical="center" shrinkToFit="1"/>
    </xf>
    <xf numFmtId="0" fontId="18" fillId="6" borderId="208" xfId="0" applyNumberFormat="1" applyFont="1" applyFill="1" applyBorder="1" applyAlignment="1">
      <alignment horizontal="center" vertical="center" shrinkToFit="1"/>
    </xf>
    <xf numFmtId="0" fontId="18" fillId="6" borderId="87" xfId="0" applyNumberFormat="1" applyFont="1" applyFill="1" applyBorder="1" applyAlignment="1">
      <alignment horizontal="center" vertical="center" shrinkToFit="1"/>
    </xf>
    <xf numFmtId="166" fontId="18" fillId="6" borderId="81" xfId="0" applyNumberFormat="1" applyFont="1" applyFill="1" applyBorder="1" applyAlignment="1">
      <alignment horizontal="center" vertical="center" shrinkToFit="1"/>
    </xf>
    <xf numFmtId="166" fontId="18" fillId="6" borderId="511" xfId="0" applyNumberFormat="1" applyFont="1" applyFill="1" applyBorder="1" applyAlignment="1">
      <alignment horizontal="center" vertical="center" shrinkToFit="1"/>
    </xf>
    <xf numFmtId="0" fontId="18" fillId="6" borderId="89" xfId="0" applyFont="1" applyFill="1" applyBorder="1" applyAlignment="1">
      <alignment horizontal="center" vertical="center" shrinkToFit="1"/>
    </xf>
    <xf numFmtId="165" fontId="18" fillId="6" borderId="90" xfId="0" applyNumberFormat="1" applyFont="1" applyFill="1" applyBorder="1" applyAlignment="1">
      <alignment horizontal="center" vertical="center" shrinkToFit="1"/>
    </xf>
    <xf numFmtId="165" fontId="18" fillId="5" borderId="209" xfId="0" applyNumberFormat="1" applyFont="1" applyFill="1" applyBorder="1" applyAlignment="1">
      <alignment horizontal="center" vertical="center" shrinkToFit="1"/>
    </xf>
    <xf numFmtId="0" fontId="18" fillId="5" borderId="210" xfId="0" applyNumberFormat="1" applyFont="1" applyFill="1" applyBorder="1" applyAlignment="1">
      <alignment horizontal="center" vertical="center" shrinkToFit="1"/>
    </xf>
    <xf numFmtId="0" fontId="18" fillId="5" borderId="211" xfId="0" applyNumberFormat="1" applyFont="1" applyFill="1" applyBorder="1" applyAlignment="1">
      <alignment horizontal="center" vertical="center" shrinkToFit="1"/>
    </xf>
    <xf numFmtId="0" fontId="18" fillId="5" borderId="212" xfId="0" applyFont="1" applyFill="1" applyBorder="1" applyAlignment="1">
      <alignment horizontal="center" vertical="center" shrinkToFit="1"/>
    </xf>
    <xf numFmtId="0" fontId="18" fillId="5" borderId="213" xfId="0" applyNumberFormat="1" applyFont="1" applyFill="1" applyBorder="1" applyAlignment="1">
      <alignment horizontal="center" vertical="center" shrinkToFit="1"/>
    </xf>
    <xf numFmtId="167" fontId="18" fillId="5" borderId="214" xfId="0" applyNumberFormat="1" applyFont="1" applyFill="1" applyBorder="1" applyAlignment="1">
      <alignment horizontal="center" vertical="center" shrinkToFit="1"/>
    </xf>
    <xf numFmtId="0" fontId="18" fillId="5" borderId="215" xfId="0" applyNumberFormat="1" applyFont="1" applyFill="1" applyBorder="1" applyAlignment="1">
      <alignment horizontal="center" vertical="center" shrinkToFit="1"/>
    </xf>
    <xf numFmtId="0" fontId="18" fillId="5" borderId="216" xfId="0" applyFont="1" applyFill="1" applyBorder="1" applyAlignment="1">
      <alignment horizontal="center" vertical="center" shrinkToFit="1"/>
    </xf>
    <xf numFmtId="0" fontId="18" fillId="5" borderId="217" xfId="0" applyFont="1" applyFill="1" applyBorder="1" applyAlignment="1">
      <alignment horizontal="center" vertical="center" shrinkToFit="1"/>
    </xf>
    <xf numFmtId="0" fontId="18" fillId="5" borderId="218" xfId="0" applyFont="1" applyFill="1" applyBorder="1" applyAlignment="1">
      <alignment horizontal="center" vertical="center" shrinkToFit="1"/>
    </xf>
    <xf numFmtId="0" fontId="18" fillId="5" borderId="219" xfId="0" applyNumberFormat="1" applyFont="1" applyFill="1" applyBorder="1" applyAlignment="1">
      <alignment horizontal="center" vertical="center" shrinkToFit="1"/>
    </xf>
    <xf numFmtId="0" fontId="18" fillId="5" borderId="221" xfId="0" applyNumberFormat="1" applyFont="1" applyFill="1" applyBorder="1" applyAlignment="1">
      <alignment horizontal="center" vertical="center" shrinkToFit="1"/>
    </xf>
    <xf numFmtId="166" fontId="18" fillId="5" borderId="220" xfId="0" applyNumberFormat="1" applyFont="1" applyFill="1" applyBorder="1" applyAlignment="1">
      <alignment horizontal="center" vertical="center" shrinkToFit="1"/>
    </xf>
    <xf numFmtId="166" fontId="18" fillId="5" borderId="519" xfId="0" applyNumberFormat="1" applyFont="1" applyFill="1" applyBorder="1" applyAlignment="1">
      <alignment horizontal="center" vertical="center" shrinkToFit="1"/>
    </xf>
    <xf numFmtId="168" fontId="18" fillId="5" borderId="222" xfId="0" applyNumberFormat="1" applyFont="1" applyFill="1" applyBorder="1" applyAlignment="1">
      <alignment horizontal="center" vertical="center" shrinkToFit="1"/>
    </xf>
    <xf numFmtId="0" fontId="18" fillId="5" borderId="223" xfId="0" applyFont="1" applyFill="1" applyBorder="1" applyAlignment="1">
      <alignment horizontal="center" vertical="center" shrinkToFit="1"/>
    </xf>
    <xf numFmtId="165" fontId="18" fillId="5" borderId="224" xfId="0" applyNumberFormat="1" applyFont="1" applyFill="1" applyBorder="1" applyAlignment="1">
      <alignment horizontal="center" vertical="center" shrinkToFit="1"/>
    </xf>
    <xf numFmtId="165" fontId="9" fillId="5" borderId="209" xfId="0" applyNumberFormat="1" applyFont="1" applyFill="1" applyBorder="1" applyAlignment="1">
      <alignment horizontal="center" vertical="center" shrinkToFit="1"/>
    </xf>
    <xf numFmtId="0" fontId="9" fillId="5" borderId="210" xfId="0" applyNumberFormat="1" applyFont="1" applyFill="1" applyBorder="1" applyAlignment="1">
      <alignment horizontal="center" vertical="center" shrinkToFit="1"/>
    </xf>
    <xf numFmtId="0" fontId="9" fillId="5" borderId="211" xfId="0" applyNumberFormat="1" applyFont="1" applyFill="1" applyBorder="1" applyAlignment="1">
      <alignment horizontal="center" vertical="center" shrinkToFit="1"/>
    </xf>
    <xf numFmtId="0" fontId="9" fillId="5" borderId="212" xfId="0" applyFont="1" applyFill="1" applyBorder="1" applyAlignment="1">
      <alignment horizontal="center" vertical="center" shrinkToFit="1"/>
    </xf>
    <xf numFmtId="0" fontId="9" fillId="5" borderId="213" xfId="0" applyNumberFormat="1" applyFont="1" applyFill="1" applyBorder="1" applyAlignment="1">
      <alignment horizontal="center" vertical="center" shrinkToFit="1"/>
    </xf>
    <xf numFmtId="167" fontId="10" fillId="5" borderId="214" xfId="0" applyNumberFormat="1" applyFont="1" applyFill="1" applyBorder="1" applyAlignment="1">
      <alignment horizontal="center" vertical="center" shrinkToFit="1"/>
    </xf>
    <xf numFmtId="0" fontId="10" fillId="5" borderId="215" xfId="0" applyNumberFormat="1" applyFont="1" applyFill="1" applyBorder="1" applyAlignment="1">
      <alignment horizontal="center" vertical="center" shrinkToFit="1"/>
    </xf>
    <xf numFmtId="0" fontId="10" fillId="5" borderId="216" xfId="0" applyFont="1" applyFill="1" applyBorder="1" applyAlignment="1">
      <alignment horizontal="center" vertical="center" shrinkToFit="1"/>
    </xf>
    <xf numFmtId="0" fontId="10" fillId="5" borderId="217" xfId="0" applyFont="1" applyFill="1" applyBorder="1" applyAlignment="1">
      <alignment horizontal="center" vertical="center" shrinkToFit="1"/>
    </xf>
    <xf numFmtId="0" fontId="10" fillId="5" borderId="218" xfId="0" applyFont="1" applyFill="1" applyBorder="1" applyAlignment="1">
      <alignment horizontal="center" vertical="center" shrinkToFit="1"/>
    </xf>
    <xf numFmtId="0" fontId="10" fillId="5" borderId="219" xfId="0" applyNumberFormat="1" applyFont="1" applyFill="1" applyBorder="1" applyAlignment="1">
      <alignment horizontal="center" vertical="center" shrinkToFit="1"/>
    </xf>
    <xf numFmtId="0" fontId="10" fillId="5" borderId="221" xfId="0" applyNumberFormat="1" applyFont="1" applyFill="1" applyBorder="1" applyAlignment="1">
      <alignment horizontal="center" vertical="center" shrinkToFit="1"/>
    </xf>
    <xf numFmtId="166" fontId="10" fillId="5" borderId="220" xfId="0" applyNumberFormat="1" applyFont="1" applyFill="1" applyBorder="1" applyAlignment="1">
      <alignment horizontal="center" vertical="center" shrinkToFit="1"/>
    </xf>
    <xf numFmtId="166" fontId="10" fillId="5" borderId="519" xfId="0" applyNumberFormat="1" applyFont="1" applyFill="1" applyBorder="1" applyAlignment="1">
      <alignment horizontal="center" vertical="center" shrinkToFit="1"/>
    </xf>
    <xf numFmtId="168" fontId="10" fillId="5" borderId="222" xfId="0" applyNumberFormat="1" applyFont="1" applyFill="1" applyBorder="1" applyAlignment="1">
      <alignment horizontal="center" vertical="center" shrinkToFit="1"/>
    </xf>
    <xf numFmtId="0" fontId="10" fillId="5" borderId="223" xfId="0" applyFont="1" applyFill="1" applyBorder="1" applyAlignment="1">
      <alignment horizontal="center" vertical="center" shrinkToFit="1"/>
    </xf>
    <xf numFmtId="165" fontId="10" fillId="5" borderId="224" xfId="0" applyNumberFormat="1" applyFont="1" applyFill="1" applyBorder="1" applyAlignment="1">
      <alignment horizontal="center" vertical="center" shrinkToFit="1"/>
    </xf>
    <xf numFmtId="165" fontId="9" fillId="6" borderId="225" xfId="0" applyNumberFormat="1" applyFont="1" applyFill="1" applyBorder="1" applyAlignment="1">
      <alignment horizontal="center" vertical="center" shrinkToFit="1"/>
    </xf>
    <xf numFmtId="0" fontId="9" fillId="6" borderId="226" xfId="0" applyNumberFormat="1" applyFont="1" applyFill="1" applyBorder="1" applyAlignment="1">
      <alignment horizontal="center" vertical="center" shrinkToFit="1"/>
    </xf>
    <xf numFmtId="0" fontId="9" fillId="6" borderId="227" xfId="0" applyNumberFormat="1" applyFont="1" applyFill="1" applyBorder="1" applyAlignment="1">
      <alignment horizontal="center" vertical="center" shrinkToFit="1"/>
    </xf>
    <xf numFmtId="0" fontId="9" fillId="6" borderId="228" xfId="0" applyFont="1" applyFill="1" applyBorder="1" applyAlignment="1">
      <alignment horizontal="center" vertical="center" shrinkToFit="1"/>
    </xf>
    <xf numFmtId="0" fontId="9" fillId="6" borderId="229" xfId="0" applyNumberFormat="1" applyFont="1" applyFill="1" applyBorder="1" applyAlignment="1">
      <alignment horizontal="center" vertical="center" shrinkToFit="1"/>
    </xf>
    <xf numFmtId="167" fontId="10" fillId="6" borderId="230" xfId="0" applyNumberFormat="1" applyFont="1" applyFill="1" applyBorder="1" applyAlignment="1">
      <alignment horizontal="center" vertical="center" shrinkToFit="1"/>
    </xf>
    <xf numFmtId="0" fontId="10" fillId="6" borderId="231" xfId="0" applyNumberFormat="1" applyFont="1" applyFill="1" applyBorder="1" applyAlignment="1">
      <alignment horizontal="center" vertical="center" shrinkToFit="1"/>
    </xf>
    <xf numFmtId="0" fontId="10" fillId="6" borderId="114" xfId="0" applyFont="1" applyFill="1" applyBorder="1" applyAlignment="1">
      <alignment horizontal="center" vertical="center" shrinkToFit="1"/>
    </xf>
    <xf numFmtId="0" fontId="10" fillId="6" borderId="232" xfId="0" applyFont="1" applyFill="1" applyBorder="1" applyAlignment="1">
      <alignment horizontal="center" vertical="center" shrinkToFit="1"/>
    </xf>
    <xf numFmtId="0" fontId="10" fillId="6" borderId="233" xfId="0" applyFont="1" applyFill="1" applyBorder="1" applyAlignment="1">
      <alignment horizontal="center" vertical="center" shrinkToFit="1"/>
    </xf>
    <xf numFmtId="0" fontId="10" fillId="6" borderId="234" xfId="0" applyNumberFormat="1" applyFont="1" applyFill="1" applyBorder="1" applyAlignment="1">
      <alignment horizontal="center" vertical="center" shrinkToFit="1"/>
    </xf>
    <xf numFmtId="0" fontId="10" fillId="6" borderId="236" xfId="0" applyNumberFormat="1" applyFont="1" applyFill="1" applyBorder="1" applyAlignment="1">
      <alignment horizontal="center" vertical="center" shrinkToFit="1"/>
    </xf>
    <xf numFmtId="166" fontId="10" fillId="6" borderId="235" xfId="0" applyNumberFormat="1" applyFont="1" applyFill="1" applyBorder="1" applyAlignment="1">
      <alignment horizontal="center" vertical="center" shrinkToFit="1"/>
    </xf>
    <xf numFmtId="166" fontId="18" fillId="6" borderId="520" xfId="0" applyNumberFormat="1" applyFont="1" applyFill="1" applyBorder="1" applyAlignment="1">
      <alignment horizontal="center" vertical="center" shrinkToFit="1"/>
    </xf>
    <xf numFmtId="0" fontId="18" fillId="6" borderId="237" xfId="0" applyFont="1" applyFill="1" applyBorder="1" applyAlignment="1">
      <alignment horizontal="center" vertical="center" shrinkToFit="1"/>
    </xf>
    <xf numFmtId="0" fontId="10" fillId="6" borderId="238" xfId="0" applyFont="1" applyFill="1" applyBorder="1" applyAlignment="1">
      <alignment horizontal="center" vertical="center" shrinkToFit="1"/>
    </xf>
    <xf numFmtId="165" fontId="10" fillId="6" borderId="239" xfId="0" applyNumberFormat="1" applyFont="1" applyFill="1" applyBorder="1" applyAlignment="1">
      <alignment horizontal="center" vertical="center" shrinkToFit="1"/>
    </xf>
    <xf numFmtId="165" fontId="9" fillId="5" borderId="240" xfId="0" applyNumberFormat="1" applyFont="1" applyFill="1" applyBorder="1" applyAlignment="1">
      <alignment horizontal="center" vertical="center" shrinkToFit="1"/>
    </xf>
    <xf numFmtId="0" fontId="9" fillId="5" borderId="241" xfId="0" applyNumberFormat="1" applyFont="1" applyFill="1" applyBorder="1" applyAlignment="1">
      <alignment horizontal="center" vertical="center" shrinkToFit="1"/>
    </xf>
    <xf numFmtId="0" fontId="9" fillId="5" borderId="242" xfId="0" applyNumberFormat="1" applyFont="1" applyFill="1" applyBorder="1" applyAlignment="1">
      <alignment horizontal="center" vertical="center" shrinkToFit="1"/>
    </xf>
    <xf numFmtId="0" fontId="9" fillId="5" borderId="243" xfId="0" applyFont="1" applyFill="1" applyBorder="1" applyAlignment="1">
      <alignment horizontal="center" vertical="center" shrinkToFit="1"/>
    </xf>
    <xf numFmtId="0" fontId="9" fillId="5" borderId="244" xfId="0" applyNumberFormat="1" applyFont="1" applyFill="1" applyBorder="1" applyAlignment="1">
      <alignment horizontal="center" vertical="center" shrinkToFit="1"/>
    </xf>
    <xf numFmtId="167" fontId="10" fillId="5" borderId="245" xfId="0" applyNumberFormat="1" applyFont="1" applyFill="1" applyBorder="1" applyAlignment="1">
      <alignment horizontal="center" vertical="center" shrinkToFit="1"/>
    </xf>
    <xf numFmtId="0" fontId="10" fillId="5" borderId="246" xfId="0" applyNumberFormat="1" applyFont="1" applyFill="1" applyBorder="1" applyAlignment="1">
      <alignment horizontal="center" vertical="center" shrinkToFit="1"/>
    </xf>
    <xf numFmtId="0" fontId="10" fillId="5" borderId="247" xfId="0" applyFont="1" applyFill="1" applyBorder="1" applyAlignment="1">
      <alignment horizontal="center" vertical="center" shrinkToFit="1"/>
    </xf>
    <xf numFmtId="0" fontId="10" fillId="5" borderId="248" xfId="0" applyFont="1" applyFill="1" applyBorder="1" applyAlignment="1">
      <alignment horizontal="center" vertical="center" shrinkToFit="1"/>
    </xf>
    <xf numFmtId="0" fontId="10" fillId="5" borderId="249" xfId="0" applyFont="1" applyFill="1" applyBorder="1" applyAlignment="1">
      <alignment horizontal="center" vertical="center" shrinkToFit="1"/>
    </xf>
    <xf numFmtId="0" fontId="10" fillId="5" borderId="250" xfId="0" applyNumberFormat="1" applyFont="1" applyFill="1" applyBorder="1" applyAlignment="1">
      <alignment horizontal="center" vertical="center" shrinkToFit="1"/>
    </xf>
    <xf numFmtId="0" fontId="10" fillId="5" borderId="252" xfId="0" applyNumberFormat="1" applyFont="1" applyFill="1" applyBorder="1" applyAlignment="1">
      <alignment horizontal="center" vertical="center" shrinkToFit="1"/>
    </xf>
    <xf numFmtId="166" fontId="10" fillId="5" borderId="251" xfId="0" applyNumberFormat="1" applyFont="1" applyFill="1" applyBorder="1" applyAlignment="1">
      <alignment horizontal="center" vertical="center" shrinkToFit="1"/>
    </xf>
    <xf numFmtId="166" fontId="18" fillId="5" borderId="521" xfId="0" applyNumberFormat="1" applyFont="1" applyFill="1" applyBorder="1" applyAlignment="1">
      <alignment horizontal="center" vertical="center" shrinkToFit="1"/>
    </xf>
    <xf numFmtId="0" fontId="18" fillId="5" borderId="253" xfId="0" applyFont="1" applyFill="1" applyBorder="1" applyAlignment="1">
      <alignment horizontal="center" vertical="center" shrinkToFit="1"/>
    </xf>
    <xf numFmtId="0" fontId="10" fillId="5" borderId="254" xfId="0" applyFont="1" applyFill="1" applyBorder="1" applyAlignment="1">
      <alignment horizontal="center" vertical="center" shrinkToFit="1"/>
    </xf>
    <xf numFmtId="165" fontId="10" fillId="5" borderId="255" xfId="0" applyNumberFormat="1" applyFont="1" applyFill="1" applyBorder="1" applyAlignment="1">
      <alignment horizontal="center" vertical="center" shrinkToFit="1"/>
    </xf>
    <xf numFmtId="0" fontId="15" fillId="0" borderId="0" xfId="0" applyFont="1" applyFill="1" applyAlignment="1">
      <alignment horizontal="right" shrinkToFit="1"/>
    </xf>
    <xf numFmtId="0" fontId="9" fillId="6" borderId="507" xfId="0" applyFont="1" applyFill="1" applyBorder="1" applyAlignment="1">
      <alignment horizontal="center" vertical="center" shrinkToFit="1"/>
    </xf>
    <xf numFmtId="165" fontId="9" fillId="6" borderId="256" xfId="0" applyNumberFormat="1" applyFont="1" applyFill="1" applyBorder="1" applyAlignment="1">
      <alignment horizontal="center" vertical="center" shrinkToFit="1"/>
    </xf>
    <xf numFmtId="0" fontId="9" fillId="6" borderId="257" xfId="0" applyNumberFormat="1" applyFont="1" applyFill="1" applyBorder="1" applyAlignment="1">
      <alignment horizontal="center" vertical="center" shrinkToFit="1"/>
    </xf>
    <xf numFmtId="0" fontId="9" fillId="6" borderId="258" xfId="0" applyNumberFormat="1" applyFont="1" applyFill="1" applyBorder="1" applyAlignment="1">
      <alignment horizontal="center" vertical="center" shrinkToFit="1"/>
    </xf>
    <xf numFmtId="0" fontId="9" fillId="6" borderId="259" xfId="0" applyFont="1" applyFill="1" applyBorder="1" applyAlignment="1">
      <alignment horizontal="center" vertical="center" shrinkToFit="1"/>
    </xf>
    <xf numFmtId="0" fontId="9" fillId="6" borderId="260" xfId="0" applyNumberFormat="1" applyFont="1" applyFill="1" applyBorder="1" applyAlignment="1">
      <alignment horizontal="center" vertical="center" shrinkToFit="1"/>
    </xf>
    <xf numFmtId="167" fontId="10" fillId="6" borderId="261" xfId="0" applyNumberFormat="1" applyFont="1" applyFill="1" applyBorder="1" applyAlignment="1">
      <alignment horizontal="center" vertical="center" shrinkToFit="1"/>
    </xf>
    <xf numFmtId="0" fontId="10" fillId="6" borderId="262" xfId="0" applyNumberFormat="1" applyFont="1" applyFill="1" applyBorder="1" applyAlignment="1">
      <alignment horizontal="center" vertical="center" shrinkToFit="1"/>
    </xf>
    <xf numFmtId="0" fontId="10" fillId="6" borderId="263" xfId="0" applyFont="1" applyFill="1" applyBorder="1" applyAlignment="1">
      <alignment horizontal="center" vertical="center" shrinkToFit="1"/>
    </xf>
    <xf numFmtId="0" fontId="10" fillId="6" borderId="264" xfId="0" applyFont="1" applyFill="1" applyBorder="1" applyAlignment="1">
      <alignment horizontal="center" vertical="center" shrinkToFit="1"/>
    </xf>
    <xf numFmtId="0" fontId="10" fillId="6" borderId="265" xfId="0" applyFont="1" applyFill="1" applyBorder="1" applyAlignment="1">
      <alignment horizontal="center" vertical="center" shrinkToFit="1"/>
    </xf>
    <xf numFmtId="0" fontId="10" fillId="6" borderId="266" xfId="0" applyNumberFormat="1" applyFont="1" applyFill="1" applyBorder="1" applyAlignment="1">
      <alignment horizontal="center" vertical="center" shrinkToFit="1"/>
    </xf>
    <xf numFmtId="0" fontId="10" fillId="6" borderId="268" xfId="0" applyNumberFormat="1" applyFont="1" applyFill="1" applyBorder="1" applyAlignment="1">
      <alignment horizontal="center" vertical="center" shrinkToFit="1"/>
    </xf>
    <xf numFmtId="166" fontId="10" fillId="6" borderId="267" xfId="0" applyNumberFormat="1" applyFont="1" applyFill="1" applyBorder="1" applyAlignment="1">
      <alignment horizontal="center" vertical="center" shrinkToFit="1"/>
    </xf>
    <xf numFmtId="166" fontId="10" fillId="6" borderId="522" xfId="0" applyNumberFormat="1" applyFont="1" applyFill="1" applyBorder="1" applyAlignment="1">
      <alignment horizontal="center" vertical="center" shrinkToFit="1"/>
    </xf>
    <xf numFmtId="0" fontId="18" fillId="6" borderId="269" xfId="0" applyFont="1" applyFill="1" applyBorder="1" applyAlignment="1">
      <alignment horizontal="center" vertical="center" shrinkToFit="1"/>
    </xf>
    <xf numFmtId="0" fontId="10" fillId="6" borderId="270" xfId="0" applyFont="1" applyFill="1" applyBorder="1" applyAlignment="1">
      <alignment horizontal="center" vertical="center" shrinkToFit="1"/>
    </xf>
    <xf numFmtId="165" fontId="10" fillId="6" borderId="271" xfId="0" applyNumberFormat="1" applyFont="1" applyFill="1" applyBorder="1" applyAlignment="1">
      <alignment horizontal="center" vertical="center" shrinkToFit="1"/>
    </xf>
    <xf numFmtId="165" fontId="18" fillId="5" borderId="272" xfId="0" applyNumberFormat="1" applyFont="1" applyFill="1" applyBorder="1" applyAlignment="1">
      <alignment horizontal="center" vertical="center" shrinkToFit="1"/>
    </xf>
    <xf numFmtId="0" fontId="18" fillId="5" borderId="273" xfId="0" applyNumberFormat="1" applyFont="1" applyFill="1" applyBorder="1" applyAlignment="1">
      <alignment horizontal="center" vertical="center" shrinkToFit="1"/>
    </xf>
    <xf numFmtId="0" fontId="18" fillId="5" borderId="274" xfId="0" applyNumberFormat="1" applyFont="1" applyFill="1" applyBorder="1" applyAlignment="1">
      <alignment horizontal="center" vertical="center" shrinkToFit="1"/>
    </xf>
    <xf numFmtId="0" fontId="18" fillId="5" borderId="275" xfId="0" applyFont="1" applyFill="1" applyBorder="1" applyAlignment="1">
      <alignment horizontal="center" vertical="center" shrinkToFit="1"/>
    </xf>
    <xf numFmtId="0" fontId="18" fillId="5" borderId="276" xfId="0" applyNumberFormat="1" applyFont="1" applyFill="1" applyBorder="1" applyAlignment="1">
      <alignment horizontal="center" vertical="center" shrinkToFit="1"/>
    </xf>
    <xf numFmtId="167" fontId="18" fillId="5" borderId="277" xfId="0" applyNumberFormat="1" applyFont="1" applyFill="1" applyBorder="1" applyAlignment="1">
      <alignment horizontal="center" vertical="center" shrinkToFit="1"/>
    </xf>
    <xf numFmtId="0" fontId="18" fillId="5" borderId="278" xfId="0" applyNumberFormat="1" applyFont="1" applyFill="1" applyBorder="1" applyAlignment="1">
      <alignment horizontal="center" vertical="center" shrinkToFit="1"/>
    </xf>
    <xf numFmtId="0" fontId="18" fillId="5" borderId="279" xfId="0" applyFont="1" applyFill="1" applyBorder="1" applyAlignment="1">
      <alignment horizontal="center" vertical="center" shrinkToFit="1"/>
    </xf>
    <xf numFmtId="0" fontId="18" fillId="5" borderId="280" xfId="0" applyFont="1" applyFill="1" applyBorder="1" applyAlignment="1">
      <alignment horizontal="center" vertical="center" shrinkToFit="1"/>
    </xf>
    <xf numFmtId="0" fontId="18" fillId="5" borderId="281" xfId="0" applyFont="1" applyFill="1" applyBorder="1" applyAlignment="1">
      <alignment horizontal="center" vertical="center" shrinkToFit="1"/>
    </xf>
    <xf numFmtId="0" fontId="18" fillId="5" borderId="282" xfId="0" applyNumberFormat="1" applyFont="1" applyFill="1" applyBorder="1" applyAlignment="1">
      <alignment horizontal="center" vertical="center" shrinkToFit="1"/>
    </xf>
    <xf numFmtId="0" fontId="18" fillId="5" borderId="284" xfId="0" applyNumberFormat="1" applyFont="1" applyFill="1" applyBorder="1" applyAlignment="1">
      <alignment horizontal="center" vertical="center" shrinkToFit="1"/>
    </xf>
    <xf numFmtId="166" fontId="18" fillId="5" borderId="283" xfId="0" applyNumberFormat="1" applyFont="1" applyFill="1" applyBorder="1" applyAlignment="1">
      <alignment horizontal="center" vertical="center" shrinkToFit="1"/>
    </xf>
    <xf numFmtId="166" fontId="18" fillId="5" borderId="23" xfId="0" applyNumberFormat="1" applyFont="1" applyFill="1" applyBorder="1" applyAlignment="1">
      <alignment horizontal="center" vertical="center" shrinkToFit="1"/>
    </xf>
    <xf numFmtId="0" fontId="18" fillId="5" borderId="285" xfId="0" applyFont="1" applyFill="1" applyBorder="1" applyAlignment="1">
      <alignment horizontal="center" vertical="center" shrinkToFit="1"/>
    </xf>
    <xf numFmtId="0" fontId="18" fillId="5" borderId="286" xfId="0" applyFont="1" applyFill="1" applyBorder="1" applyAlignment="1">
      <alignment horizontal="center" vertical="center" shrinkToFit="1"/>
    </xf>
    <xf numFmtId="165" fontId="18" fillId="5" borderId="287" xfId="0" applyNumberFormat="1" applyFont="1" applyFill="1" applyBorder="1" applyAlignment="1">
      <alignment horizontal="center" vertical="center" shrinkToFit="1"/>
    </xf>
    <xf numFmtId="165" fontId="9" fillId="6" borderId="288" xfId="0" applyNumberFormat="1" applyFont="1" applyFill="1" applyBorder="1" applyAlignment="1">
      <alignment horizontal="center" vertical="center" shrinkToFit="1"/>
    </xf>
    <xf numFmtId="0" fontId="9" fillId="6" borderId="289" xfId="0" applyNumberFormat="1" applyFont="1" applyFill="1" applyBorder="1" applyAlignment="1">
      <alignment horizontal="center" vertical="center" shrinkToFit="1"/>
    </xf>
    <xf numFmtId="0" fontId="9" fillId="6" borderId="290" xfId="0" applyNumberFormat="1" applyFont="1" applyFill="1" applyBorder="1" applyAlignment="1">
      <alignment horizontal="center" vertical="center" shrinkToFit="1"/>
    </xf>
    <xf numFmtId="0" fontId="9" fillId="6" borderId="291" xfId="0" applyFont="1" applyFill="1" applyBorder="1" applyAlignment="1">
      <alignment horizontal="center" vertical="center" shrinkToFit="1"/>
    </xf>
    <xf numFmtId="0" fontId="9" fillId="6" borderId="292" xfId="0" applyNumberFormat="1" applyFont="1" applyFill="1" applyBorder="1" applyAlignment="1">
      <alignment horizontal="center" vertical="center" shrinkToFit="1"/>
    </xf>
    <xf numFmtId="167" fontId="10" fillId="6" borderId="293" xfId="0" applyNumberFormat="1" applyFont="1" applyFill="1" applyBorder="1" applyAlignment="1">
      <alignment horizontal="center" vertical="center" shrinkToFit="1"/>
    </xf>
    <xf numFmtId="0" fontId="10" fillId="6" borderId="294" xfId="0" applyNumberFormat="1" applyFont="1" applyFill="1" applyBorder="1" applyAlignment="1">
      <alignment horizontal="center" vertical="center" shrinkToFit="1"/>
    </xf>
    <xf numFmtId="0" fontId="10" fillId="6" borderId="295" xfId="0" applyFont="1" applyFill="1" applyBorder="1" applyAlignment="1">
      <alignment horizontal="center" vertical="center" shrinkToFit="1"/>
    </xf>
    <xf numFmtId="0" fontId="10" fillId="6" borderId="296" xfId="0" applyFont="1" applyFill="1" applyBorder="1" applyAlignment="1">
      <alignment horizontal="center" vertical="center" shrinkToFit="1"/>
    </xf>
    <xf numFmtId="0" fontId="10" fillId="6" borderId="297" xfId="0" applyFont="1" applyFill="1" applyBorder="1" applyAlignment="1">
      <alignment horizontal="center" vertical="center" shrinkToFit="1"/>
    </xf>
    <xf numFmtId="0" fontId="10" fillId="6" borderId="298" xfId="0" applyNumberFormat="1" applyFont="1" applyFill="1" applyBorder="1" applyAlignment="1">
      <alignment horizontal="center" vertical="center" shrinkToFit="1"/>
    </xf>
    <xf numFmtId="0" fontId="10" fillId="6" borderId="300" xfId="0" applyNumberFormat="1" applyFont="1" applyFill="1" applyBorder="1" applyAlignment="1">
      <alignment horizontal="center" vertical="center" shrinkToFit="1"/>
    </xf>
    <xf numFmtId="166" fontId="10" fillId="6" borderId="299" xfId="0" applyNumberFormat="1" applyFont="1" applyFill="1" applyBorder="1" applyAlignment="1">
      <alignment horizontal="center" vertical="center" shrinkToFit="1"/>
    </xf>
    <xf numFmtId="166" fontId="10" fillId="6" borderId="523" xfId="0" applyNumberFormat="1" applyFont="1" applyFill="1" applyBorder="1" applyAlignment="1">
      <alignment horizontal="center" vertical="center" shrinkToFit="1"/>
    </xf>
    <xf numFmtId="0" fontId="18" fillId="6" borderId="301" xfId="0" applyFont="1" applyFill="1" applyBorder="1" applyAlignment="1">
      <alignment horizontal="center" vertical="center" shrinkToFit="1"/>
    </xf>
    <xf numFmtId="0" fontId="10" fillId="6" borderId="302" xfId="0" applyFont="1" applyFill="1" applyBorder="1" applyAlignment="1">
      <alignment horizontal="center" vertical="center" shrinkToFit="1"/>
    </xf>
    <xf numFmtId="165" fontId="10" fillId="6" borderId="303" xfId="0" applyNumberFormat="1" applyFont="1" applyFill="1" applyBorder="1" applyAlignment="1">
      <alignment horizontal="center" vertical="center" shrinkToFit="1"/>
    </xf>
    <xf numFmtId="165" fontId="9" fillId="5" borderId="304" xfId="0" applyNumberFormat="1" applyFont="1" applyFill="1" applyBorder="1" applyAlignment="1">
      <alignment horizontal="center" vertical="center" shrinkToFit="1"/>
    </xf>
    <xf numFmtId="0" fontId="9" fillId="5" borderId="305" xfId="0" applyNumberFormat="1" applyFont="1" applyFill="1" applyBorder="1" applyAlignment="1">
      <alignment horizontal="center" vertical="center" shrinkToFit="1"/>
    </xf>
    <xf numFmtId="0" fontId="9" fillId="5" borderId="306" xfId="0" applyNumberFormat="1" applyFont="1" applyFill="1" applyBorder="1" applyAlignment="1">
      <alignment horizontal="center" vertical="center" shrinkToFit="1"/>
    </xf>
    <xf numFmtId="0" fontId="9" fillId="5" borderId="307" xfId="0" applyFont="1" applyFill="1" applyBorder="1" applyAlignment="1">
      <alignment horizontal="center" vertical="center" shrinkToFit="1"/>
    </xf>
    <xf numFmtId="0" fontId="9" fillId="5" borderId="308" xfId="0" applyNumberFormat="1" applyFont="1" applyFill="1" applyBorder="1" applyAlignment="1">
      <alignment horizontal="center" vertical="center" shrinkToFit="1"/>
    </xf>
    <xf numFmtId="167" fontId="10" fillId="5" borderId="309" xfId="0" applyNumberFormat="1" applyFont="1" applyFill="1" applyBorder="1" applyAlignment="1">
      <alignment horizontal="center" vertical="center" shrinkToFit="1"/>
    </xf>
    <xf numFmtId="0" fontId="10" fillId="5" borderId="310" xfId="0" applyNumberFormat="1" applyFont="1" applyFill="1" applyBorder="1" applyAlignment="1">
      <alignment horizontal="center" vertical="center" shrinkToFit="1"/>
    </xf>
    <xf numFmtId="0" fontId="10" fillId="5" borderId="311" xfId="0" applyFont="1" applyFill="1" applyBorder="1" applyAlignment="1">
      <alignment horizontal="center" vertical="center" shrinkToFit="1"/>
    </xf>
    <xf numFmtId="0" fontId="10" fillId="5" borderId="312" xfId="0" applyFont="1" applyFill="1" applyBorder="1" applyAlignment="1">
      <alignment horizontal="center" vertical="center" shrinkToFit="1"/>
    </xf>
    <xf numFmtId="0" fontId="10" fillId="5" borderId="313" xfId="0" applyFont="1" applyFill="1" applyBorder="1" applyAlignment="1">
      <alignment horizontal="center" vertical="center" shrinkToFit="1"/>
    </xf>
    <xf numFmtId="0" fontId="10" fillId="5" borderId="314" xfId="0" applyNumberFormat="1" applyFont="1" applyFill="1" applyBorder="1" applyAlignment="1">
      <alignment horizontal="center" vertical="center" shrinkToFit="1"/>
    </xf>
    <xf numFmtId="0" fontId="10" fillId="5" borderId="316" xfId="0" applyNumberFormat="1" applyFont="1" applyFill="1" applyBorder="1" applyAlignment="1">
      <alignment horizontal="center" vertical="center" shrinkToFit="1"/>
    </xf>
    <xf numFmtId="166" fontId="10" fillId="5" borderId="315" xfId="0" applyNumberFormat="1" applyFont="1" applyFill="1" applyBorder="1" applyAlignment="1">
      <alignment horizontal="center" vertical="center" shrinkToFit="1"/>
    </xf>
    <xf numFmtId="166" fontId="10" fillId="5" borderId="524" xfId="0" applyNumberFormat="1" applyFont="1" applyFill="1" applyBorder="1" applyAlignment="1">
      <alignment horizontal="center" vertical="center" shrinkToFit="1"/>
    </xf>
    <xf numFmtId="0" fontId="18" fillId="5" borderId="312" xfId="0" applyFont="1" applyFill="1" applyBorder="1" applyAlignment="1">
      <alignment horizontal="center" vertical="center" shrinkToFit="1"/>
    </xf>
    <xf numFmtId="0" fontId="10" fillId="5" borderId="317" xfId="0" applyFont="1" applyFill="1" applyBorder="1" applyAlignment="1">
      <alignment horizontal="center" vertical="center" shrinkToFit="1"/>
    </xf>
    <xf numFmtId="165" fontId="10" fillId="5" borderId="318" xfId="0" applyNumberFormat="1" applyFont="1" applyFill="1" applyBorder="1" applyAlignment="1">
      <alignment horizontal="center" vertical="center" shrinkToFit="1"/>
    </xf>
    <xf numFmtId="0" fontId="9" fillId="6" borderId="537" xfId="0" applyNumberFormat="1" applyFont="1" applyFill="1" applyBorder="1" applyAlignment="1">
      <alignment horizontal="center" vertical="center" shrinkToFit="1"/>
    </xf>
    <xf numFmtId="0" fontId="10" fillId="6" borderId="17" xfId="0" applyNumberFormat="1" applyFont="1" applyFill="1" applyBorder="1" applyAlignment="1">
      <alignment horizontal="center" vertical="center" shrinkToFit="1"/>
    </xf>
    <xf numFmtId="165" fontId="9" fillId="6" borderId="319" xfId="0" applyNumberFormat="1" applyFont="1" applyFill="1" applyBorder="1" applyAlignment="1">
      <alignment horizontal="center" vertical="center" shrinkToFit="1"/>
    </xf>
    <xf numFmtId="0" fontId="9" fillId="6" borderId="320" xfId="0" applyNumberFormat="1" applyFont="1" applyFill="1" applyBorder="1" applyAlignment="1">
      <alignment horizontal="center" vertical="center" shrinkToFit="1"/>
    </xf>
    <xf numFmtId="0" fontId="9" fillId="6" borderId="321" xfId="0" applyNumberFormat="1" applyFont="1" applyFill="1" applyBorder="1" applyAlignment="1">
      <alignment horizontal="center" vertical="center" shrinkToFit="1"/>
    </xf>
    <xf numFmtId="0" fontId="9" fillId="6" borderId="322" xfId="0" applyFont="1" applyFill="1" applyBorder="1" applyAlignment="1">
      <alignment horizontal="center" vertical="center" shrinkToFit="1"/>
    </xf>
    <xf numFmtId="0" fontId="9" fillId="6" borderId="323" xfId="0" applyNumberFormat="1" applyFont="1" applyFill="1" applyBorder="1" applyAlignment="1">
      <alignment horizontal="center" vertical="center" shrinkToFit="1"/>
    </xf>
    <xf numFmtId="167" fontId="10" fillId="6" borderId="324" xfId="0" applyNumberFormat="1" applyFont="1" applyFill="1" applyBorder="1" applyAlignment="1">
      <alignment horizontal="center" vertical="center" shrinkToFit="1"/>
    </xf>
    <xf numFmtId="0" fontId="10" fillId="6" borderId="325" xfId="0" applyNumberFormat="1" applyFont="1" applyFill="1" applyBorder="1" applyAlignment="1">
      <alignment horizontal="center" vertical="center" shrinkToFit="1"/>
    </xf>
    <xf numFmtId="0" fontId="10" fillId="6" borderId="326" xfId="0" applyFont="1" applyFill="1" applyBorder="1" applyAlignment="1">
      <alignment horizontal="center" vertical="center" shrinkToFit="1"/>
    </xf>
    <xf numFmtId="0" fontId="10" fillId="6" borderId="327" xfId="0" applyFont="1" applyFill="1" applyBorder="1" applyAlignment="1">
      <alignment horizontal="center" vertical="center" shrinkToFit="1"/>
    </xf>
    <xf numFmtId="0" fontId="10" fillId="6" borderId="328" xfId="0" applyFont="1" applyFill="1" applyBorder="1" applyAlignment="1">
      <alignment horizontal="center" vertical="center" shrinkToFit="1"/>
    </xf>
    <xf numFmtId="0" fontId="10" fillId="6" borderId="329" xfId="0" applyNumberFormat="1" applyFont="1" applyFill="1" applyBorder="1" applyAlignment="1">
      <alignment horizontal="center" vertical="center" shrinkToFit="1"/>
    </xf>
    <xf numFmtId="0" fontId="10" fillId="6" borderId="331" xfId="0" applyNumberFormat="1" applyFont="1" applyFill="1" applyBorder="1" applyAlignment="1">
      <alignment horizontal="center" vertical="center" shrinkToFit="1"/>
    </xf>
    <xf numFmtId="166" fontId="10" fillId="6" borderId="330" xfId="0" applyNumberFormat="1" applyFont="1" applyFill="1" applyBorder="1" applyAlignment="1">
      <alignment horizontal="center" vertical="center" shrinkToFit="1"/>
    </xf>
    <xf numFmtId="166" fontId="10" fillId="6" borderId="525" xfId="0" applyNumberFormat="1" applyFont="1" applyFill="1" applyBorder="1" applyAlignment="1">
      <alignment horizontal="center" vertical="center" shrinkToFit="1"/>
    </xf>
    <xf numFmtId="168" fontId="10" fillId="6" borderId="327" xfId="0" applyNumberFormat="1" applyFont="1" applyFill="1" applyBorder="1" applyAlignment="1">
      <alignment horizontal="center" vertical="center" shrinkToFit="1"/>
    </xf>
    <xf numFmtId="0" fontId="10" fillId="6" borderId="332" xfId="0" applyFont="1" applyFill="1" applyBorder="1" applyAlignment="1">
      <alignment horizontal="center" vertical="center" shrinkToFit="1"/>
    </xf>
    <xf numFmtId="165" fontId="10" fillId="6" borderId="333" xfId="0" applyNumberFormat="1" applyFont="1" applyFill="1" applyBorder="1" applyAlignment="1">
      <alignment horizontal="center" vertical="center" shrinkToFit="1"/>
    </xf>
    <xf numFmtId="0" fontId="9" fillId="5" borderId="537" xfId="0" applyNumberFormat="1" applyFont="1" applyFill="1" applyBorder="1" applyAlignment="1">
      <alignment horizontal="center" vertical="center" shrinkToFit="1"/>
    </xf>
    <xf numFmtId="0" fontId="10" fillId="5" borderId="17" xfId="0" applyNumberFormat="1" applyFont="1" applyFill="1" applyBorder="1" applyAlignment="1">
      <alignment horizontal="center" vertical="center" shrinkToFit="1"/>
    </xf>
    <xf numFmtId="165" fontId="9" fillId="5" borderId="334" xfId="0" applyNumberFormat="1" applyFont="1" applyFill="1" applyBorder="1" applyAlignment="1">
      <alignment horizontal="center" vertical="center" shrinkToFit="1"/>
    </xf>
    <xf numFmtId="0" fontId="9" fillId="5" borderId="335" xfId="0" applyNumberFormat="1" applyFont="1" applyFill="1" applyBorder="1" applyAlignment="1">
      <alignment horizontal="center" vertical="center" shrinkToFit="1"/>
    </xf>
    <xf numFmtId="0" fontId="9" fillId="5" borderId="336" xfId="0" applyNumberFormat="1" applyFont="1" applyFill="1" applyBorder="1" applyAlignment="1">
      <alignment horizontal="center" vertical="center" shrinkToFit="1"/>
    </xf>
    <xf numFmtId="0" fontId="9" fillId="5" borderId="337" xfId="0" applyFont="1" applyFill="1" applyBorder="1" applyAlignment="1">
      <alignment horizontal="center" vertical="center" shrinkToFit="1"/>
    </xf>
    <xf numFmtId="0" fontId="9" fillId="5" borderId="338" xfId="0" applyNumberFormat="1" applyFont="1" applyFill="1" applyBorder="1" applyAlignment="1">
      <alignment horizontal="center" vertical="center" shrinkToFit="1"/>
    </xf>
    <xf numFmtId="167" fontId="10" fillId="5" borderId="339" xfId="0" applyNumberFormat="1" applyFont="1" applyFill="1" applyBorder="1" applyAlignment="1">
      <alignment horizontal="center" vertical="center" shrinkToFit="1"/>
    </xf>
    <xf numFmtId="0" fontId="10" fillId="5" borderId="340" xfId="0" applyNumberFormat="1" applyFont="1" applyFill="1" applyBorder="1" applyAlignment="1">
      <alignment horizontal="center" vertical="center" shrinkToFit="1"/>
    </xf>
    <xf numFmtId="0" fontId="10" fillId="5" borderId="341" xfId="0" applyFont="1" applyFill="1" applyBorder="1" applyAlignment="1">
      <alignment horizontal="center" vertical="center" shrinkToFit="1"/>
    </xf>
    <xf numFmtId="0" fontId="10" fillId="5" borderId="342" xfId="0" applyFont="1" applyFill="1" applyBorder="1" applyAlignment="1">
      <alignment horizontal="center" vertical="center" shrinkToFit="1"/>
    </xf>
    <xf numFmtId="0" fontId="10" fillId="5" borderId="343" xfId="0" applyFont="1" applyFill="1" applyBorder="1" applyAlignment="1">
      <alignment horizontal="center" vertical="center" shrinkToFit="1"/>
    </xf>
    <xf numFmtId="0" fontId="10" fillId="5" borderId="344" xfId="0" applyNumberFormat="1" applyFont="1" applyFill="1" applyBorder="1" applyAlignment="1">
      <alignment horizontal="center" vertical="center" shrinkToFit="1"/>
    </xf>
    <xf numFmtId="0" fontId="10" fillId="5" borderId="346" xfId="0" applyNumberFormat="1" applyFont="1" applyFill="1" applyBorder="1" applyAlignment="1">
      <alignment horizontal="center" vertical="center" shrinkToFit="1"/>
    </xf>
    <xf numFmtId="166" fontId="10" fillId="5" borderId="345" xfId="0" applyNumberFormat="1" applyFont="1" applyFill="1" applyBorder="1" applyAlignment="1">
      <alignment horizontal="center" vertical="center" shrinkToFit="1"/>
    </xf>
    <xf numFmtId="166" fontId="10" fillId="5" borderId="526" xfId="0" applyNumberFormat="1" applyFont="1" applyFill="1" applyBorder="1" applyAlignment="1">
      <alignment horizontal="center" vertical="center" shrinkToFit="1"/>
    </xf>
    <xf numFmtId="168" fontId="18" fillId="5" borderId="342" xfId="0" applyNumberFormat="1" applyFont="1" applyFill="1" applyBorder="1" applyAlignment="1">
      <alignment horizontal="center" vertical="center" shrinkToFit="1"/>
    </xf>
    <xf numFmtId="0" fontId="10" fillId="5" borderId="347" xfId="0" applyFont="1" applyFill="1" applyBorder="1" applyAlignment="1">
      <alignment horizontal="center" vertical="center" shrinkToFit="1"/>
    </xf>
    <xf numFmtId="165" fontId="10" fillId="5" borderId="348" xfId="0" applyNumberFormat="1" applyFont="1" applyFill="1" applyBorder="1" applyAlignment="1">
      <alignment horizontal="center" vertical="center" shrinkToFit="1"/>
    </xf>
    <xf numFmtId="0" fontId="9" fillId="6" borderId="349" xfId="0" applyFont="1" applyFill="1" applyBorder="1" applyAlignment="1">
      <alignment horizontal="center" vertical="center" shrinkToFit="1"/>
    </xf>
    <xf numFmtId="0" fontId="9" fillId="6" borderId="362" xfId="0" applyFont="1" applyFill="1" applyBorder="1" applyAlignment="1">
      <alignment horizontal="center" vertical="center" shrinkToFit="1"/>
    </xf>
    <xf numFmtId="0" fontId="18" fillId="6" borderId="546" xfId="0" applyNumberFormat="1" applyFont="1" applyFill="1" applyBorder="1" applyAlignment="1">
      <alignment horizontal="center" vertical="center" shrinkToFit="1"/>
    </xf>
    <xf numFmtId="0" fontId="9" fillId="6" borderId="547" xfId="0" applyNumberFormat="1" applyFont="1" applyFill="1" applyBorder="1" applyAlignment="1">
      <alignment horizontal="center" vertical="center" shrinkToFit="1"/>
    </xf>
    <xf numFmtId="0" fontId="9" fillId="6" borderId="362" xfId="0" applyNumberFormat="1" applyFont="1" applyFill="1" applyBorder="1" applyAlignment="1">
      <alignment horizontal="center" vertical="center" shrinkToFit="1"/>
    </xf>
    <xf numFmtId="0" fontId="9" fillId="6" borderId="350" xfId="0" applyFont="1" applyFill="1" applyBorder="1" applyAlignment="1">
      <alignment horizontal="center" vertical="center" shrinkToFit="1"/>
    </xf>
    <xf numFmtId="13" fontId="9" fillId="6" borderId="351" xfId="0" applyNumberFormat="1" applyFont="1" applyFill="1" applyBorder="1" applyAlignment="1">
      <alignment horizontal="center" vertical="center" shrinkToFit="1"/>
    </xf>
    <xf numFmtId="0" fontId="9" fillId="6" borderId="352" xfId="0" applyFont="1" applyFill="1" applyBorder="1" applyAlignment="1">
      <alignment horizontal="center" vertical="center" shrinkToFit="1"/>
    </xf>
    <xf numFmtId="0" fontId="10" fillId="6" borderId="353" xfId="0" applyNumberFormat="1" applyFont="1" applyFill="1" applyBorder="1" applyAlignment="1">
      <alignment horizontal="center" vertical="center" shrinkToFit="1"/>
    </xf>
    <xf numFmtId="13" fontId="10" fillId="6" borderId="354" xfId="0" applyNumberFormat="1" applyFont="1" applyFill="1" applyBorder="1" applyAlignment="1">
      <alignment horizontal="center" vertical="center" shrinkToFit="1"/>
    </xf>
    <xf numFmtId="0" fontId="9" fillId="6" borderId="355" xfId="0" applyFont="1" applyFill="1" applyBorder="1" applyAlignment="1">
      <alignment horizontal="center" vertical="center" shrinkToFit="1"/>
    </xf>
    <xf numFmtId="0" fontId="9" fillId="6" borderId="356" xfId="0" applyFont="1" applyFill="1" applyBorder="1" applyAlignment="1">
      <alignment horizontal="center" vertical="center" shrinkToFit="1"/>
    </xf>
    <xf numFmtId="13" fontId="10" fillId="6" borderId="357" xfId="0" applyNumberFormat="1" applyFont="1" applyFill="1" applyBorder="1" applyAlignment="1">
      <alignment horizontal="center" vertical="center" shrinkToFit="1"/>
    </xf>
    <xf numFmtId="165" fontId="10" fillId="6" borderId="358" xfId="0" applyNumberFormat="1" applyFont="1" applyFill="1" applyBorder="1" applyAlignment="1">
      <alignment horizontal="center" vertical="center" shrinkToFit="1"/>
    </xf>
    <xf numFmtId="165" fontId="9" fillId="6" borderId="359" xfId="0" applyNumberFormat="1" applyFont="1" applyFill="1" applyBorder="1" applyAlignment="1">
      <alignment horizontal="center" vertical="center" shrinkToFit="1"/>
    </xf>
    <xf numFmtId="0" fontId="9" fillId="6" borderId="360" xfId="0" applyNumberFormat="1" applyFont="1" applyFill="1" applyBorder="1" applyAlignment="1">
      <alignment horizontal="center" vertical="center" shrinkToFit="1"/>
    </xf>
    <xf numFmtId="0" fontId="10" fillId="6" borderId="361" xfId="0" applyNumberFormat="1" applyFont="1" applyFill="1" applyBorder="1" applyAlignment="1">
      <alignment horizontal="center" vertical="center" shrinkToFit="1"/>
    </xf>
    <xf numFmtId="0" fontId="10" fillId="6" borderId="362" xfId="0" applyNumberFormat="1" applyFont="1" applyFill="1" applyBorder="1" applyAlignment="1">
      <alignment horizontal="center" vertical="center" shrinkToFit="1"/>
    </xf>
    <xf numFmtId="0" fontId="9" fillId="6" borderId="354" xfId="0" applyNumberFormat="1" applyFont="1" applyFill="1" applyBorder="1" applyAlignment="1">
      <alignment horizontal="center" vertical="center" shrinkToFit="1"/>
    </xf>
    <xf numFmtId="165" fontId="9" fillId="6" borderId="363" xfId="0" applyNumberFormat="1" applyFont="1" applyFill="1" applyBorder="1" applyAlignment="1">
      <alignment horizontal="center" vertical="center" shrinkToFit="1"/>
    </xf>
    <xf numFmtId="166" fontId="9" fillId="6" borderId="361" xfId="0" applyNumberFormat="1" applyFont="1" applyFill="1" applyBorder="1" applyAlignment="1">
      <alignment horizontal="center" vertical="center" shrinkToFit="1"/>
    </xf>
    <xf numFmtId="0" fontId="10" fillId="6" borderId="364" xfId="0" applyNumberFormat="1" applyFont="1" applyFill="1" applyBorder="1" applyAlignment="1">
      <alignment horizontal="center" vertical="center" shrinkToFit="1"/>
    </xf>
    <xf numFmtId="165" fontId="9" fillId="6" borderId="365" xfId="0" applyNumberFormat="1" applyFont="1" applyFill="1" applyBorder="1" applyAlignment="1">
      <alignment horizontal="center" vertical="center" shrinkToFit="1"/>
    </xf>
    <xf numFmtId="0" fontId="9" fillId="6" borderId="366" xfId="0" applyNumberFormat="1" applyFont="1" applyFill="1" applyBorder="1" applyAlignment="1">
      <alignment horizontal="center" vertical="center" shrinkToFit="1"/>
    </xf>
    <xf numFmtId="0" fontId="9" fillId="6" borderId="367" xfId="0" applyNumberFormat="1" applyFont="1" applyFill="1" applyBorder="1" applyAlignment="1">
      <alignment horizontal="center" vertical="center" shrinkToFit="1"/>
    </xf>
    <xf numFmtId="0" fontId="9" fillId="6" borderId="368" xfId="0" applyFont="1" applyFill="1" applyBorder="1" applyAlignment="1">
      <alignment horizontal="center" vertical="center" shrinkToFit="1"/>
    </xf>
    <xf numFmtId="0" fontId="9" fillId="6" borderId="369" xfId="0" applyNumberFormat="1" applyFont="1" applyFill="1" applyBorder="1" applyAlignment="1">
      <alignment horizontal="center" vertical="center" shrinkToFit="1"/>
    </xf>
    <xf numFmtId="167" fontId="10" fillId="6" borderId="370" xfId="0" applyNumberFormat="1" applyFont="1" applyFill="1" applyBorder="1" applyAlignment="1">
      <alignment horizontal="center" vertical="center" shrinkToFit="1"/>
    </xf>
    <xf numFmtId="0" fontId="10" fillId="6" borderId="371" xfId="0" applyNumberFormat="1" applyFont="1" applyFill="1" applyBorder="1" applyAlignment="1">
      <alignment horizontal="center" vertical="center" shrinkToFit="1"/>
    </xf>
    <xf numFmtId="0" fontId="10" fillId="6" borderId="372" xfId="0" applyFont="1" applyFill="1" applyBorder="1" applyAlignment="1">
      <alignment horizontal="center" vertical="center" shrinkToFit="1"/>
    </xf>
    <xf numFmtId="0" fontId="10" fillId="6" borderId="373" xfId="0" applyFont="1" applyFill="1" applyBorder="1" applyAlignment="1">
      <alignment horizontal="center" vertical="center" shrinkToFit="1"/>
    </xf>
    <xf numFmtId="0" fontId="10" fillId="6" borderId="374" xfId="0" applyFont="1" applyFill="1" applyBorder="1" applyAlignment="1">
      <alignment horizontal="center" vertical="center" shrinkToFit="1"/>
    </xf>
    <xf numFmtId="0" fontId="10" fillId="6" borderId="375" xfId="0" applyNumberFormat="1" applyFont="1" applyFill="1" applyBorder="1" applyAlignment="1">
      <alignment horizontal="center" vertical="center" shrinkToFit="1"/>
    </xf>
    <xf numFmtId="0" fontId="10" fillId="6" borderId="377" xfId="0" applyNumberFormat="1" applyFont="1" applyFill="1" applyBorder="1" applyAlignment="1">
      <alignment horizontal="center" vertical="center" shrinkToFit="1"/>
    </xf>
    <xf numFmtId="166" fontId="10" fillId="6" borderId="376" xfId="0" applyNumberFormat="1" applyFont="1" applyFill="1" applyBorder="1" applyAlignment="1">
      <alignment horizontal="center" vertical="center" shrinkToFit="1"/>
    </xf>
    <xf numFmtId="166" fontId="10" fillId="6" borderId="529" xfId="0" applyNumberFormat="1" applyFont="1" applyFill="1" applyBorder="1" applyAlignment="1">
      <alignment horizontal="center" vertical="center" shrinkToFit="1"/>
    </xf>
    <xf numFmtId="168" fontId="18" fillId="6" borderId="378" xfId="0" applyNumberFormat="1" applyFont="1" applyFill="1" applyBorder="1" applyAlignment="1">
      <alignment horizontal="center" vertical="center" shrinkToFit="1"/>
    </xf>
    <xf numFmtId="0" fontId="10" fillId="6" borderId="379" xfId="0" applyFont="1" applyFill="1" applyBorder="1" applyAlignment="1">
      <alignment horizontal="center" vertical="center" shrinkToFit="1"/>
    </xf>
    <xf numFmtId="165" fontId="10" fillId="6" borderId="380" xfId="0" applyNumberFormat="1" applyFont="1" applyFill="1" applyBorder="1" applyAlignment="1">
      <alignment horizontal="center" vertical="center" shrinkToFit="1"/>
    </xf>
    <xf numFmtId="0" fontId="9" fillId="5" borderId="381" xfId="0" applyFont="1" applyFill="1" applyBorder="1" applyAlignment="1">
      <alignment horizontal="center" vertical="center" shrinkToFit="1"/>
    </xf>
    <xf numFmtId="0" fontId="9" fillId="5" borderId="393" xfId="0" applyFont="1" applyFill="1" applyBorder="1" applyAlignment="1">
      <alignment horizontal="center" vertical="center" shrinkToFit="1"/>
    </xf>
    <xf numFmtId="0" fontId="18" fillId="5" borderId="548" xfId="0" applyNumberFormat="1" applyFont="1" applyFill="1" applyBorder="1" applyAlignment="1">
      <alignment horizontal="center" vertical="center" shrinkToFit="1"/>
    </xf>
    <xf numFmtId="0" fontId="9" fillId="5" borderId="549" xfId="0" applyNumberFormat="1" applyFont="1" applyFill="1" applyBorder="1" applyAlignment="1">
      <alignment horizontal="center" vertical="center" shrinkToFit="1"/>
    </xf>
    <xf numFmtId="0" fontId="9" fillId="5" borderId="393" xfId="0" applyNumberFormat="1" applyFont="1" applyFill="1" applyBorder="1" applyAlignment="1">
      <alignment horizontal="center" vertical="center" shrinkToFit="1"/>
    </xf>
    <xf numFmtId="0" fontId="9" fillId="5" borderId="382" xfId="0" applyFont="1" applyFill="1" applyBorder="1" applyAlignment="1">
      <alignment horizontal="center" vertical="center" shrinkToFit="1"/>
    </xf>
    <xf numFmtId="13" fontId="9" fillId="5" borderId="383" xfId="0" applyNumberFormat="1" applyFont="1" applyFill="1" applyBorder="1" applyAlignment="1">
      <alignment horizontal="center" vertical="center" shrinkToFit="1"/>
    </xf>
    <xf numFmtId="0" fontId="9" fillId="5" borderId="384" xfId="0" applyFont="1" applyFill="1" applyBorder="1" applyAlignment="1">
      <alignment horizontal="center" vertical="center" shrinkToFit="1"/>
    </xf>
    <xf numFmtId="0" fontId="10" fillId="5" borderId="385" xfId="0" applyNumberFormat="1" applyFont="1" applyFill="1" applyBorder="1" applyAlignment="1">
      <alignment horizontal="center" vertical="center" shrinkToFit="1"/>
    </xf>
    <xf numFmtId="13" fontId="10" fillId="5" borderId="386" xfId="0" applyNumberFormat="1" applyFont="1" applyFill="1" applyBorder="1" applyAlignment="1">
      <alignment horizontal="center" vertical="center" shrinkToFit="1"/>
    </xf>
    <xf numFmtId="0" fontId="9" fillId="5" borderId="387" xfId="0" applyFont="1" applyFill="1" applyBorder="1" applyAlignment="1">
      <alignment horizontal="center" vertical="center" shrinkToFit="1"/>
    </xf>
    <xf numFmtId="0" fontId="9" fillId="5" borderId="388" xfId="0" applyFont="1" applyFill="1" applyBorder="1" applyAlignment="1">
      <alignment horizontal="center" vertical="center" shrinkToFit="1"/>
    </xf>
    <xf numFmtId="13" fontId="10" fillId="5" borderId="389" xfId="0" applyNumberFormat="1" applyFont="1" applyFill="1" applyBorder="1" applyAlignment="1">
      <alignment horizontal="center" vertical="center" shrinkToFit="1"/>
    </xf>
    <xf numFmtId="165" fontId="10" fillId="5" borderId="390" xfId="0" applyNumberFormat="1" applyFont="1" applyFill="1" applyBorder="1" applyAlignment="1">
      <alignment horizontal="center" vertical="center" shrinkToFit="1"/>
    </xf>
    <xf numFmtId="165" fontId="9" fillId="5" borderId="391" xfId="0" applyNumberFormat="1" applyFont="1" applyFill="1" applyBorder="1" applyAlignment="1">
      <alignment horizontal="center" vertical="center" shrinkToFit="1"/>
    </xf>
    <xf numFmtId="0" fontId="9" fillId="5" borderId="209" xfId="0" applyNumberFormat="1" applyFont="1" applyFill="1" applyBorder="1" applyAlignment="1">
      <alignment horizontal="center" vertical="center" shrinkToFit="1"/>
    </xf>
    <xf numFmtId="0" fontId="10" fillId="5" borderId="392" xfId="0" applyNumberFormat="1" applyFont="1" applyFill="1" applyBorder="1" applyAlignment="1">
      <alignment horizontal="center" vertical="center" shrinkToFit="1"/>
    </xf>
    <xf numFmtId="0" fontId="10" fillId="5" borderId="393" xfId="0" applyNumberFormat="1" applyFont="1" applyFill="1" applyBorder="1" applyAlignment="1">
      <alignment horizontal="center" vertical="center" shrinkToFit="1"/>
    </xf>
    <xf numFmtId="0" fontId="9" fillId="5" borderId="386" xfId="0" applyNumberFormat="1" applyFont="1" applyFill="1" applyBorder="1" applyAlignment="1">
      <alignment horizontal="center" vertical="center" shrinkToFit="1"/>
    </xf>
    <xf numFmtId="165" fontId="9" fillId="5" borderId="394" xfId="0" applyNumberFormat="1" applyFont="1" applyFill="1" applyBorder="1" applyAlignment="1">
      <alignment horizontal="center" vertical="center" shrinkToFit="1"/>
    </xf>
    <xf numFmtId="166" fontId="9" fillId="5" borderId="392" xfId="0" applyNumberFormat="1" applyFont="1" applyFill="1" applyBorder="1" applyAlignment="1">
      <alignment horizontal="center" vertical="center" shrinkToFit="1"/>
    </xf>
    <xf numFmtId="0" fontId="10" fillId="5" borderId="395" xfId="0" applyNumberFormat="1" applyFont="1" applyFill="1" applyBorder="1" applyAlignment="1">
      <alignment horizontal="center" vertical="center" shrinkToFit="1"/>
    </xf>
    <xf numFmtId="0" fontId="9" fillId="5" borderId="396" xfId="0" applyNumberFormat="1" applyFont="1" applyFill="1" applyBorder="1" applyAlignment="1">
      <alignment horizontal="center" vertical="center" shrinkToFit="1"/>
    </xf>
    <xf numFmtId="0" fontId="9" fillId="5" borderId="397" xfId="0" applyFont="1" applyFill="1" applyBorder="1" applyAlignment="1">
      <alignment horizontal="center" vertical="center" shrinkToFit="1"/>
    </xf>
    <xf numFmtId="0" fontId="9" fillId="5" borderId="398" xfId="0" applyNumberFormat="1" applyFont="1" applyFill="1" applyBorder="1" applyAlignment="1">
      <alignment horizontal="center" vertical="center" shrinkToFit="1"/>
    </xf>
    <xf numFmtId="167" fontId="10" fillId="5" borderId="399" xfId="0" applyNumberFormat="1" applyFont="1" applyFill="1" applyBorder="1" applyAlignment="1">
      <alignment horizontal="center" vertical="center" shrinkToFit="1"/>
    </xf>
    <xf numFmtId="0" fontId="10" fillId="5" borderId="400" xfId="0" applyNumberFormat="1" applyFont="1" applyFill="1" applyBorder="1" applyAlignment="1">
      <alignment horizontal="center" vertical="center" shrinkToFit="1"/>
    </xf>
    <xf numFmtId="0" fontId="10" fillId="5" borderId="401" xfId="0" applyFont="1" applyFill="1" applyBorder="1" applyAlignment="1">
      <alignment horizontal="center" vertical="center" shrinkToFit="1"/>
    </xf>
    <xf numFmtId="0" fontId="10" fillId="5" borderId="402" xfId="0" applyFont="1" applyFill="1" applyBorder="1" applyAlignment="1">
      <alignment horizontal="center" vertical="center" shrinkToFit="1"/>
    </xf>
    <xf numFmtId="0" fontId="10" fillId="5" borderId="403" xfId="0" applyFont="1" applyFill="1" applyBorder="1" applyAlignment="1">
      <alignment horizontal="center" vertical="center" shrinkToFit="1"/>
    </xf>
    <xf numFmtId="0" fontId="10" fillId="5" borderId="404" xfId="0" applyNumberFormat="1" applyFont="1" applyFill="1" applyBorder="1" applyAlignment="1">
      <alignment horizontal="center" vertical="center" shrinkToFit="1"/>
    </xf>
    <xf numFmtId="0" fontId="10" fillId="5" borderId="406" xfId="0" applyNumberFormat="1" applyFont="1" applyFill="1" applyBorder="1" applyAlignment="1">
      <alignment horizontal="center" vertical="center" shrinkToFit="1"/>
    </xf>
    <xf numFmtId="166" fontId="10" fillId="5" borderId="405" xfId="0" applyNumberFormat="1" applyFont="1" applyFill="1" applyBorder="1" applyAlignment="1">
      <alignment horizontal="center" vertical="center" shrinkToFit="1"/>
    </xf>
    <xf numFmtId="166" fontId="10" fillId="5" borderId="532" xfId="0" applyNumberFormat="1" applyFont="1" applyFill="1" applyBorder="1" applyAlignment="1">
      <alignment horizontal="center" vertical="center" shrinkToFit="1"/>
    </xf>
    <xf numFmtId="167" fontId="18" fillId="5" borderId="407" xfId="0" applyNumberFormat="1" applyFont="1" applyFill="1" applyBorder="1" applyAlignment="1">
      <alignment horizontal="center" vertical="center" shrinkToFit="1"/>
    </xf>
    <xf numFmtId="0" fontId="10" fillId="5" borderId="408" xfId="0" applyFont="1" applyFill="1" applyBorder="1" applyAlignment="1">
      <alignment horizontal="center" vertical="center" shrinkToFit="1"/>
    </xf>
    <xf numFmtId="165" fontId="10" fillId="5" borderId="409" xfId="0" applyNumberFormat="1" applyFont="1" applyFill="1" applyBorder="1" applyAlignment="1">
      <alignment horizontal="center" vertical="center" shrinkToFit="1"/>
    </xf>
    <xf numFmtId="0" fontId="9" fillId="6" borderId="410" xfId="0" applyFont="1" applyFill="1" applyBorder="1" applyAlignment="1">
      <alignment horizontal="center" vertical="center" shrinkToFit="1"/>
    </xf>
    <xf numFmtId="0" fontId="9" fillId="6" borderId="423" xfId="0" applyFont="1" applyFill="1" applyBorder="1" applyAlignment="1">
      <alignment horizontal="center" vertical="center" shrinkToFit="1"/>
    </xf>
    <xf numFmtId="0" fontId="18" fillId="6" borderId="550" xfId="0" applyNumberFormat="1" applyFont="1" applyFill="1" applyBorder="1" applyAlignment="1">
      <alignment horizontal="center" vertical="center" shrinkToFit="1"/>
    </xf>
    <xf numFmtId="0" fontId="18" fillId="6" borderId="551" xfId="0" applyNumberFormat="1" applyFont="1" applyFill="1" applyBorder="1" applyAlignment="1">
      <alignment horizontal="center" vertical="center" shrinkToFit="1"/>
    </xf>
    <xf numFmtId="0" fontId="9" fillId="6" borderId="423" xfId="0" applyNumberFormat="1" applyFont="1" applyFill="1" applyBorder="1" applyAlignment="1">
      <alignment horizontal="center" vertical="center" shrinkToFit="1"/>
    </xf>
    <xf numFmtId="0" fontId="9" fillId="6" borderId="411" xfId="0" applyFont="1" applyFill="1" applyBorder="1" applyAlignment="1">
      <alignment horizontal="center" vertical="center" shrinkToFit="1"/>
    </xf>
    <xf numFmtId="13" fontId="9" fillId="6" borderId="412" xfId="0" applyNumberFormat="1" applyFont="1" applyFill="1" applyBorder="1" applyAlignment="1">
      <alignment horizontal="center" vertical="center" shrinkToFit="1"/>
    </xf>
    <xf numFmtId="0" fontId="9" fillId="6" borderId="413" xfId="0" applyFont="1" applyFill="1" applyBorder="1" applyAlignment="1">
      <alignment horizontal="center" vertical="center" shrinkToFit="1"/>
    </xf>
    <xf numFmtId="0" fontId="10" fillId="6" borderId="414" xfId="0" applyNumberFormat="1" applyFont="1" applyFill="1" applyBorder="1" applyAlignment="1">
      <alignment horizontal="center" vertical="center" shrinkToFit="1"/>
    </xf>
    <xf numFmtId="13" fontId="10" fillId="6" borderId="415" xfId="0" applyNumberFormat="1" applyFont="1" applyFill="1" applyBorder="1" applyAlignment="1">
      <alignment horizontal="center" vertical="center" shrinkToFit="1"/>
    </xf>
    <xf numFmtId="0" fontId="9" fillId="6" borderId="416" xfId="0" applyFont="1" applyFill="1" applyBorder="1" applyAlignment="1">
      <alignment horizontal="center" vertical="center" shrinkToFit="1"/>
    </xf>
    <xf numFmtId="0" fontId="9" fillId="6" borderId="417" xfId="0" applyFont="1" applyFill="1" applyBorder="1" applyAlignment="1">
      <alignment horizontal="center" vertical="center" shrinkToFit="1"/>
    </xf>
    <xf numFmtId="13" fontId="10" fillId="6" borderId="418" xfId="0" applyNumberFormat="1" applyFont="1" applyFill="1" applyBorder="1" applyAlignment="1">
      <alignment horizontal="center" vertical="center" shrinkToFit="1"/>
    </xf>
    <xf numFmtId="165" fontId="10" fillId="6" borderId="419" xfId="0" applyNumberFormat="1" applyFont="1" applyFill="1" applyBorder="1" applyAlignment="1">
      <alignment horizontal="center" vertical="center" shrinkToFit="1"/>
    </xf>
    <xf numFmtId="165" fontId="9" fillId="6" borderId="420" xfId="0" applyNumberFormat="1" applyFont="1" applyFill="1" applyBorder="1" applyAlignment="1">
      <alignment horizontal="center" vertical="center" shrinkToFit="1"/>
    </xf>
    <xf numFmtId="0" fontId="9" fillId="6" borderId="421" xfId="0" applyNumberFormat="1" applyFont="1" applyFill="1" applyBorder="1" applyAlignment="1">
      <alignment horizontal="center" vertical="center" shrinkToFit="1"/>
    </xf>
    <xf numFmtId="0" fontId="10" fillId="6" borderId="422" xfId="0" applyNumberFormat="1" applyFont="1" applyFill="1" applyBorder="1" applyAlignment="1">
      <alignment horizontal="center" vertical="center" shrinkToFit="1"/>
    </xf>
    <xf numFmtId="0" fontId="10" fillId="6" borderId="423" xfId="0" applyNumberFormat="1" applyFont="1" applyFill="1" applyBorder="1" applyAlignment="1">
      <alignment horizontal="center" vertical="center" shrinkToFit="1"/>
    </xf>
    <xf numFmtId="0" fontId="9" fillId="6" borderId="415" xfId="0" applyNumberFormat="1" applyFont="1" applyFill="1" applyBorder="1" applyAlignment="1">
      <alignment horizontal="center" vertical="center" shrinkToFit="1"/>
    </xf>
    <xf numFmtId="165" fontId="9" fillId="6" borderId="424" xfId="0" applyNumberFormat="1" applyFont="1" applyFill="1" applyBorder="1" applyAlignment="1">
      <alignment horizontal="center" vertical="center" shrinkToFit="1"/>
    </xf>
    <xf numFmtId="166" fontId="9" fillId="6" borderId="422" xfId="0" applyNumberFormat="1" applyFont="1" applyFill="1" applyBorder="1" applyAlignment="1">
      <alignment horizontal="center" vertical="center" shrinkToFit="1"/>
    </xf>
    <xf numFmtId="0" fontId="18" fillId="6" borderId="425" xfId="0" applyNumberFormat="1" applyFont="1" applyFill="1" applyBorder="1" applyAlignment="1">
      <alignment horizontal="center" vertical="center" shrinkToFit="1"/>
    </xf>
    <xf numFmtId="165" fontId="9" fillId="6" borderId="426" xfId="0" applyNumberFormat="1" applyFont="1" applyFill="1" applyBorder="1" applyAlignment="1">
      <alignment horizontal="center" vertical="center" shrinkToFit="1"/>
    </xf>
    <xf numFmtId="0" fontId="9" fillId="6" borderId="427" xfId="0" applyNumberFormat="1" applyFont="1" applyFill="1" applyBorder="1" applyAlignment="1">
      <alignment horizontal="center" vertical="center" shrinkToFit="1"/>
    </xf>
    <xf numFmtId="0" fontId="9" fillId="6" borderId="428" xfId="0" applyNumberFormat="1" applyFont="1" applyFill="1" applyBorder="1" applyAlignment="1">
      <alignment horizontal="center" vertical="center" shrinkToFit="1"/>
    </xf>
    <xf numFmtId="0" fontId="9" fillId="6" borderId="429" xfId="0" applyFont="1" applyFill="1" applyBorder="1" applyAlignment="1">
      <alignment horizontal="center" vertical="center" shrinkToFit="1"/>
    </xf>
    <xf numFmtId="0" fontId="9" fillId="6" borderId="430" xfId="0" applyNumberFormat="1" applyFont="1" applyFill="1" applyBorder="1" applyAlignment="1">
      <alignment horizontal="center" vertical="center" shrinkToFit="1"/>
    </xf>
    <xf numFmtId="167" fontId="10" fillId="6" borderId="431" xfId="0" applyNumberFormat="1" applyFont="1" applyFill="1" applyBorder="1" applyAlignment="1">
      <alignment horizontal="center" vertical="center" shrinkToFit="1"/>
    </xf>
    <xf numFmtId="0" fontId="10" fillId="6" borderId="432" xfId="0" applyNumberFormat="1" applyFont="1" applyFill="1" applyBorder="1" applyAlignment="1">
      <alignment horizontal="center" vertical="center" shrinkToFit="1"/>
    </xf>
    <xf numFmtId="0" fontId="10" fillId="6" borderId="433" xfId="0" applyFont="1" applyFill="1" applyBorder="1" applyAlignment="1">
      <alignment horizontal="center" vertical="center" shrinkToFit="1"/>
    </xf>
    <xf numFmtId="0" fontId="10" fillId="6" borderId="434" xfId="0" applyFont="1" applyFill="1" applyBorder="1" applyAlignment="1">
      <alignment horizontal="center" vertical="center" shrinkToFit="1"/>
    </xf>
    <xf numFmtId="0" fontId="10" fillId="6" borderId="435" xfId="0" applyFont="1" applyFill="1" applyBorder="1" applyAlignment="1">
      <alignment horizontal="center" vertical="center" shrinkToFit="1"/>
    </xf>
    <xf numFmtId="0" fontId="10" fillId="6" borderId="436" xfId="0" applyNumberFormat="1" applyFont="1" applyFill="1" applyBorder="1" applyAlignment="1">
      <alignment horizontal="center" vertical="center" shrinkToFit="1"/>
    </xf>
    <xf numFmtId="0" fontId="10" fillId="6" borderId="438" xfId="0" applyNumberFormat="1" applyFont="1" applyFill="1" applyBorder="1" applyAlignment="1">
      <alignment horizontal="center" vertical="center" shrinkToFit="1"/>
    </xf>
    <xf numFmtId="166" fontId="10" fillId="6" borderId="437" xfId="0" applyNumberFormat="1" applyFont="1" applyFill="1" applyBorder="1" applyAlignment="1">
      <alignment horizontal="center" vertical="center" shrinkToFit="1"/>
    </xf>
    <xf numFmtId="166" fontId="10" fillId="6" borderId="423" xfId="0" applyNumberFormat="1" applyFont="1" applyFill="1" applyBorder="1" applyAlignment="1">
      <alignment horizontal="center" vertical="center" shrinkToFit="1"/>
    </xf>
    <xf numFmtId="167" fontId="18" fillId="6" borderId="439" xfId="0" applyNumberFormat="1" applyFont="1" applyFill="1" applyBorder="1" applyAlignment="1">
      <alignment horizontal="center" vertical="center" shrinkToFit="1"/>
    </xf>
    <xf numFmtId="0" fontId="10" fillId="6" borderId="440" xfId="0" applyFont="1" applyFill="1" applyBorder="1" applyAlignment="1">
      <alignment horizontal="center" vertical="center" shrinkToFit="1"/>
    </xf>
    <xf numFmtId="1" fontId="10" fillId="6" borderId="441" xfId="0" applyNumberFormat="1" applyFont="1" applyFill="1" applyBorder="1" applyAlignment="1">
      <alignment horizontal="center" vertical="center" shrinkToFit="1"/>
    </xf>
    <xf numFmtId="165" fontId="10" fillId="6" borderId="442" xfId="0" applyNumberFormat="1" applyFont="1" applyFill="1" applyBorder="1" applyAlignment="1">
      <alignment horizontal="center" vertical="center" shrinkToFit="1"/>
    </xf>
    <xf numFmtId="0" fontId="9" fillId="5" borderId="443" xfId="0" applyFont="1" applyFill="1" applyBorder="1" applyAlignment="1">
      <alignment horizontal="center" vertical="center" shrinkToFit="1"/>
    </xf>
    <xf numFmtId="0" fontId="9" fillId="5" borderId="456" xfId="0" applyFont="1" applyFill="1" applyBorder="1" applyAlignment="1">
      <alignment horizontal="center" vertical="center" shrinkToFit="1"/>
    </xf>
    <xf numFmtId="0" fontId="18" fillId="5" borderId="552" xfId="0" applyNumberFormat="1" applyFont="1" applyFill="1" applyBorder="1" applyAlignment="1">
      <alignment horizontal="center" vertical="center" shrinkToFit="1"/>
    </xf>
    <xf numFmtId="0" fontId="18" fillId="5" borderId="553" xfId="0" applyNumberFormat="1" applyFont="1" applyFill="1" applyBorder="1" applyAlignment="1">
      <alignment horizontal="center" vertical="center" shrinkToFit="1"/>
    </xf>
    <xf numFmtId="0" fontId="9" fillId="5" borderId="456" xfId="0" applyNumberFormat="1" applyFont="1" applyFill="1" applyBorder="1" applyAlignment="1">
      <alignment horizontal="center" vertical="center" shrinkToFit="1"/>
    </xf>
    <xf numFmtId="0" fontId="9" fillId="5" borderId="444" xfId="0" applyFont="1" applyFill="1" applyBorder="1" applyAlignment="1">
      <alignment horizontal="center" vertical="center" shrinkToFit="1"/>
    </xf>
    <xf numFmtId="13" fontId="9" fillId="5" borderId="445" xfId="0" applyNumberFormat="1" applyFont="1" applyFill="1" applyBorder="1" applyAlignment="1">
      <alignment horizontal="center" vertical="center" shrinkToFit="1"/>
    </xf>
    <xf numFmtId="0" fontId="9" fillId="5" borderId="446" xfId="0" applyFont="1" applyFill="1" applyBorder="1" applyAlignment="1">
      <alignment horizontal="center" vertical="center" shrinkToFit="1"/>
    </xf>
    <xf numFmtId="0" fontId="10" fillId="5" borderId="447" xfId="0" applyNumberFormat="1" applyFont="1" applyFill="1" applyBorder="1" applyAlignment="1">
      <alignment horizontal="center" vertical="center" shrinkToFit="1"/>
    </xf>
    <xf numFmtId="13" fontId="10" fillId="5" borderId="448" xfId="0" applyNumberFormat="1" applyFont="1" applyFill="1" applyBorder="1" applyAlignment="1">
      <alignment horizontal="center" vertical="center" shrinkToFit="1"/>
    </xf>
    <xf numFmtId="0" fontId="9" fillId="5" borderId="449" xfId="0" applyFont="1" applyFill="1" applyBorder="1" applyAlignment="1">
      <alignment horizontal="center" vertical="center" shrinkToFit="1"/>
    </xf>
    <xf numFmtId="0" fontId="9" fillId="5" borderId="450" xfId="0" applyFont="1" applyFill="1" applyBorder="1" applyAlignment="1">
      <alignment horizontal="center" vertical="center" shrinkToFit="1"/>
    </xf>
    <xf numFmtId="13" fontId="10" fillId="5" borderId="451" xfId="0" applyNumberFormat="1" applyFont="1" applyFill="1" applyBorder="1" applyAlignment="1">
      <alignment horizontal="center" vertical="center" shrinkToFit="1"/>
    </xf>
    <xf numFmtId="165" fontId="10" fillId="5" borderId="452" xfId="0" applyNumberFormat="1" applyFont="1" applyFill="1" applyBorder="1" applyAlignment="1">
      <alignment horizontal="center" vertical="center" shrinkToFit="1"/>
    </xf>
    <xf numFmtId="165" fontId="9" fillId="5" borderId="453" xfId="0" applyNumberFormat="1" applyFont="1" applyFill="1" applyBorder="1" applyAlignment="1">
      <alignment horizontal="center" vertical="center" shrinkToFit="1"/>
    </xf>
    <xf numFmtId="0" fontId="9" fillId="5" borderId="454" xfId="0" applyNumberFormat="1" applyFont="1" applyFill="1" applyBorder="1" applyAlignment="1">
      <alignment horizontal="center" vertical="center" shrinkToFit="1"/>
    </xf>
    <xf numFmtId="0" fontId="10" fillId="5" borderId="455" xfId="0" applyNumberFormat="1" applyFont="1" applyFill="1" applyBorder="1" applyAlignment="1">
      <alignment horizontal="center" vertical="center" shrinkToFit="1"/>
    </xf>
    <xf numFmtId="0" fontId="10" fillId="5" borderId="456" xfId="0" applyNumberFormat="1" applyFont="1" applyFill="1" applyBorder="1" applyAlignment="1">
      <alignment horizontal="center" vertical="center" shrinkToFit="1"/>
    </xf>
    <xf numFmtId="0" fontId="9" fillId="5" borderId="448" xfId="0" applyNumberFormat="1" applyFont="1" applyFill="1" applyBorder="1" applyAlignment="1">
      <alignment horizontal="center" vertical="center" shrinkToFit="1"/>
    </xf>
    <xf numFmtId="165" fontId="9" fillId="5" borderId="457" xfId="0" applyNumberFormat="1" applyFont="1" applyFill="1" applyBorder="1" applyAlignment="1">
      <alignment horizontal="center" vertical="center" shrinkToFit="1"/>
    </xf>
    <xf numFmtId="166" fontId="9" fillId="5" borderId="455" xfId="0" applyNumberFormat="1" applyFont="1" applyFill="1" applyBorder="1" applyAlignment="1">
      <alignment horizontal="center" vertical="center" shrinkToFit="1"/>
    </xf>
    <xf numFmtId="170" fontId="18" fillId="5" borderId="458" xfId="0" applyNumberFormat="1" applyFont="1" applyFill="1" applyBorder="1" applyAlignment="1">
      <alignment horizontal="center" vertical="center" shrinkToFit="1"/>
    </xf>
    <xf numFmtId="165" fontId="9" fillId="5" borderId="454" xfId="0" applyNumberFormat="1" applyFont="1" applyFill="1" applyBorder="1" applyAlignment="1">
      <alignment horizontal="center" vertical="center" shrinkToFit="1"/>
    </xf>
    <xf numFmtId="0" fontId="9" fillId="5" borderId="459" xfId="0" applyNumberFormat="1" applyFont="1" applyFill="1" applyBorder="1" applyAlignment="1">
      <alignment horizontal="center" vertical="center" shrinkToFit="1"/>
    </xf>
    <xf numFmtId="0" fontId="9" fillId="5" borderId="460" xfId="0" applyNumberFormat="1" applyFont="1" applyFill="1" applyBorder="1" applyAlignment="1">
      <alignment horizontal="center" vertical="center" shrinkToFit="1"/>
    </xf>
    <xf numFmtId="0" fontId="9" fillId="5" borderId="461" xfId="0" applyFont="1" applyFill="1" applyBorder="1" applyAlignment="1">
      <alignment horizontal="center" vertical="center" shrinkToFit="1"/>
    </xf>
    <xf numFmtId="0" fontId="9" fillId="5" borderId="462" xfId="0" applyNumberFormat="1" applyFont="1" applyFill="1" applyBorder="1" applyAlignment="1">
      <alignment horizontal="center" vertical="center" shrinkToFit="1"/>
    </xf>
    <xf numFmtId="167" fontId="10" fillId="5" borderId="463" xfId="0" applyNumberFormat="1" applyFont="1" applyFill="1" applyBorder="1" applyAlignment="1">
      <alignment horizontal="center" vertical="center" shrinkToFit="1"/>
    </xf>
    <xf numFmtId="0" fontId="10" fillId="5" borderId="464" xfId="0" applyNumberFormat="1" applyFont="1" applyFill="1" applyBorder="1" applyAlignment="1">
      <alignment horizontal="center" vertical="center" shrinkToFit="1"/>
    </xf>
    <xf numFmtId="0" fontId="10" fillId="5" borderId="465" xfId="0" applyFont="1" applyFill="1" applyBorder="1" applyAlignment="1">
      <alignment horizontal="center" vertical="center" shrinkToFit="1"/>
    </xf>
    <xf numFmtId="0" fontId="10" fillId="5" borderId="466" xfId="0" applyFont="1" applyFill="1" applyBorder="1" applyAlignment="1">
      <alignment horizontal="center" vertical="center" shrinkToFit="1"/>
    </xf>
    <xf numFmtId="0" fontId="10" fillId="5" borderId="467" xfId="0" applyFont="1" applyFill="1" applyBorder="1" applyAlignment="1">
      <alignment horizontal="center" vertical="center" shrinkToFit="1"/>
    </xf>
    <xf numFmtId="0" fontId="10" fillId="5" borderId="468" xfId="0" applyNumberFormat="1" applyFont="1" applyFill="1" applyBorder="1" applyAlignment="1">
      <alignment horizontal="center" vertical="center" shrinkToFit="1"/>
    </xf>
    <xf numFmtId="0" fontId="10" fillId="5" borderId="470" xfId="0" applyNumberFormat="1" applyFont="1" applyFill="1" applyBorder="1" applyAlignment="1">
      <alignment horizontal="center" vertical="center" shrinkToFit="1"/>
    </xf>
    <xf numFmtId="166" fontId="10" fillId="5" borderId="469" xfId="0" applyNumberFormat="1" applyFont="1" applyFill="1" applyBorder="1" applyAlignment="1">
      <alignment horizontal="center" vertical="center" shrinkToFit="1"/>
    </xf>
    <xf numFmtId="166" fontId="10" fillId="5" borderId="473" xfId="0" applyNumberFormat="1" applyFont="1" applyFill="1" applyBorder="1" applyAlignment="1">
      <alignment horizontal="center" vertical="center" shrinkToFit="1"/>
    </xf>
    <xf numFmtId="167" fontId="18" fillId="5" borderId="471" xfId="0" applyNumberFormat="1" applyFont="1" applyFill="1" applyBorder="1" applyAlignment="1">
      <alignment horizontal="center" vertical="center" shrinkToFit="1"/>
    </xf>
    <xf numFmtId="0" fontId="10" fillId="5" borderId="472" xfId="0" applyFont="1" applyFill="1" applyBorder="1" applyAlignment="1">
      <alignment horizontal="center" vertical="center" shrinkToFit="1"/>
    </xf>
    <xf numFmtId="1" fontId="10" fillId="5" borderId="473" xfId="0" applyNumberFormat="1" applyFont="1" applyFill="1" applyBorder="1" applyAlignment="1">
      <alignment horizontal="center" vertical="center" shrinkToFit="1"/>
    </xf>
    <xf numFmtId="165" fontId="10" fillId="5" borderId="474" xfId="0" applyNumberFormat="1" applyFont="1" applyFill="1" applyBorder="1" applyAlignment="1">
      <alignment horizontal="center" vertical="center" shrinkToFit="1"/>
    </xf>
  </cellXfs>
  <cellStyles count="3">
    <cellStyle name="Normal" xfId="0" builtinId="0"/>
    <cellStyle name="Normal 2" xfId="1"/>
    <cellStyle name="Normal 3" xfId="2"/>
  </cellStyles>
  <dxfs count="2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238124</xdr:colOff>
      <xdr:row>4</xdr:row>
      <xdr:rowOff>11339</xdr:rowOff>
    </xdr:from>
    <xdr:to>
      <xdr:col>36</xdr:col>
      <xdr:colOff>464910</xdr:colOff>
      <xdr:row>5</xdr:row>
      <xdr:rowOff>306160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4999" y="782864"/>
          <a:ext cx="903061" cy="5138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238124</xdr:colOff>
      <xdr:row>4</xdr:row>
      <xdr:rowOff>11339</xdr:rowOff>
    </xdr:from>
    <xdr:to>
      <xdr:col>36</xdr:col>
      <xdr:colOff>464910</xdr:colOff>
      <xdr:row>5</xdr:row>
      <xdr:rowOff>306160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64074" y="782864"/>
          <a:ext cx="903061" cy="5138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28575</xdr:colOff>
      <xdr:row>0</xdr:row>
      <xdr:rowOff>76200</xdr:rowOff>
    </xdr:from>
    <xdr:to>
      <xdr:col>28</xdr:col>
      <xdr:colOff>581025</xdr:colOff>
      <xdr:row>3</xdr:row>
      <xdr:rowOff>476250</xdr:rowOff>
    </xdr:to>
    <xdr:pic>
      <xdr:nvPicPr>
        <xdr:cNvPr id="2" name="Picture 1" descr="YOKE DIMS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68575" y="76200"/>
          <a:ext cx="2381250" cy="781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rm%20Bracket%20Design_Version_101617_Unprotect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ation/Arms/Design/Arm%20Bracket%20Design_Version_080817_Latest_Unprotected-MA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banskota\Desktop\arm%20connection%20design%202%202c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rm%20Bracket%20Design_Version_110717_Unprotec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WT Std"/>
      <sheetName val="New Std_Old"/>
      <sheetName val="New Std"/>
      <sheetName val="Sheet2"/>
      <sheetName val="Sheet1 (5)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/>
      <sheetData sheetId="2"/>
      <sheetData sheetId="3"/>
      <sheetData sheetId="4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1.875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WT Std"/>
      <sheetName val="New Std"/>
      <sheetName val="Sheet2"/>
      <sheetName val="Sheet1 (5)"/>
      <sheetName val="New Std072617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/>
      <sheetData sheetId="2" refreshError="1"/>
      <sheetData sheetId="3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2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onnection"/>
      <sheetName val="Analyze"/>
      <sheetName val="Misc"/>
      <sheetName val="Arm"/>
      <sheetName val="Std Arm Connections"/>
    </sheetNames>
    <sheetDataSet>
      <sheetData sheetId="0"/>
      <sheetData sheetId="1"/>
      <sheetData sheetId="2">
        <row r="23">
          <cell r="C23">
            <v>232.37</v>
          </cell>
        </row>
        <row r="24">
          <cell r="C24">
            <v>290.26</v>
          </cell>
        </row>
        <row r="25">
          <cell r="C25">
            <v>40.9</v>
          </cell>
        </row>
        <row r="26">
          <cell r="C26">
            <v>6.43</v>
          </cell>
        </row>
        <row r="27">
          <cell r="C27">
            <v>16.71</v>
          </cell>
        </row>
        <row r="28">
          <cell r="C28">
            <v>24.06</v>
          </cell>
        </row>
        <row r="82">
          <cell r="U82">
            <v>49.75</v>
          </cell>
        </row>
        <row r="83">
          <cell r="U83">
            <v>13.330472323448355</v>
          </cell>
        </row>
        <row r="84">
          <cell r="U84">
            <v>36.419527676551645</v>
          </cell>
        </row>
        <row r="85">
          <cell r="U85">
            <v>23</v>
          </cell>
        </row>
        <row r="89">
          <cell r="U89">
            <v>44.167295593006372</v>
          </cell>
        </row>
        <row r="90">
          <cell r="R90">
            <v>3</v>
          </cell>
        </row>
        <row r="91">
          <cell r="U91">
            <v>5.7913522034968139</v>
          </cell>
        </row>
      </sheetData>
      <sheetData sheetId="3"/>
      <sheetData sheetId="4">
        <row r="15">
          <cell r="N15">
            <v>0.25</v>
          </cell>
        </row>
        <row r="54">
          <cell r="H54">
            <v>0.49999999999999994</v>
          </cell>
        </row>
        <row r="55">
          <cell r="H55">
            <v>0.86602540378443871</v>
          </cell>
        </row>
        <row r="56">
          <cell r="H56">
            <v>0.57735026918962573</v>
          </cell>
        </row>
        <row r="71">
          <cell r="H71">
            <v>0.92387953199999995</v>
          </cell>
        </row>
        <row r="72">
          <cell r="H72">
            <v>0.41421356199999998</v>
          </cell>
        </row>
      </sheetData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WT Std"/>
      <sheetName val="New Std_Old"/>
      <sheetName val="New Std"/>
      <sheetName val="Sheet2"/>
      <sheetName val="Sheet1 (5)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 refreshError="1"/>
      <sheetData sheetId="2" refreshError="1"/>
      <sheetData sheetId="3"/>
      <sheetData sheetId="4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1.875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5" refreshError="1"/>
    </sheetDataSet>
  </externalBook>
</externalLink>
</file>

<file path=xl/tables/table1.xml><?xml version="1.0" encoding="utf-8"?>
<table xmlns="http://schemas.openxmlformats.org/spreadsheetml/2006/main" id="1" name="ElementMap" displayName="ElementMap_1" ref="A1:E29" totalsRowShown="0">
  <autoFilter ref="A1:E29"/>
  <tableColumns count="5">
    <tableColumn id="1" name="Description" dataDxfId="22"/>
    <tableColumn id="2" name="Address" dataDxfId="21"/>
    <tableColumn id="3" name="Element Name"/>
    <tableColumn id="5" name="Column1" dataDxfId="20">
      <calculatedColumnFormula>CODE($E2) - 64</calculatedColumnFormula>
    </tableColumn>
    <tableColumn id="4" name="Column" dataDxfId="1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BT42"/>
  <sheetViews>
    <sheetView zoomScale="84" zoomScaleNormal="84" workbookViewId="0">
      <pane ySplit="6" topLeftCell="A7" activePane="bottomLeft" state="frozen"/>
      <selection pane="bottomLeft" activeCell="F2" sqref="F2"/>
    </sheetView>
  </sheetViews>
  <sheetFormatPr defaultRowHeight="15" x14ac:dyDescent="0.25"/>
  <cols>
    <col min="1" max="1" width="1.7109375" customWidth="1"/>
    <col min="2" max="5" width="7.7109375" customWidth="1"/>
    <col min="6" max="6" width="7.140625" customWidth="1"/>
    <col min="7" max="7" width="8.5703125" customWidth="1"/>
    <col min="8" max="8" width="5.85546875" customWidth="1"/>
    <col min="9" max="9" width="8" customWidth="1"/>
    <col min="10" max="10" width="6.42578125" customWidth="1"/>
    <col min="11" max="11" width="7.28515625" customWidth="1"/>
    <col min="12" max="13" width="8.7109375" customWidth="1"/>
    <col min="14" max="14" width="6.7109375" customWidth="1"/>
    <col min="15" max="15" width="7.5703125" customWidth="1"/>
    <col min="16" max="16" width="7" customWidth="1"/>
    <col min="17" max="17" width="7.140625" customWidth="1"/>
    <col min="18" max="18" width="7.5703125" customWidth="1"/>
    <col min="19" max="19" width="7.28515625" customWidth="1"/>
    <col min="20" max="20" width="7" customWidth="1"/>
    <col min="21" max="21" width="5.42578125" customWidth="1"/>
    <col min="22" max="23" width="7.42578125" customWidth="1"/>
    <col min="24" max="24" width="8" customWidth="1"/>
    <col min="25" max="25" width="7.140625" customWidth="1"/>
    <col min="26" max="26" width="6" customWidth="1"/>
    <col min="27" max="27" width="7.5703125" customWidth="1"/>
    <col min="28" max="28" width="7.140625" customWidth="1"/>
    <col min="29" max="29" width="7.85546875" customWidth="1"/>
    <col min="30" max="30" width="6.42578125" customWidth="1"/>
    <col min="31" max="32" width="7.140625" customWidth="1"/>
    <col min="33" max="33" width="8.28515625" customWidth="1"/>
    <col min="34" max="34" width="8.85546875" customWidth="1"/>
    <col min="35" max="35" width="8.140625" customWidth="1"/>
    <col min="36" max="36" width="10.140625" customWidth="1"/>
    <col min="37" max="37" width="9.5703125" customWidth="1"/>
    <col min="38" max="39" width="7.7109375" customWidth="1"/>
    <col min="40" max="40" width="7.5703125" customWidth="1"/>
    <col min="41" max="41" width="21.42578125" customWidth="1"/>
    <col min="42" max="42" width="9.5703125" customWidth="1"/>
    <col min="43" max="43" width="9.42578125" customWidth="1"/>
    <col min="44" max="44" width="13.5703125" style="2" customWidth="1"/>
    <col min="46" max="46" width="10.5703125" customWidth="1"/>
    <col min="50" max="51" width="12.7109375" customWidth="1"/>
    <col min="58" max="58" width="9" customWidth="1"/>
    <col min="59" max="59" width="10.85546875" customWidth="1"/>
  </cols>
  <sheetData>
    <row r="2" spans="2:72" x14ac:dyDescent="0.25">
      <c r="B2" s="9" t="s">
        <v>134</v>
      </c>
      <c r="C2" s="9"/>
      <c r="G2" s="697">
        <v>43024</v>
      </c>
      <c r="H2" s="697"/>
    </row>
    <row r="3" spans="2:72" ht="15.75" thickBot="1" x14ac:dyDescent="0.3">
      <c r="BE3" s="698" t="s">
        <v>306</v>
      </c>
      <c r="BF3" s="698"/>
      <c r="BG3" s="698"/>
      <c r="BH3" s="698"/>
      <c r="BI3" s="698"/>
      <c r="BJ3" s="698"/>
    </row>
    <row r="4" spans="2:72" ht="15" customHeight="1" x14ac:dyDescent="0.25">
      <c r="B4" s="699" t="s">
        <v>135</v>
      </c>
      <c r="C4" s="700"/>
      <c r="D4" s="700"/>
      <c r="E4" s="700"/>
      <c r="F4" s="701"/>
      <c r="G4" s="702" t="s">
        <v>136</v>
      </c>
      <c r="H4" s="703"/>
      <c r="I4" s="703"/>
      <c r="J4" s="703"/>
      <c r="K4" s="704"/>
      <c r="L4" s="705" t="s">
        <v>137</v>
      </c>
      <c r="M4" s="706"/>
      <c r="N4" s="706"/>
      <c r="O4" s="706"/>
      <c r="P4" s="706"/>
      <c r="Q4" s="707" t="s">
        <v>138</v>
      </c>
      <c r="R4" s="708"/>
      <c r="S4" s="708"/>
      <c r="T4" s="709"/>
      <c r="U4" s="710" t="s">
        <v>139</v>
      </c>
      <c r="V4" s="710"/>
      <c r="W4" s="710"/>
      <c r="X4" s="710"/>
      <c r="Y4" s="710"/>
      <c r="Z4" s="707" t="s">
        <v>140</v>
      </c>
      <c r="AA4" s="703"/>
      <c r="AB4" s="703"/>
      <c r="AC4" s="703"/>
      <c r="AD4" s="703"/>
      <c r="AE4" s="703"/>
      <c r="AF4" s="703"/>
      <c r="AG4" s="703"/>
      <c r="AH4" s="703"/>
      <c r="AI4" s="704"/>
      <c r="AJ4" s="710" t="s">
        <v>141</v>
      </c>
      <c r="AK4" s="706"/>
      <c r="AL4" s="706"/>
      <c r="AM4" s="706"/>
      <c r="AN4" s="706"/>
      <c r="AO4" s="706"/>
      <c r="AP4" s="706"/>
      <c r="AQ4" s="711"/>
      <c r="BH4">
        <v>0.3125</v>
      </c>
      <c r="BJ4" t="s">
        <v>307</v>
      </c>
    </row>
    <row r="5" spans="2:72" ht="17.25" customHeight="1" x14ac:dyDescent="0.25">
      <c r="B5" s="693" t="s">
        <v>261</v>
      </c>
      <c r="C5" s="694"/>
      <c r="D5" s="693" t="s">
        <v>262</v>
      </c>
      <c r="E5" s="695"/>
      <c r="F5" s="694" t="s">
        <v>144</v>
      </c>
      <c r="G5" s="691" t="s">
        <v>145</v>
      </c>
      <c r="H5" s="684" t="s">
        <v>146</v>
      </c>
      <c r="I5" s="684" t="s">
        <v>147</v>
      </c>
      <c r="J5" s="684" t="s">
        <v>148</v>
      </c>
      <c r="K5" s="692" t="s">
        <v>149</v>
      </c>
      <c r="L5" s="688" t="s">
        <v>150</v>
      </c>
      <c r="M5" s="689" t="s">
        <v>151</v>
      </c>
      <c r="N5" s="689" t="s">
        <v>146</v>
      </c>
      <c r="O5" s="689" t="s">
        <v>147</v>
      </c>
      <c r="P5" s="690" t="s">
        <v>152</v>
      </c>
      <c r="Q5" s="691" t="s">
        <v>153</v>
      </c>
      <c r="R5" s="684" t="s">
        <v>154</v>
      </c>
      <c r="S5" s="684" t="s">
        <v>263</v>
      </c>
      <c r="T5" s="692" t="s">
        <v>264</v>
      </c>
      <c r="U5" s="688" t="s">
        <v>156</v>
      </c>
      <c r="V5" s="689" t="s">
        <v>146</v>
      </c>
      <c r="W5" s="689" t="s">
        <v>157</v>
      </c>
      <c r="X5" s="689" t="s">
        <v>147</v>
      </c>
      <c r="Y5" s="690" t="s">
        <v>158</v>
      </c>
      <c r="Z5" s="691" t="s">
        <v>159</v>
      </c>
      <c r="AA5" s="684" t="s">
        <v>160</v>
      </c>
      <c r="AB5" s="684" t="s">
        <v>161</v>
      </c>
      <c r="AC5" s="684" t="s">
        <v>162</v>
      </c>
      <c r="AD5" s="684" t="s">
        <v>163</v>
      </c>
      <c r="AE5" s="684" t="s">
        <v>164</v>
      </c>
      <c r="AF5" s="685" t="s">
        <v>165</v>
      </c>
      <c r="AG5" s="686"/>
      <c r="AH5" s="686"/>
      <c r="AI5" s="687"/>
      <c r="AJ5" s="688" t="s">
        <v>265</v>
      </c>
      <c r="AK5" s="689" t="s">
        <v>266</v>
      </c>
      <c r="AL5" s="689" t="s">
        <v>267</v>
      </c>
      <c r="AM5" s="690" t="s">
        <v>268</v>
      </c>
      <c r="AN5" s="688"/>
      <c r="AO5" s="689" t="s">
        <v>168</v>
      </c>
      <c r="AP5" s="689" t="s">
        <v>269</v>
      </c>
      <c r="AQ5" s="683" t="s">
        <v>270</v>
      </c>
      <c r="AS5">
        <v>0.45</v>
      </c>
      <c r="BH5" t="s">
        <v>308</v>
      </c>
      <c r="BI5" t="s">
        <v>309</v>
      </c>
      <c r="BJ5" t="s">
        <v>310</v>
      </c>
      <c r="BO5" t="s">
        <v>308</v>
      </c>
      <c r="BP5" t="s">
        <v>309</v>
      </c>
      <c r="BQ5" t="s">
        <v>310</v>
      </c>
      <c r="BR5" t="s">
        <v>308</v>
      </c>
      <c r="BS5" t="s">
        <v>309</v>
      </c>
      <c r="BT5" t="s">
        <v>310</v>
      </c>
    </row>
    <row r="6" spans="2:72" ht="52.5" customHeight="1" x14ac:dyDescent="0.25">
      <c r="B6" s="584" t="s">
        <v>271</v>
      </c>
      <c r="C6" s="585" t="s">
        <v>272</v>
      </c>
      <c r="D6" s="584" t="s">
        <v>271</v>
      </c>
      <c r="E6" s="583" t="s">
        <v>272</v>
      </c>
      <c r="F6" s="696"/>
      <c r="G6" s="691"/>
      <c r="H6" s="684"/>
      <c r="I6" s="684"/>
      <c r="J6" s="684"/>
      <c r="K6" s="692"/>
      <c r="L6" s="688"/>
      <c r="M6" s="689"/>
      <c r="N6" s="689"/>
      <c r="O6" s="689"/>
      <c r="P6" s="690"/>
      <c r="Q6" s="691"/>
      <c r="R6" s="684"/>
      <c r="S6" s="684"/>
      <c r="T6" s="692"/>
      <c r="U6" s="688"/>
      <c r="V6" s="689"/>
      <c r="W6" s="689"/>
      <c r="X6" s="689"/>
      <c r="Y6" s="690"/>
      <c r="Z6" s="691"/>
      <c r="AA6" s="684"/>
      <c r="AB6" s="684"/>
      <c r="AC6" s="684"/>
      <c r="AD6" s="684"/>
      <c r="AE6" s="684"/>
      <c r="AF6" s="586" t="s">
        <v>171</v>
      </c>
      <c r="AG6" s="587" t="s">
        <v>172</v>
      </c>
      <c r="AH6" s="588" t="s">
        <v>173</v>
      </c>
      <c r="AI6" s="589" t="s">
        <v>174</v>
      </c>
      <c r="AJ6" s="688"/>
      <c r="AK6" s="689"/>
      <c r="AL6" s="689"/>
      <c r="AM6" s="582" t="s">
        <v>273</v>
      </c>
      <c r="AN6" s="582" t="s">
        <v>274</v>
      </c>
      <c r="AO6" s="689"/>
      <c r="AP6" s="689"/>
      <c r="AQ6" s="683"/>
      <c r="AS6" t="s">
        <v>175</v>
      </c>
      <c r="AT6" t="s">
        <v>311</v>
      </c>
      <c r="AU6" t="s">
        <v>312</v>
      </c>
      <c r="AV6" s="669" t="s">
        <v>91</v>
      </c>
      <c r="AW6" s="669" t="s">
        <v>313</v>
      </c>
      <c r="AX6" s="669" t="s">
        <v>314</v>
      </c>
      <c r="AY6" s="669" t="s">
        <v>315</v>
      </c>
      <c r="AZ6" t="s">
        <v>176</v>
      </c>
      <c r="BA6" t="s">
        <v>177</v>
      </c>
      <c r="BB6" t="s">
        <v>178</v>
      </c>
      <c r="BD6" t="s">
        <v>316</v>
      </c>
      <c r="BE6" s="674" t="s">
        <v>317</v>
      </c>
      <c r="BF6" s="674" t="s">
        <v>318</v>
      </c>
      <c r="BG6" s="674" t="s">
        <v>319</v>
      </c>
      <c r="BH6" s="674" t="s">
        <v>320</v>
      </c>
      <c r="BI6" s="674" t="s">
        <v>320</v>
      </c>
      <c r="BJ6" s="674" t="s">
        <v>320</v>
      </c>
      <c r="BK6" s="2"/>
      <c r="BL6" s="674" t="s">
        <v>321</v>
      </c>
      <c r="BM6" s="674" t="s">
        <v>322</v>
      </c>
      <c r="BN6" s="674" t="s">
        <v>319</v>
      </c>
      <c r="BO6" s="674" t="s">
        <v>323</v>
      </c>
      <c r="BP6" s="674" t="s">
        <v>323</v>
      </c>
      <c r="BQ6" s="674" t="s">
        <v>323</v>
      </c>
      <c r="BR6" s="674" t="s">
        <v>323</v>
      </c>
      <c r="BS6" s="674" t="s">
        <v>323</v>
      </c>
      <c r="BT6" s="674" t="s">
        <v>323</v>
      </c>
    </row>
    <row r="7" spans="2:72" ht="14.25" customHeight="1" x14ac:dyDescent="0.25">
      <c r="B7" s="26">
        <v>4</v>
      </c>
      <c r="C7" s="590">
        <v>5</v>
      </c>
      <c r="D7" s="591">
        <v>4</v>
      </c>
      <c r="E7" s="36">
        <v>5.125</v>
      </c>
      <c r="F7" s="592">
        <v>0.1875</v>
      </c>
      <c r="G7" s="26" t="s">
        <v>3</v>
      </c>
      <c r="H7" s="27">
        <v>0.625</v>
      </c>
      <c r="I7" s="28">
        <v>65</v>
      </c>
      <c r="J7" s="35">
        <v>1.875</v>
      </c>
      <c r="K7" s="29">
        <f>P7+0.125</f>
        <v>7.125</v>
      </c>
      <c r="L7" s="30" t="s">
        <v>4</v>
      </c>
      <c r="M7" s="28" t="s">
        <v>5</v>
      </c>
      <c r="N7" s="31">
        <f t="shared" ref="N7:O34" si="0">H7</f>
        <v>0.625</v>
      </c>
      <c r="O7" s="32">
        <f t="shared" si="0"/>
        <v>65</v>
      </c>
      <c r="P7" s="33">
        <v>7</v>
      </c>
      <c r="Q7" s="34">
        <v>9</v>
      </c>
      <c r="R7" s="35">
        <f t="shared" ref="R7:R34" si="1">(INT(Z7/4)-1)*AB7+AA7</f>
        <v>3</v>
      </c>
      <c r="S7" s="35">
        <f>Q7/2-R7</f>
        <v>1.5</v>
      </c>
      <c r="T7" s="36">
        <f t="shared" ref="T7:T33" si="2">CEILING(1.3*AD7,0.25)</f>
        <v>1.5</v>
      </c>
      <c r="U7" s="37"/>
      <c r="V7" s="31"/>
      <c r="W7" s="38"/>
      <c r="X7" s="35"/>
      <c r="Y7" s="39"/>
      <c r="Z7" s="40">
        <v>4</v>
      </c>
      <c r="AA7" s="41">
        <v>3</v>
      </c>
      <c r="AB7" s="42">
        <v>6</v>
      </c>
      <c r="AC7" s="43" t="s">
        <v>6</v>
      </c>
      <c r="AD7" s="44">
        <v>1</v>
      </c>
      <c r="AE7" s="45">
        <f>AD7+0.125</f>
        <v>1.125</v>
      </c>
      <c r="AF7" s="46">
        <f t="shared" ref="AF7:AF34" si="3">CEILING(H7+N7+AD7+0.5,0.25)</f>
        <v>2.75</v>
      </c>
      <c r="AG7" s="47" t="s">
        <v>179</v>
      </c>
      <c r="AH7" s="48" t="s">
        <v>180</v>
      </c>
      <c r="AI7" s="49" t="s">
        <v>180</v>
      </c>
      <c r="AJ7" s="50">
        <f t="shared" ref="AJ7:AJ34" si="4">MAX(J7+2*T7+0.5,W7+2*T7+0.5)</f>
        <v>5.375</v>
      </c>
      <c r="AK7" s="51">
        <f t="shared" ref="AK7:AK34" si="5">MAX(J7+T7+0.5,W7+T7+0.5)+H7</f>
        <v>4.5</v>
      </c>
      <c r="AL7" s="593"/>
      <c r="AM7" s="594">
        <v>1</v>
      </c>
      <c r="AN7" s="52">
        <f>D7-2*F7-AM7-2*$BH$4</f>
        <v>2</v>
      </c>
      <c r="AO7" s="53" t="str">
        <f t="shared" ref="AO7:AO34" si="6" xml:space="preserve"> "PL "&amp;TRIM(TEXT(H7,"# ?/?"))&amp;" x " &amp;TRIM(TEXT(Q7,"# ?/?"))&amp; " x " &amp;TRIM(TEXT(AS7,"# ?/?"))</f>
        <v>PL 5/8 x 9 x 17 1/4</v>
      </c>
      <c r="AP7" s="54">
        <f>AV7+AX7</f>
        <v>27.518062500000003</v>
      </c>
      <c r="AQ7" s="55">
        <f>(AW7+AY7)*1.06</f>
        <v>28.126971729119877</v>
      </c>
      <c r="AS7" s="24">
        <f t="shared" ref="AS7:AS34" si="7">CEILING(2*AJ7+K7 - 4*J7+(J7+$AS$5*H7)*PI(),0.125)</f>
        <v>17.25</v>
      </c>
      <c r="AT7" s="24">
        <f>Z7*(AD7+0.125)^2*PI()/4</f>
        <v>3.9760782021995817</v>
      </c>
      <c r="AU7" s="24">
        <f>(AL7^2+2*AM7^2)*PI()/4</f>
        <v>1.5707963267948966</v>
      </c>
      <c r="AV7" s="25">
        <f t="shared" ref="AV7:AV34" si="8">H7*Q7*AS7*0.2836</f>
        <v>27.518062500000003</v>
      </c>
      <c r="AW7" s="25">
        <f>H7*(Q7*AS7-AT7-AU7)*0.2836</f>
        <v>26.534878989735731</v>
      </c>
      <c r="AX7" s="25">
        <f>2*V7*(W7*P7-J7^2*(2-PI()/2))*0.2836</f>
        <v>0</v>
      </c>
      <c r="AY7" s="25">
        <f>2*V7*((W7+0.5)*P7-J7^2*(2-PI()/2)-2.5708)*0.2836</f>
        <v>0</v>
      </c>
      <c r="AZ7" s="25">
        <f t="shared" ref="AZ7:AZ34" si="9">(E7-2*F7-(K7-2*J7))/2</f>
        <v>0.6875</v>
      </c>
      <c r="BA7" s="25">
        <f t="shared" ref="BA7:BA34" si="10">J7+H7</f>
        <v>2.5</v>
      </c>
      <c r="BB7">
        <f>BA7-SQRT(BA7^2-AZ7^2)</f>
        <v>9.6389434621323655E-2</v>
      </c>
      <c r="BD7">
        <f>F7</f>
        <v>0.1875</v>
      </c>
      <c r="BE7">
        <f>D7-2*F7</f>
        <v>3.625</v>
      </c>
      <c r="BF7">
        <f>E7-2*BD7</f>
        <v>4.75</v>
      </c>
      <c r="BG7">
        <f>BF7/COS(PI()/18)</f>
        <v>4.8232764064572891</v>
      </c>
      <c r="BH7" s="675">
        <f>(BE7-AN7-AM7)/2</f>
        <v>0.3125</v>
      </c>
      <c r="BI7">
        <f>(BF7-AN7-AM7)/2</f>
        <v>0.875</v>
      </c>
      <c r="BJ7">
        <f>(BG7-AN7-AM7)/2</f>
        <v>0.91163820322864453</v>
      </c>
      <c r="BL7">
        <f t="shared" ref="BL7:BL25" si="11">1.154700538*(B7-2*F7)-1.237604307*F7</f>
        <v>3.9537386426874996</v>
      </c>
      <c r="BM7">
        <f t="shared" ref="BM7:BM25" si="12">1.154700538*(C7-2*BD7)-1.237604307*BD7</f>
        <v>5.1084391806875002</v>
      </c>
      <c r="BN7">
        <f>BM7/COS(PI()/18)</f>
        <v>5.1872450892698998</v>
      </c>
      <c r="BO7">
        <f t="shared" ref="BO7:BO25" si="13">(BL7-AN7-AM7)/2</f>
        <v>0.47686932134374982</v>
      </c>
      <c r="BP7">
        <f t="shared" ref="BP7:BP25" si="14">(BM7-AN7-AM7)/2</f>
        <v>1.0542195903437501</v>
      </c>
      <c r="BQ7">
        <f t="shared" ref="BQ7:BQ25" si="15">(BN7-AN7-AM7)/2</f>
        <v>1.0936225446349499</v>
      </c>
      <c r="BR7">
        <f t="shared" ref="BR7:BR25" si="16">((B7-2*F7)-0.8660254038*AN7)/2-AM7/2</f>
        <v>0.44647459619999996</v>
      </c>
      <c r="BS7">
        <f t="shared" ref="BS7:BS25" si="17">((C7-2*BD7)-0.8660254038*AN7)/2-AM7/2</f>
        <v>0.94647459619999985</v>
      </c>
      <c r="BT7">
        <f t="shared" ref="BT7:BT25" si="18">((C7-2*BD7)/COS(PI()/18)-0.8660254038*AN7)/2-AM7/2</f>
        <v>0.98214863618578541</v>
      </c>
    </row>
    <row r="8" spans="2:72" ht="14.25" customHeight="1" x14ac:dyDescent="0.25">
      <c r="B8" s="10">
        <v>5</v>
      </c>
      <c r="C8" s="595">
        <v>6</v>
      </c>
      <c r="D8" s="596">
        <v>5.25</v>
      </c>
      <c r="E8" s="20">
        <v>6</v>
      </c>
      <c r="F8" s="597">
        <v>0.3125</v>
      </c>
      <c r="G8" s="10" t="s">
        <v>7</v>
      </c>
      <c r="H8" s="11">
        <v>0.625</v>
      </c>
      <c r="I8" s="12">
        <v>65</v>
      </c>
      <c r="J8" s="19">
        <v>1.875</v>
      </c>
      <c r="K8" s="13">
        <f t="shared" ref="K8:K34" si="19">P8+0.125</f>
        <v>8.125</v>
      </c>
      <c r="L8" s="14" t="s">
        <v>8</v>
      </c>
      <c r="M8" s="12" t="s">
        <v>9</v>
      </c>
      <c r="N8" s="15">
        <f t="shared" si="0"/>
        <v>0.625</v>
      </c>
      <c r="O8" s="16">
        <f t="shared" si="0"/>
        <v>65</v>
      </c>
      <c r="P8" s="17">
        <v>8</v>
      </c>
      <c r="Q8" s="18">
        <v>12</v>
      </c>
      <c r="R8" s="19">
        <f t="shared" si="1"/>
        <v>4.5</v>
      </c>
      <c r="S8" s="19">
        <f t="shared" ref="S8:S34" si="20">Q8/2-R8</f>
        <v>1.5</v>
      </c>
      <c r="T8" s="20">
        <f t="shared" si="2"/>
        <v>1.5</v>
      </c>
      <c r="U8" s="21"/>
      <c r="V8" s="15"/>
      <c r="W8" s="22"/>
      <c r="X8" s="19"/>
      <c r="Y8" s="23"/>
      <c r="Z8" s="56">
        <v>6</v>
      </c>
      <c r="AA8" s="57">
        <v>4.5</v>
      </c>
      <c r="AB8" s="58">
        <v>4.5</v>
      </c>
      <c r="AC8" s="59" t="s">
        <v>6</v>
      </c>
      <c r="AD8" s="60">
        <v>1</v>
      </c>
      <c r="AE8" s="61">
        <f t="shared" ref="AE8:AE34" si="21">AD8+0.125</f>
        <v>1.125</v>
      </c>
      <c r="AF8" s="62">
        <f t="shared" si="3"/>
        <v>2.75</v>
      </c>
      <c r="AG8" s="63" t="s">
        <v>179</v>
      </c>
      <c r="AH8" s="64" t="s">
        <v>180</v>
      </c>
      <c r="AI8" s="65" t="s">
        <v>180</v>
      </c>
      <c r="AJ8" s="66">
        <f t="shared" si="4"/>
        <v>5.375</v>
      </c>
      <c r="AK8" s="67">
        <f t="shared" si="5"/>
        <v>4.5</v>
      </c>
      <c r="AL8" s="598">
        <v>1.25</v>
      </c>
      <c r="AM8" s="599">
        <v>1</v>
      </c>
      <c r="AN8" s="68">
        <f t="shared" ref="AN8:AN34" si="22">D8-2*F8-AM8-2*$BH$4</f>
        <v>3</v>
      </c>
      <c r="AO8" s="69" t="str">
        <f t="shared" si="6"/>
        <v>PL 5/8 x 12 x 18 1/4</v>
      </c>
      <c r="AP8" s="70">
        <f t="shared" ref="AP8:AP34" si="23">AV8+AX8</f>
        <v>38.817750000000004</v>
      </c>
      <c r="AQ8" s="71">
        <f t="shared" ref="AQ8:AQ34" si="24">(AW8+AY8)*1.06</f>
        <v>39.500548168344231</v>
      </c>
      <c r="AS8" s="24">
        <f t="shared" si="7"/>
        <v>18.25</v>
      </c>
      <c r="AT8" s="24">
        <f t="shared" ref="AT8:AT34" si="25">Z8*(AD8+0.125)^2*PI()/4</f>
        <v>5.9641173032993731</v>
      </c>
      <c r="AU8" s="24">
        <f t="shared" ref="AU8:AU34" si="26">(AL8^2+2*AM8^2)*PI()/4</f>
        <v>2.7979809571034093</v>
      </c>
      <c r="AV8" s="25">
        <f t="shared" si="8"/>
        <v>38.817750000000004</v>
      </c>
      <c r="AW8" s="25">
        <f t="shared" ref="AW8:AW34" si="27">H8*(Q8*AS8-AT8-AU8)*0.2836</f>
        <v>37.264668083343615</v>
      </c>
      <c r="AX8" s="25">
        <f t="shared" ref="AX8:AX14" si="28">2*V8*(W8*P8-J8^2*(2-PI()/2))*0.2836</f>
        <v>0</v>
      </c>
      <c r="AY8" s="25">
        <f t="shared" ref="AY8:AY34" si="29">2*V8*((W8+0.5)*P8-J8^2*(2-PI()/2)-2.5708)*0.2836</f>
        <v>0</v>
      </c>
      <c r="AZ8" s="25">
        <f t="shared" si="9"/>
        <v>0.5</v>
      </c>
      <c r="BA8" s="25">
        <f t="shared" si="10"/>
        <v>2.5</v>
      </c>
      <c r="BB8">
        <f t="shared" ref="BB8:BB34" si="30">BA8-SQRT(BA8^2-AZ8^2)</f>
        <v>5.0510257216822119E-2</v>
      </c>
      <c r="BD8">
        <v>0.25</v>
      </c>
      <c r="BE8">
        <f t="shared" ref="BE8:BE34" si="31">D8-2*F8</f>
        <v>4.625</v>
      </c>
      <c r="BF8">
        <f t="shared" ref="BF8:BF34" si="32">E8-2*BD8</f>
        <v>5.5</v>
      </c>
      <c r="BG8">
        <f t="shared" ref="BG8:BG34" si="33">BF8/COS(PI()/18)</f>
        <v>5.5848463653715976</v>
      </c>
      <c r="BH8" s="675">
        <f t="shared" ref="BH8:BH34" si="34">(BE8-AN8-AM8)/2</f>
        <v>0.3125</v>
      </c>
      <c r="BI8">
        <f t="shared" ref="BI8:BI34" si="35">(BF8-AN8-AM8)/2</f>
        <v>0.75</v>
      </c>
      <c r="BJ8">
        <f t="shared" ref="BJ8:BJ34" si="36">(BG8-AN8-AM8)/2</f>
        <v>0.79242318268579881</v>
      </c>
      <c r="BL8">
        <f t="shared" si="11"/>
        <v>4.6650635078124996</v>
      </c>
      <c r="BM8">
        <f t="shared" si="12"/>
        <v>6.0414518822499996</v>
      </c>
      <c r="BN8">
        <f t="shared" ref="BN8:BN25" si="37">BM8/COS(PI()/18)</f>
        <v>6.1346510156638745</v>
      </c>
      <c r="BO8">
        <f t="shared" si="13"/>
        <v>0.33253175390624978</v>
      </c>
      <c r="BP8">
        <f t="shared" si="14"/>
        <v>1.0207259411249998</v>
      </c>
      <c r="BQ8">
        <f t="shared" si="15"/>
        <v>1.0673255078319372</v>
      </c>
      <c r="BR8">
        <f t="shared" si="16"/>
        <v>0.3884618943</v>
      </c>
      <c r="BS8">
        <f t="shared" si="17"/>
        <v>0.9509618943</v>
      </c>
      <c r="BT8">
        <f t="shared" si="18"/>
        <v>0.99338507698579881</v>
      </c>
    </row>
    <row r="9" spans="2:72" ht="14.25" customHeight="1" x14ac:dyDescent="0.25">
      <c r="B9" s="26">
        <v>6.25</v>
      </c>
      <c r="C9" s="590">
        <v>7.5</v>
      </c>
      <c r="D9" s="591">
        <v>6.75</v>
      </c>
      <c r="E9" s="36">
        <v>7.625</v>
      </c>
      <c r="F9" s="592">
        <v>0.1875</v>
      </c>
      <c r="G9" s="26" t="s">
        <v>10</v>
      </c>
      <c r="H9" s="27">
        <v>0.75</v>
      </c>
      <c r="I9" s="28">
        <v>65</v>
      </c>
      <c r="J9" s="35">
        <f t="shared" ref="J9:J34" si="38">3*H9</f>
        <v>2.25</v>
      </c>
      <c r="K9" s="29">
        <f t="shared" si="19"/>
        <v>10.125</v>
      </c>
      <c r="L9" s="30" t="s">
        <v>11</v>
      </c>
      <c r="M9" s="28" t="s">
        <v>12</v>
      </c>
      <c r="N9" s="31">
        <f t="shared" si="0"/>
        <v>0.75</v>
      </c>
      <c r="O9" s="32">
        <f t="shared" si="0"/>
        <v>65</v>
      </c>
      <c r="P9" s="33">
        <v>10</v>
      </c>
      <c r="Q9" s="34">
        <v>12</v>
      </c>
      <c r="R9" s="35">
        <f t="shared" si="1"/>
        <v>4.5</v>
      </c>
      <c r="S9" s="35">
        <f t="shared" si="20"/>
        <v>1.5</v>
      </c>
      <c r="T9" s="36">
        <f t="shared" si="2"/>
        <v>1.5</v>
      </c>
      <c r="U9" s="37"/>
      <c r="V9" s="31"/>
      <c r="W9" s="38"/>
      <c r="X9" s="35"/>
      <c r="Y9" s="39"/>
      <c r="Z9" s="72">
        <v>4</v>
      </c>
      <c r="AA9" s="73">
        <v>4.5</v>
      </c>
      <c r="AB9" s="74">
        <v>9</v>
      </c>
      <c r="AC9" s="75" t="s">
        <v>6</v>
      </c>
      <c r="AD9" s="76">
        <v>1</v>
      </c>
      <c r="AE9" s="77">
        <f t="shared" si="21"/>
        <v>1.125</v>
      </c>
      <c r="AF9" s="78">
        <f t="shared" si="3"/>
        <v>3</v>
      </c>
      <c r="AG9" s="79" t="s">
        <v>179</v>
      </c>
      <c r="AH9" s="80" t="s">
        <v>180</v>
      </c>
      <c r="AI9" s="81" t="s">
        <v>180</v>
      </c>
      <c r="AJ9" s="82">
        <f t="shared" si="4"/>
        <v>5.75</v>
      </c>
      <c r="AK9" s="83">
        <f t="shared" si="5"/>
        <v>5</v>
      </c>
      <c r="AL9" s="600">
        <v>1.5</v>
      </c>
      <c r="AM9" s="601">
        <v>1</v>
      </c>
      <c r="AN9" s="84">
        <f t="shared" si="22"/>
        <v>4.75</v>
      </c>
      <c r="AO9" s="85" t="str">
        <f t="shared" si="6"/>
        <v>PL 3/4 x 12 x 20 7/8</v>
      </c>
      <c r="AP9" s="86">
        <f t="shared" si="23"/>
        <v>53.281350000000003</v>
      </c>
      <c r="AQ9" s="87">
        <f t="shared" si="24"/>
        <v>54.829197333333042</v>
      </c>
      <c r="AS9" s="24">
        <f t="shared" si="7"/>
        <v>20.875</v>
      </c>
      <c r="AT9" s="24">
        <f t="shared" si="25"/>
        <v>3.9760782021995817</v>
      </c>
      <c r="AU9" s="24">
        <f t="shared" si="26"/>
        <v>3.3379421944391554</v>
      </c>
      <c r="AV9" s="25">
        <f t="shared" si="8"/>
        <v>53.281350000000003</v>
      </c>
      <c r="AW9" s="25">
        <f t="shared" si="27"/>
        <v>51.725657861634943</v>
      </c>
      <c r="AX9" s="25">
        <f t="shared" si="28"/>
        <v>0</v>
      </c>
      <c r="AY9" s="25">
        <f t="shared" si="29"/>
        <v>0</v>
      </c>
      <c r="AZ9" s="25">
        <f t="shared" si="9"/>
        <v>0.8125</v>
      </c>
      <c r="BA9" s="25">
        <f t="shared" si="10"/>
        <v>3</v>
      </c>
      <c r="BB9">
        <f t="shared" si="30"/>
        <v>0.11212123696301957</v>
      </c>
      <c r="BD9">
        <v>0.1875</v>
      </c>
      <c r="BE9">
        <f t="shared" si="31"/>
        <v>6.375</v>
      </c>
      <c r="BF9">
        <f t="shared" si="32"/>
        <v>7.25</v>
      </c>
      <c r="BG9">
        <f t="shared" si="33"/>
        <v>7.3618429361716515</v>
      </c>
      <c r="BH9" s="675">
        <f t="shared" si="34"/>
        <v>0.3125</v>
      </c>
      <c r="BI9">
        <f t="shared" si="35"/>
        <v>0.75</v>
      </c>
      <c r="BJ9">
        <f t="shared" si="36"/>
        <v>0.80592146808582577</v>
      </c>
      <c r="BL9">
        <f t="shared" si="11"/>
        <v>6.5518148531875005</v>
      </c>
      <c r="BM9">
        <f t="shared" si="12"/>
        <v>7.9951905256874998</v>
      </c>
      <c r="BN9">
        <f t="shared" si="37"/>
        <v>8.1185292268798666</v>
      </c>
      <c r="BO9">
        <f t="shared" si="13"/>
        <v>0.40090742659375023</v>
      </c>
      <c r="BP9">
        <f t="shared" si="14"/>
        <v>1.1225952628437499</v>
      </c>
      <c r="BQ9">
        <f t="shared" si="15"/>
        <v>1.1842646134399333</v>
      </c>
      <c r="BR9">
        <f t="shared" si="16"/>
        <v>0.38068966597499987</v>
      </c>
      <c r="BS9">
        <f t="shared" si="17"/>
        <v>1.0056896659749999</v>
      </c>
      <c r="BT9">
        <f t="shared" si="18"/>
        <v>1.0606469708179667</v>
      </c>
    </row>
    <row r="10" spans="2:72" ht="14.25" customHeight="1" x14ac:dyDescent="0.25">
      <c r="B10" s="10">
        <v>6.25</v>
      </c>
      <c r="C10" s="595">
        <v>7.75</v>
      </c>
      <c r="D10" s="596">
        <v>7</v>
      </c>
      <c r="E10" s="20">
        <v>7.75</v>
      </c>
      <c r="F10" s="597">
        <v>0.3125</v>
      </c>
      <c r="G10" s="10" t="s">
        <v>13</v>
      </c>
      <c r="H10" s="11">
        <v>0.75</v>
      </c>
      <c r="I10" s="12">
        <v>65</v>
      </c>
      <c r="J10" s="19">
        <f t="shared" si="38"/>
        <v>2.25</v>
      </c>
      <c r="K10" s="13">
        <f t="shared" si="19"/>
        <v>10.125</v>
      </c>
      <c r="L10" s="14" t="s">
        <v>14</v>
      </c>
      <c r="M10" s="12" t="s">
        <v>15</v>
      </c>
      <c r="N10" s="15">
        <f t="shared" si="0"/>
        <v>0.75</v>
      </c>
      <c r="O10" s="16">
        <f t="shared" si="0"/>
        <v>65</v>
      </c>
      <c r="P10" s="17">
        <v>10</v>
      </c>
      <c r="Q10" s="18">
        <v>15</v>
      </c>
      <c r="R10" s="19">
        <f t="shared" si="1"/>
        <v>6</v>
      </c>
      <c r="S10" s="19">
        <f t="shared" si="20"/>
        <v>1.5</v>
      </c>
      <c r="T10" s="20">
        <f t="shared" si="2"/>
        <v>1.5</v>
      </c>
      <c r="U10" s="21"/>
      <c r="V10" s="15"/>
      <c r="W10" s="22"/>
      <c r="X10" s="19"/>
      <c r="Y10" s="23"/>
      <c r="Z10" s="88">
        <v>8</v>
      </c>
      <c r="AA10" s="89">
        <v>3</v>
      </c>
      <c r="AB10" s="90">
        <v>3</v>
      </c>
      <c r="AC10" s="91" t="s">
        <v>6</v>
      </c>
      <c r="AD10" s="92">
        <v>1</v>
      </c>
      <c r="AE10" s="93">
        <f t="shared" si="21"/>
        <v>1.125</v>
      </c>
      <c r="AF10" s="94">
        <f t="shared" si="3"/>
        <v>3</v>
      </c>
      <c r="AG10" s="95" t="s">
        <v>179</v>
      </c>
      <c r="AH10" s="96" t="s">
        <v>180</v>
      </c>
      <c r="AI10" s="97" t="s">
        <v>180</v>
      </c>
      <c r="AJ10" s="98">
        <f t="shared" si="4"/>
        <v>5.75</v>
      </c>
      <c r="AK10" s="99">
        <f t="shared" si="5"/>
        <v>5</v>
      </c>
      <c r="AL10" s="602">
        <v>2</v>
      </c>
      <c r="AM10" s="603">
        <v>1</v>
      </c>
      <c r="AN10" s="100">
        <f t="shared" si="22"/>
        <v>4.75</v>
      </c>
      <c r="AO10" s="101" t="str">
        <f t="shared" si="6"/>
        <v>PL 3/4 x 15 x 20 7/8</v>
      </c>
      <c r="AP10" s="102">
        <f t="shared" si="23"/>
        <v>66.601687500000011</v>
      </c>
      <c r="AQ10" s="103">
        <f t="shared" si="24"/>
        <v>67.742415018455873</v>
      </c>
      <c r="AS10" s="24">
        <f t="shared" si="7"/>
        <v>20.875</v>
      </c>
      <c r="AT10" s="24">
        <f t="shared" si="25"/>
        <v>7.9521564043991635</v>
      </c>
      <c r="AU10" s="24">
        <f t="shared" si="26"/>
        <v>4.7123889803846897</v>
      </c>
      <c r="AV10" s="25">
        <f t="shared" si="8"/>
        <v>66.601687500000011</v>
      </c>
      <c r="AW10" s="25">
        <f t="shared" si="27"/>
        <v>63.907938696656487</v>
      </c>
      <c r="AX10" s="25">
        <f t="shared" si="28"/>
        <v>0</v>
      </c>
      <c r="AY10" s="25">
        <f t="shared" si="29"/>
        <v>0</v>
      </c>
      <c r="AZ10" s="25">
        <f t="shared" si="9"/>
        <v>0.75</v>
      </c>
      <c r="BA10" s="25">
        <f t="shared" si="10"/>
        <v>3</v>
      </c>
      <c r="BB10">
        <f t="shared" si="30"/>
        <v>9.5262490344437456E-2</v>
      </c>
      <c r="BD10">
        <v>0.25</v>
      </c>
      <c r="BE10">
        <f t="shared" si="31"/>
        <v>6.375</v>
      </c>
      <c r="BF10">
        <f t="shared" si="32"/>
        <v>7.25</v>
      </c>
      <c r="BG10">
        <f t="shared" si="33"/>
        <v>7.3618429361716515</v>
      </c>
      <c r="BH10" s="675">
        <f t="shared" si="34"/>
        <v>0.3125</v>
      </c>
      <c r="BI10">
        <f t="shared" si="35"/>
        <v>0.75</v>
      </c>
      <c r="BJ10">
        <f t="shared" si="36"/>
        <v>0.80592146808582577</v>
      </c>
      <c r="BL10">
        <f t="shared" si="11"/>
        <v>6.1084391803124998</v>
      </c>
      <c r="BM10">
        <f t="shared" si="12"/>
        <v>8.0621778237499999</v>
      </c>
      <c r="BN10">
        <f t="shared" si="37"/>
        <v>8.186549911990852</v>
      </c>
      <c r="BO10">
        <f t="shared" si="13"/>
        <v>0.17921959015624989</v>
      </c>
      <c r="BP10">
        <f t="shared" si="14"/>
        <v>1.156088911875</v>
      </c>
      <c r="BQ10">
        <f t="shared" si="15"/>
        <v>1.218274955995426</v>
      </c>
      <c r="BR10">
        <f t="shared" si="16"/>
        <v>0.25568966597499987</v>
      </c>
      <c r="BS10">
        <f t="shared" si="17"/>
        <v>1.0681896659749999</v>
      </c>
      <c r="BT10">
        <f t="shared" si="18"/>
        <v>1.1241111340608256</v>
      </c>
    </row>
    <row r="11" spans="2:72" ht="14.25" customHeight="1" x14ac:dyDescent="0.25">
      <c r="B11" s="26">
        <v>7.75</v>
      </c>
      <c r="C11" s="590">
        <v>9</v>
      </c>
      <c r="D11" s="591">
        <v>8.5</v>
      </c>
      <c r="E11" s="36">
        <v>9.5</v>
      </c>
      <c r="F11" s="592">
        <v>0.1875</v>
      </c>
      <c r="G11" s="26" t="s">
        <v>16</v>
      </c>
      <c r="H11" s="27">
        <v>0.75</v>
      </c>
      <c r="I11" s="28">
        <v>65</v>
      </c>
      <c r="J11" s="35">
        <f t="shared" si="38"/>
        <v>2.25</v>
      </c>
      <c r="K11" s="29">
        <f t="shared" si="19"/>
        <v>12.125</v>
      </c>
      <c r="L11" s="30" t="s">
        <v>17</v>
      </c>
      <c r="M11" s="28" t="s">
        <v>18</v>
      </c>
      <c r="N11" s="31">
        <f t="shared" si="0"/>
        <v>0.75</v>
      </c>
      <c r="O11" s="32">
        <f t="shared" si="0"/>
        <v>65</v>
      </c>
      <c r="P11" s="33">
        <v>12</v>
      </c>
      <c r="Q11" s="34">
        <v>15</v>
      </c>
      <c r="R11" s="35">
        <f t="shared" si="1"/>
        <v>6</v>
      </c>
      <c r="S11" s="35">
        <f t="shared" si="20"/>
        <v>1.5</v>
      </c>
      <c r="T11" s="36">
        <f t="shared" si="2"/>
        <v>1.5</v>
      </c>
      <c r="U11" s="37"/>
      <c r="V11" s="31"/>
      <c r="W11" s="38"/>
      <c r="X11" s="35"/>
      <c r="Y11" s="39"/>
      <c r="Z11" s="104">
        <v>8</v>
      </c>
      <c r="AA11" s="105">
        <v>3</v>
      </c>
      <c r="AB11" s="106">
        <v>3</v>
      </c>
      <c r="AC11" s="107" t="s">
        <v>6</v>
      </c>
      <c r="AD11" s="108">
        <v>1</v>
      </c>
      <c r="AE11" s="109">
        <f t="shared" si="21"/>
        <v>1.125</v>
      </c>
      <c r="AF11" s="110">
        <f t="shared" si="3"/>
        <v>3</v>
      </c>
      <c r="AG11" s="111" t="s">
        <v>179</v>
      </c>
      <c r="AH11" s="112" t="s">
        <v>180</v>
      </c>
      <c r="AI11" s="113" t="s">
        <v>180</v>
      </c>
      <c r="AJ11" s="114">
        <f t="shared" si="4"/>
        <v>5.75</v>
      </c>
      <c r="AK11" s="115">
        <f t="shared" si="5"/>
        <v>5</v>
      </c>
      <c r="AL11" s="604">
        <v>3.5</v>
      </c>
      <c r="AM11" s="605">
        <v>1</v>
      </c>
      <c r="AN11" s="116">
        <f t="shared" si="22"/>
        <v>6.5</v>
      </c>
      <c r="AO11" s="117" t="str">
        <f t="shared" si="6"/>
        <v>PL 3/4 x 15 x 22 7/8</v>
      </c>
      <c r="AP11" s="118">
        <f t="shared" si="23"/>
        <v>72.982687500000011</v>
      </c>
      <c r="AQ11" s="119">
        <f t="shared" si="24"/>
        <v>73.045386132549581</v>
      </c>
      <c r="AS11" s="24">
        <f t="shared" si="7"/>
        <v>22.875</v>
      </c>
      <c r="AT11" s="24">
        <f t="shared" si="25"/>
        <v>7.9521564043991635</v>
      </c>
      <c r="AU11" s="24">
        <f t="shared" si="26"/>
        <v>11.191923828413637</v>
      </c>
      <c r="AV11" s="25">
        <f t="shared" si="8"/>
        <v>72.982687500000011</v>
      </c>
      <c r="AW11" s="25">
        <f t="shared" si="27"/>
        <v>68.910741634480729</v>
      </c>
      <c r="AX11" s="25">
        <f t="shared" si="28"/>
        <v>0</v>
      </c>
      <c r="AY11" s="25">
        <f t="shared" si="29"/>
        <v>0</v>
      </c>
      <c r="AZ11" s="25">
        <f t="shared" si="9"/>
        <v>0.75</v>
      </c>
      <c r="BA11" s="25">
        <f t="shared" si="10"/>
        <v>3</v>
      </c>
      <c r="BB11">
        <f t="shared" si="30"/>
        <v>9.5262490344437456E-2</v>
      </c>
      <c r="BD11">
        <v>0.1875</v>
      </c>
      <c r="BE11">
        <f t="shared" si="31"/>
        <v>8.125</v>
      </c>
      <c r="BF11">
        <f t="shared" si="32"/>
        <v>9.125</v>
      </c>
      <c r="BG11">
        <f t="shared" si="33"/>
        <v>9.2657678334574225</v>
      </c>
      <c r="BH11" s="675">
        <f t="shared" si="34"/>
        <v>0.3125</v>
      </c>
      <c r="BI11">
        <f t="shared" si="35"/>
        <v>0.8125</v>
      </c>
      <c r="BJ11">
        <f t="shared" si="36"/>
        <v>0.88288391672871125</v>
      </c>
      <c r="BL11">
        <f t="shared" si="11"/>
        <v>8.2838656601874998</v>
      </c>
      <c r="BM11">
        <f t="shared" si="12"/>
        <v>9.7272413326875</v>
      </c>
      <c r="BN11">
        <f t="shared" si="37"/>
        <v>9.8772997094458468</v>
      </c>
      <c r="BO11">
        <f t="shared" si="13"/>
        <v>0.39193283009374991</v>
      </c>
      <c r="BP11">
        <f t="shared" si="14"/>
        <v>1.11362066634375</v>
      </c>
      <c r="BQ11">
        <f t="shared" si="15"/>
        <v>1.1886498547229234</v>
      </c>
      <c r="BR11">
        <f t="shared" si="16"/>
        <v>0.37291743764999996</v>
      </c>
      <c r="BS11">
        <f t="shared" si="17"/>
        <v>0.99791743764999996</v>
      </c>
      <c r="BT11">
        <f t="shared" si="18"/>
        <v>1.0644447014072753</v>
      </c>
    </row>
    <row r="12" spans="2:72" ht="14.25" customHeight="1" x14ac:dyDescent="0.25">
      <c r="B12" s="10">
        <v>8</v>
      </c>
      <c r="C12" s="595">
        <v>9.5</v>
      </c>
      <c r="D12" s="596">
        <v>9</v>
      </c>
      <c r="E12" s="20">
        <v>9.75</v>
      </c>
      <c r="F12" s="597">
        <v>0.3125</v>
      </c>
      <c r="G12" s="10" t="s">
        <v>19</v>
      </c>
      <c r="H12" s="11">
        <v>0.75</v>
      </c>
      <c r="I12" s="12">
        <v>65</v>
      </c>
      <c r="J12" s="19">
        <f t="shared" si="38"/>
        <v>2.25</v>
      </c>
      <c r="K12" s="13">
        <f t="shared" si="19"/>
        <v>12.125</v>
      </c>
      <c r="L12" s="14" t="s">
        <v>20</v>
      </c>
      <c r="M12" s="12" t="s">
        <v>21</v>
      </c>
      <c r="N12" s="15">
        <f t="shared" si="0"/>
        <v>0.75</v>
      </c>
      <c r="O12" s="16">
        <f t="shared" si="0"/>
        <v>65</v>
      </c>
      <c r="P12" s="17">
        <v>12</v>
      </c>
      <c r="Q12" s="18">
        <v>18</v>
      </c>
      <c r="R12" s="19">
        <f t="shared" si="1"/>
        <v>7.5</v>
      </c>
      <c r="S12" s="19">
        <f t="shared" si="20"/>
        <v>1.5</v>
      </c>
      <c r="T12" s="20">
        <f t="shared" si="2"/>
        <v>1.5</v>
      </c>
      <c r="U12" s="21"/>
      <c r="V12" s="15"/>
      <c r="W12" s="22"/>
      <c r="X12" s="19"/>
      <c r="Y12" s="23"/>
      <c r="Z12" s="120">
        <v>8</v>
      </c>
      <c r="AA12" s="121">
        <v>4.5</v>
      </c>
      <c r="AB12" s="122">
        <v>3</v>
      </c>
      <c r="AC12" s="123" t="s">
        <v>6</v>
      </c>
      <c r="AD12" s="124">
        <v>1</v>
      </c>
      <c r="AE12" s="125">
        <f t="shared" si="21"/>
        <v>1.125</v>
      </c>
      <c r="AF12" s="126">
        <f t="shared" si="3"/>
        <v>3</v>
      </c>
      <c r="AG12" s="127" t="s">
        <v>179</v>
      </c>
      <c r="AH12" s="128" t="s">
        <v>180</v>
      </c>
      <c r="AI12" s="129" t="s">
        <v>180</v>
      </c>
      <c r="AJ12" s="130">
        <f t="shared" si="4"/>
        <v>5.75</v>
      </c>
      <c r="AK12" s="131">
        <f t="shared" si="5"/>
        <v>5</v>
      </c>
      <c r="AL12" s="606">
        <v>4</v>
      </c>
      <c r="AM12" s="607">
        <v>1</v>
      </c>
      <c r="AN12" s="132">
        <f t="shared" si="22"/>
        <v>6.75</v>
      </c>
      <c r="AO12" s="133" t="str">
        <f t="shared" si="6"/>
        <v>PL 3/4 x 18 x 22 7/8</v>
      </c>
      <c r="AP12" s="102">
        <f t="shared" si="23"/>
        <v>87.579225000000008</v>
      </c>
      <c r="AQ12" s="134">
        <f t="shared" si="24"/>
        <v>87.853675479864876</v>
      </c>
      <c r="AS12" s="24">
        <f t="shared" si="7"/>
        <v>22.875</v>
      </c>
      <c r="AT12" s="24">
        <f t="shared" si="25"/>
        <v>7.9521564043991635</v>
      </c>
      <c r="AU12" s="24">
        <f t="shared" si="26"/>
        <v>14.137166941154069</v>
      </c>
      <c r="AV12" s="25">
        <f t="shared" si="8"/>
        <v>87.579225000000008</v>
      </c>
      <c r="AW12" s="25">
        <f t="shared" si="27"/>
        <v>82.880825924400824</v>
      </c>
      <c r="AX12" s="25">
        <f t="shared" si="28"/>
        <v>0</v>
      </c>
      <c r="AY12" s="25">
        <f t="shared" si="29"/>
        <v>0</v>
      </c>
      <c r="AZ12" s="25">
        <f t="shared" si="9"/>
        <v>0.75</v>
      </c>
      <c r="BA12" s="25">
        <f t="shared" si="10"/>
        <v>3</v>
      </c>
      <c r="BB12">
        <f t="shared" si="30"/>
        <v>9.5262490344437456E-2</v>
      </c>
      <c r="BD12">
        <v>0.25</v>
      </c>
      <c r="BE12">
        <f t="shared" si="31"/>
        <v>8.375</v>
      </c>
      <c r="BF12">
        <f t="shared" si="32"/>
        <v>9.25</v>
      </c>
      <c r="BG12">
        <f t="shared" si="33"/>
        <v>9.3926961599431422</v>
      </c>
      <c r="BH12" s="675">
        <f t="shared" si="34"/>
        <v>0.3125</v>
      </c>
      <c r="BI12">
        <f t="shared" si="35"/>
        <v>0.75</v>
      </c>
      <c r="BJ12">
        <f t="shared" si="36"/>
        <v>0.82134807997157111</v>
      </c>
      <c r="BL12">
        <f t="shared" si="11"/>
        <v>8.1291651218125001</v>
      </c>
      <c r="BM12">
        <f t="shared" si="12"/>
        <v>10.08290376525</v>
      </c>
      <c r="BN12">
        <f t="shared" si="37"/>
        <v>10.238448808317829</v>
      </c>
      <c r="BO12">
        <f t="shared" si="13"/>
        <v>0.18958256090625003</v>
      </c>
      <c r="BP12">
        <f t="shared" si="14"/>
        <v>1.1664518826250001</v>
      </c>
      <c r="BQ12">
        <f t="shared" si="15"/>
        <v>1.2442244041589143</v>
      </c>
      <c r="BR12">
        <f t="shared" si="16"/>
        <v>0.26466426217499972</v>
      </c>
      <c r="BS12">
        <f t="shared" si="17"/>
        <v>1.0771642621749997</v>
      </c>
      <c r="BT12">
        <f t="shared" si="18"/>
        <v>1.146584015660852</v>
      </c>
    </row>
    <row r="13" spans="2:72" s="4" customFormat="1" ht="14.25" customHeight="1" x14ac:dyDescent="0.25">
      <c r="B13" s="26">
        <v>9.75</v>
      </c>
      <c r="C13" s="590">
        <v>11</v>
      </c>
      <c r="D13" s="591">
        <v>10.75</v>
      </c>
      <c r="E13" s="36">
        <v>11.5</v>
      </c>
      <c r="F13" s="592">
        <v>0.25</v>
      </c>
      <c r="G13" s="26" t="s">
        <v>22</v>
      </c>
      <c r="H13" s="27">
        <v>0.75</v>
      </c>
      <c r="I13" s="28">
        <v>65</v>
      </c>
      <c r="J13" s="35">
        <f t="shared" si="38"/>
        <v>2.25</v>
      </c>
      <c r="K13" s="29">
        <f t="shared" si="19"/>
        <v>14.125</v>
      </c>
      <c r="L13" s="30" t="s">
        <v>23</v>
      </c>
      <c r="M13" s="28" t="s">
        <v>24</v>
      </c>
      <c r="N13" s="31">
        <f t="shared" si="0"/>
        <v>0.75</v>
      </c>
      <c r="O13" s="32">
        <f t="shared" si="0"/>
        <v>65</v>
      </c>
      <c r="P13" s="33">
        <v>14</v>
      </c>
      <c r="Q13" s="34">
        <v>21</v>
      </c>
      <c r="R13" s="35">
        <f t="shared" si="1"/>
        <v>9</v>
      </c>
      <c r="S13" s="35">
        <f t="shared" si="20"/>
        <v>1.5</v>
      </c>
      <c r="T13" s="36">
        <f t="shared" si="2"/>
        <v>1.5</v>
      </c>
      <c r="U13" s="37"/>
      <c r="V13" s="31"/>
      <c r="W13" s="38"/>
      <c r="X13" s="35"/>
      <c r="Y13" s="39"/>
      <c r="Z13" s="104">
        <v>12</v>
      </c>
      <c r="AA13" s="105">
        <v>3</v>
      </c>
      <c r="AB13" s="106">
        <v>3</v>
      </c>
      <c r="AC13" s="107" t="s">
        <v>6</v>
      </c>
      <c r="AD13" s="108">
        <v>1</v>
      </c>
      <c r="AE13" s="109">
        <f t="shared" si="21"/>
        <v>1.125</v>
      </c>
      <c r="AF13" s="110">
        <f t="shared" si="3"/>
        <v>3</v>
      </c>
      <c r="AG13" s="111" t="s">
        <v>179</v>
      </c>
      <c r="AH13" s="112" t="s">
        <v>180</v>
      </c>
      <c r="AI13" s="113" t="s">
        <v>180</v>
      </c>
      <c r="AJ13" s="114">
        <f t="shared" si="4"/>
        <v>5.75</v>
      </c>
      <c r="AK13" s="115">
        <f t="shared" si="5"/>
        <v>5</v>
      </c>
      <c r="AL13" s="604">
        <v>4.5</v>
      </c>
      <c r="AM13" s="605">
        <v>1</v>
      </c>
      <c r="AN13" s="116">
        <f t="shared" si="22"/>
        <v>8.625</v>
      </c>
      <c r="AO13" s="117" t="str">
        <f t="shared" si="6"/>
        <v>PL 3/4 x 21 x 24 7/8</v>
      </c>
      <c r="AP13" s="118">
        <f t="shared" si="23"/>
        <v>111.10916250000001</v>
      </c>
      <c r="AQ13" s="119">
        <f t="shared" si="24"/>
        <v>111.14637556319794</v>
      </c>
      <c r="AR13" s="5"/>
      <c r="AS13" s="135">
        <f t="shared" si="7"/>
        <v>24.875</v>
      </c>
      <c r="AT13" s="24">
        <f t="shared" si="25"/>
        <v>11.928234606598746</v>
      </c>
      <c r="AU13" s="24">
        <f t="shared" si="26"/>
        <v>17.475109135593225</v>
      </c>
      <c r="AV13" s="136">
        <f t="shared" si="8"/>
        <v>111.10916250000001</v>
      </c>
      <c r="AW13" s="25">
        <f t="shared" si="27"/>
        <v>104.85507128603578</v>
      </c>
      <c r="AX13" s="25">
        <f t="shared" si="28"/>
        <v>0</v>
      </c>
      <c r="AY13" s="25">
        <f t="shared" si="29"/>
        <v>0</v>
      </c>
      <c r="AZ13" s="136">
        <f t="shared" si="9"/>
        <v>0.6875</v>
      </c>
      <c r="BA13" s="136">
        <f t="shared" si="10"/>
        <v>3</v>
      </c>
      <c r="BB13" s="4">
        <f t="shared" si="30"/>
        <v>7.983840344408355E-2</v>
      </c>
      <c r="BD13" s="4">
        <v>0.1875</v>
      </c>
      <c r="BE13">
        <f t="shared" si="31"/>
        <v>10.25</v>
      </c>
      <c r="BF13">
        <f t="shared" si="32"/>
        <v>11.125</v>
      </c>
      <c r="BG13">
        <f t="shared" si="33"/>
        <v>11.296621057228913</v>
      </c>
      <c r="BH13" s="675">
        <f t="shared" si="34"/>
        <v>0.3125</v>
      </c>
      <c r="BI13">
        <f t="shared" si="35"/>
        <v>0.75</v>
      </c>
      <c r="BJ13">
        <f t="shared" si="36"/>
        <v>0.83581052861445659</v>
      </c>
      <c r="BL13">
        <f t="shared" si="11"/>
        <v>10.37157889975</v>
      </c>
      <c r="BM13">
        <f t="shared" si="12"/>
        <v>12.0366424086875</v>
      </c>
      <c r="BN13">
        <f t="shared" si="37"/>
        <v>12.222327019533822</v>
      </c>
      <c r="BO13">
        <f t="shared" si="13"/>
        <v>0.37328944987500012</v>
      </c>
      <c r="BP13">
        <f t="shared" si="14"/>
        <v>1.2058212043437502</v>
      </c>
      <c r="BQ13">
        <f t="shared" si="15"/>
        <v>1.2986635097669108</v>
      </c>
      <c r="BR13">
        <f t="shared" si="16"/>
        <v>0.39026544611249969</v>
      </c>
      <c r="BS13">
        <f t="shared" si="17"/>
        <v>1.0777654461124997</v>
      </c>
      <c r="BT13">
        <f t="shared" si="18"/>
        <v>1.1597193217555204</v>
      </c>
    </row>
    <row r="14" spans="2:72" ht="14.25" customHeight="1" x14ac:dyDescent="0.25">
      <c r="B14" s="10">
        <v>10</v>
      </c>
      <c r="C14" s="595">
        <v>11.25</v>
      </c>
      <c r="D14" s="596">
        <v>11</v>
      </c>
      <c r="E14" s="20">
        <v>11.75</v>
      </c>
      <c r="F14" s="597">
        <v>0.3125</v>
      </c>
      <c r="G14" s="10" t="s">
        <v>25</v>
      </c>
      <c r="H14" s="11">
        <v>0.75</v>
      </c>
      <c r="I14" s="12">
        <v>65</v>
      </c>
      <c r="J14" s="19">
        <f t="shared" si="38"/>
        <v>2.25</v>
      </c>
      <c r="K14" s="13">
        <f t="shared" si="19"/>
        <v>14.125</v>
      </c>
      <c r="L14" s="14" t="s">
        <v>26</v>
      </c>
      <c r="M14" s="12" t="s">
        <v>27</v>
      </c>
      <c r="N14" s="15">
        <f t="shared" si="0"/>
        <v>0.75</v>
      </c>
      <c r="O14" s="16">
        <f t="shared" si="0"/>
        <v>65</v>
      </c>
      <c r="P14" s="17">
        <v>14</v>
      </c>
      <c r="Q14" s="18">
        <v>24</v>
      </c>
      <c r="R14" s="19">
        <f t="shared" si="1"/>
        <v>10.5</v>
      </c>
      <c r="S14" s="19">
        <f t="shared" si="20"/>
        <v>1.5</v>
      </c>
      <c r="T14" s="20">
        <f t="shared" si="2"/>
        <v>1.5</v>
      </c>
      <c r="U14" s="21"/>
      <c r="V14" s="15"/>
      <c r="W14" s="22"/>
      <c r="X14" s="19"/>
      <c r="Y14" s="23"/>
      <c r="Z14" s="120">
        <v>12</v>
      </c>
      <c r="AA14" s="121">
        <v>4.5</v>
      </c>
      <c r="AB14" s="122">
        <v>3</v>
      </c>
      <c r="AC14" s="123" t="s">
        <v>6</v>
      </c>
      <c r="AD14" s="124">
        <v>1</v>
      </c>
      <c r="AE14" s="125">
        <f t="shared" si="21"/>
        <v>1.125</v>
      </c>
      <c r="AF14" s="126">
        <f t="shared" si="3"/>
        <v>3</v>
      </c>
      <c r="AG14" s="127" t="s">
        <v>179</v>
      </c>
      <c r="AH14" s="128" t="s">
        <v>180</v>
      </c>
      <c r="AI14" s="129" t="s">
        <v>180</v>
      </c>
      <c r="AJ14" s="130">
        <f t="shared" si="4"/>
        <v>5.75</v>
      </c>
      <c r="AK14" s="131">
        <f t="shared" si="5"/>
        <v>5</v>
      </c>
      <c r="AL14" s="606">
        <v>5</v>
      </c>
      <c r="AM14" s="607">
        <v>1</v>
      </c>
      <c r="AN14" s="132">
        <f t="shared" si="22"/>
        <v>8.75</v>
      </c>
      <c r="AO14" s="133" t="str">
        <f t="shared" si="6"/>
        <v>PL 3/4 x 24 x 24 7/8</v>
      </c>
      <c r="AP14" s="102">
        <f t="shared" si="23"/>
        <v>126.98190000000001</v>
      </c>
      <c r="AQ14" s="134">
        <f t="shared" si="24"/>
        <v>127.13035946979736</v>
      </c>
      <c r="AS14" s="24">
        <f t="shared" si="7"/>
        <v>24.875</v>
      </c>
      <c r="AT14" s="24">
        <f t="shared" si="25"/>
        <v>11.928234606598746</v>
      </c>
      <c r="AU14" s="24">
        <f t="shared" si="26"/>
        <v>21.205750411731103</v>
      </c>
      <c r="AV14" s="25">
        <f t="shared" si="8"/>
        <v>126.98190000000001</v>
      </c>
      <c r="AW14" s="25">
        <f t="shared" si="27"/>
        <v>119.93430138660128</v>
      </c>
      <c r="AX14" s="25">
        <f t="shared" si="28"/>
        <v>0</v>
      </c>
      <c r="AY14" s="25">
        <f t="shared" si="29"/>
        <v>0</v>
      </c>
      <c r="AZ14" s="25">
        <f t="shared" si="9"/>
        <v>0.75</v>
      </c>
      <c r="BA14" s="25">
        <f t="shared" si="10"/>
        <v>3</v>
      </c>
      <c r="BB14">
        <f t="shared" si="30"/>
        <v>9.5262490344437456E-2</v>
      </c>
      <c r="BD14" s="4">
        <v>0.25</v>
      </c>
      <c r="BE14">
        <f t="shared" si="31"/>
        <v>10.375</v>
      </c>
      <c r="BF14">
        <f t="shared" si="32"/>
        <v>11.25</v>
      </c>
      <c r="BG14">
        <f t="shared" si="33"/>
        <v>11.423549383714631</v>
      </c>
      <c r="BH14" s="675">
        <f t="shared" si="34"/>
        <v>0.3125</v>
      </c>
      <c r="BI14">
        <f t="shared" si="35"/>
        <v>0.75</v>
      </c>
      <c r="BJ14">
        <f t="shared" si="36"/>
        <v>0.83677469185731557</v>
      </c>
      <c r="BL14">
        <f t="shared" si="11"/>
        <v>10.4385661978125</v>
      </c>
      <c r="BM14">
        <f t="shared" si="12"/>
        <v>12.10362970675</v>
      </c>
      <c r="BN14">
        <f t="shared" si="37"/>
        <v>12.290347704644807</v>
      </c>
      <c r="BO14">
        <f t="shared" si="13"/>
        <v>0.3442830989062502</v>
      </c>
      <c r="BP14">
        <f t="shared" si="14"/>
        <v>1.1768148533750002</v>
      </c>
      <c r="BQ14">
        <f t="shared" si="15"/>
        <v>1.2701738523224035</v>
      </c>
      <c r="BR14">
        <f t="shared" si="16"/>
        <v>0.39863885837500002</v>
      </c>
      <c r="BS14">
        <f t="shared" si="17"/>
        <v>1.086138858375</v>
      </c>
      <c r="BT14">
        <f t="shared" si="18"/>
        <v>1.1690568972608797</v>
      </c>
    </row>
    <row r="15" spans="2:72" s="4" customFormat="1" ht="14.25" customHeight="1" x14ac:dyDescent="0.25">
      <c r="B15" s="167">
        <v>11.75</v>
      </c>
      <c r="C15" s="608">
        <v>12.25</v>
      </c>
      <c r="D15" s="609">
        <v>12.5</v>
      </c>
      <c r="E15" s="177">
        <v>13.25</v>
      </c>
      <c r="F15" s="610">
        <v>0.25</v>
      </c>
      <c r="G15" s="167" t="s">
        <v>28</v>
      </c>
      <c r="H15" s="168">
        <v>0.75</v>
      </c>
      <c r="I15" s="169">
        <v>65</v>
      </c>
      <c r="J15" s="170">
        <f t="shared" si="38"/>
        <v>2.25</v>
      </c>
      <c r="K15" s="171">
        <f t="shared" si="19"/>
        <v>16.125</v>
      </c>
      <c r="L15" s="172" t="s">
        <v>29</v>
      </c>
      <c r="M15" s="169" t="s">
        <v>30</v>
      </c>
      <c r="N15" s="173">
        <f t="shared" si="0"/>
        <v>0.75</v>
      </c>
      <c r="O15" s="174">
        <f t="shared" si="0"/>
        <v>65</v>
      </c>
      <c r="P15" s="175">
        <v>16</v>
      </c>
      <c r="Q15" s="176">
        <v>24</v>
      </c>
      <c r="R15" s="170">
        <f t="shared" si="1"/>
        <v>10.5</v>
      </c>
      <c r="S15" s="170">
        <f t="shared" si="20"/>
        <v>1.5</v>
      </c>
      <c r="T15" s="177">
        <f t="shared" si="2"/>
        <v>1.5</v>
      </c>
      <c r="U15" s="178">
        <v>2</v>
      </c>
      <c r="V15" s="173">
        <f t="shared" ref="V15:V34" si="39">H15</f>
        <v>0.75</v>
      </c>
      <c r="W15" s="179">
        <v>2.5</v>
      </c>
      <c r="X15" s="170">
        <v>65</v>
      </c>
      <c r="Y15" s="180">
        <f>FLOOR(E15+V15,0.25)</f>
        <v>14</v>
      </c>
      <c r="Z15" s="181">
        <v>12</v>
      </c>
      <c r="AA15" s="182">
        <v>4.5</v>
      </c>
      <c r="AB15" s="183">
        <v>3</v>
      </c>
      <c r="AC15" s="184" t="s">
        <v>6</v>
      </c>
      <c r="AD15" s="185">
        <v>1</v>
      </c>
      <c r="AE15" s="186">
        <f t="shared" si="21"/>
        <v>1.125</v>
      </c>
      <c r="AF15" s="187">
        <f t="shared" si="3"/>
        <v>3</v>
      </c>
      <c r="AG15" s="188" t="s">
        <v>179</v>
      </c>
      <c r="AH15" s="189" t="s">
        <v>180</v>
      </c>
      <c r="AI15" s="190" t="s">
        <v>180</v>
      </c>
      <c r="AJ15" s="191">
        <f t="shared" si="4"/>
        <v>6</v>
      </c>
      <c r="AK15" s="192">
        <f t="shared" si="5"/>
        <v>5.25</v>
      </c>
      <c r="AL15" s="611">
        <v>5.5</v>
      </c>
      <c r="AM15" s="612">
        <v>1</v>
      </c>
      <c r="AN15" s="193">
        <f t="shared" si="22"/>
        <v>10.375</v>
      </c>
      <c r="AO15" s="194" t="str">
        <f t="shared" si="6"/>
        <v>PL 3/4 x 24 x 27 3/8</v>
      </c>
      <c r="AP15" s="195">
        <f t="shared" si="23"/>
        <v>155.83557233443139</v>
      </c>
      <c r="AQ15" s="196">
        <f t="shared" si="24"/>
        <v>159.23375216133604</v>
      </c>
      <c r="AR15" s="5"/>
      <c r="AS15" s="135">
        <f t="shared" si="7"/>
        <v>27.375</v>
      </c>
      <c r="AT15" s="24">
        <f t="shared" si="25"/>
        <v>11.928234606598746</v>
      </c>
      <c r="AU15" s="24">
        <f t="shared" si="26"/>
        <v>25.329090769567706</v>
      </c>
      <c r="AV15" s="136">
        <f t="shared" si="8"/>
        <v>139.7439</v>
      </c>
      <c r="AW15" s="25">
        <f t="shared" si="27"/>
        <v>131.8192668924894</v>
      </c>
      <c r="AX15" s="25">
        <f>2*V15*(W15*P15-J15^2*(2-PI()/2))*0.2836</f>
        <v>16.091672334431404</v>
      </c>
      <c r="AY15" s="25">
        <f t="shared" si="29"/>
        <v>18.401254014431405</v>
      </c>
      <c r="AZ15" s="136">
        <f t="shared" si="9"/>
        <v>0.5625</v>
      </c>
      <c r="BA15" s="136">
        <f t="shared" si="10"/>
        <v>3</v>
      </c>
      <c r="BB15" s="4">
        <f t="shared" si="30"/>
        <v>5.3206191468428976E-2</v>
      </c>
      <c r="BD15" s="4">
        <v>0.1875</v>
      </c>
      <c r="BE15">
        <f t="shared" si="31"/>
        <v>12</v>
      </c>
      <c r="BF15">
        <f t="shared" si="32"/>
        <v>12.875</v>
      </c>
      <c r="BG15">
        <f t="shared" si="33"/>
        <v>13.073617628028968</v>
      </c>
      <c r="BH15" s="675">
        <f t="shared" si="34"/>
        <v>0.3125</v>
      </c>
      <c r="BI15">
        <f t="shared" si="35"/>
        <v>0.75</v>
      </c>
      <c r="BJ15">
        <f t="shared" si="36"/>
        <v>0.84930881401448399</v>
      </c>
      <c r="BL15">
        <f t="shared" si="11"/>
        <v>12.680979975750001</v>
      </c>
      <c r="BM15">
        <f t="shared" si="12"/>
        <v>13.480018081187501</v>
      </c>
      <c r="BN15">
        <f t="shared" si="37"/>
        <v>13.687969088338805</v>
      </c>
      <c r="BO15">
        <f t="shared" si="13"/>
        <v>0.65298998787500029</v>
      </c>
      <c r="BP15">
        <f t="shared" si="14"/>
        <v>1.0525090405937503</v>
      </c>
      <c r="BQ15">
        <f t="shared" si="15"/>
        <v>1.1564845441694027</v>
      </c>
      <c r="BR15">
        <f t="shared" si="16"/>
        <v>0.63249321778750023</v>
      </c>
      <c r="BS15">
        <f t="shared" si="17"/>
        <v>0.94499321778750023</v>
      </c>
      <c r="BT15">
        <f t="shared" si="18"/>
        <v>1.0365887258591115</v>
      </c>
    </row>
    <row r="16" spans="2:72" ht="14.25" customHeight="1" x14ac:dyDescent="0.25">
      <c r="B16" s="137">
        <v>12</v>
      </c>
      <c r="C16" s="613">
        <v>12.5</v>
      </c>
      <c r="D16" s="614">
        <v>12.75</v>
      </c>
      <c r="E16" s="147">
        <v>13.5</v>
      </c>
      <c r="F16" s="615">
        <v>0.375</v>
      </c>
      <c r="G16" s="137" t="s">
        <v>31</v>
      </c>
      <c r="H16" s="138">
        <v>0.75</v>
      </c>
      <c r="I16" s="139">
        <v>65</v>
      </c>
      <c r="J16" s="140">
        <f t="shared" si="38"/>
        <v>2.25</v>
      </c>
      <c r="K16" s="141">
        <f t="shared" si="19"/>
        <v>16.125</v>
      </c>
      <c r="L16" s="142" t="s">
        <v>32</v>
      </c>
      <c r="M16" s="139" t="s">
        <v>33</v>
      </c>
      <c r="N16" s="143">
        <f t="shared" si="0"/>
        <v>0.75</v>
      </c>
      <c r="O16" s="144">
        <f t="shared" si="0"/>
        <v>65</v>
      </c>
      <c r="P16" s="145">
        <v>16</v>
      </c>
      <c r="Q16" s="146">
        <v>24.5</v>
      </c>
      <c r="R16" s="140">
        <f t="shared" si="1"/>
        <v>10.5</v>
      </c>
      <c r="S16" s="140">
        <f t="shared" si="20"/>
        <v>1.75</v>
      </c>
      <c r="T16" s="147">
        <f t="shared" si="2"/>
        <v>1.75</v>
      </c>
      <c r="U16" s="148">
        <v>2</v>
      </c>
      <c r="V16" s="143">
        <f t="shared" si="39"/>
        <v>0.75</v>
      </c>
      <c r="W16" s="149">
        <v>2.5</v>
      </c>
      <c r="X16" s="140">
        <f t="shared" ref="X16:X34" si="40">I16</f>
        <v>65</v>
      </c>
      <c r="Y16" s="150">
        <f t="shared" ref="Y16:Y34" si="41">E16+V16</f>
        <v>14.25</v>
      </c>
      <c r="Z16" s="151">
        <v>12</v>
      </c>
      <c r="AA16" s="152">
        <v>3.5</v>
      </c>
      <c r="AB16" s="153">
        <v>3.5</v>
      </c>
      <c r="AC16" s="154" t="s">
        <v>6</v>
      </c>
      <c r="AD16" s="155">
        <v>1.25</v>
      </c>
      <c r="AE16" s="156">
        <f t="shared" si="21"/>
        <v>1.375</v>
      </c>
      <c r="AF16" s="157">
        <f t="shared" si="3"/>
        <v>3.25</v>
      </c>
      <c r="AG16" s="158" t="s">
        <v>179</v>
      </c>
      <c r="AH16" s="159" t="s">
        <v>180</v>
      </c>
      <c r="AI16" s="160" t="s">
        <v>180</v>
      </c>
      <c r="AJ16" s="161">
        <f t="shared" si="4"/>
        <v>6.5</v>
      </c>
      <c r="AK16" s="162">
        <f t="shared" si="5"/>
        <v>5.5</v>
      </c>
      <c r="AL16" s="616">
        <v>5.5</v>
      </c>
      <c r="AM16" s="617">
        <v>1</v>
      </c>
      <c r="AN16" s="163">
        <f t="shared" si="22"/>
        <v>10.375</v>
      </c>
      <c r="AO16" s="164" t="str">
        <f t="shared" si="6"/>
        <v>PL 3/4 x 24 1/2 x 28 3/8</v>
      </c>
      <c r="AP16" s="165">
        <f t="shared" si="23"/>
        <v>163.95805358443141</v>
      </c>
      <c r="AQ16" s="166">
        <f t="shared" si="24"/>
        <v>166.51550148096669</v>
      </c>
      <c r="AS16" s="24">
        <f t="shared" si="7"/>
        <v>28.375</v>
      </c>
      <c r="AT16" s="24">
        <f t="shared" si="25"/>
        <v>17.81872083207961</v>
      </c>
      <c r="AU16" s="24">
        <f t="shared" si="26"/>
        <v>25.329090769567706</v>
      </c>
      <c r="AV16" s="25">
        <f t="shared" si="8"/>
        <v>147.86638125000002</v>
      </c>
      <c r="AW16" s="25">
        <f t="shared" si="27"/>
        <v>138.68884172232961</v>
      </c>
      <c r="AX16" s="25">
        <f t="shared" ref="AX16:AX34" si="42">2*V16*(W16*P16-J16^2*(2-PI()/2))*0.2836</f>
        <v>16.091672334431404</v>
      </c>
      <c r="AY16" s="25">
        <f t="shared" si="29"/>
        <v>18.401254014431405</v>
      </c>
      <c r="AZ16" s="25">
        <f t="shared" si="9"/>
        <v>0.5625</v>
      </c>
      <c r="BA16" s="25">
        <f t="shared" si="10"/>
        <v>3</v>
      </c>
      <c r="BB16">
        <f t="shared" si="30"/>
        <v>5.3206191468428976E-2</v>
      </c>
      <c r="BD16" s="4">
        <v>0.3125</v>
      </c>
      <c r="BE16">
        <f t="shared" si="31"/>
        <v>12</v>
      </c>
      <c r="BF16">
        <f t="shared" si="32"/>
        <v>12.875</v>
      </c>
      <c r="BG16">
        <f t="shared" si="33"/>
        <v>13.073617628028968</v>
      </c>
      <c r="BH16" s="675">
        <f t="shared" si="34"/>
        <v>0.3125</v>
      </c>
      <c r="BI16">
        <f t="shared" si="35"/>
        <v>0.75</v>
      </c>
      <c r="BJ16">
        <f t="shared" si="36"/>
        <v>0.84930881401448399</v>
      </c>
      <c r="BL16">
        <f t="shared" si="11"/>
        <v>12.526279437375001</v>
      </c>
      <c r="BM16">
        <f t="shared" si="12"/>
        <v>13.325317542812501</v>
      </c>
      <c r="BN16">
        <f t="shared" si="37"/>
        <v>13.530882044799778</v>
      </c>
      <c r="BO16">
        <f t="shared" si="13"/>
        <v>0.57563971868750041</v>
      </c>
      <c r="BP16">
        <f t="shared" si="14"/>
        <v>0.9751587714062504</v>
      </c>
      <c r="BQ16">
        <f t="shared" si="15"/>
        <v>1.0779410223998891</v>
      </c>
      <c r="BR16">
        <f t="shared" si="16"/>
        <v>0.63249321778750023</v>
      </c>
      <c r="BS16">
        <f t="shared" si="17"/>
        <v>0.94499321778750023</v>
      </c>
      <c r="BT16">
        <f t="shared" si="18"/>
        <v>1.0365887258591115</v>
      </c>
    </row>
    <row r="17" spans="1:72" ht="14.25" customHeight="1" x14ac:dyDescent="0.25">
      <c r="B17" s="167">
        <v>13.5</v>
      </c>
      <c r="C17" s="608">
        <v>14.25</v>
      </c>
      <c r="D17" s="609">
        <v>14.625</v>
      </c>
      <c r="E17" s="177">
        <v>15.5</v>
      </c>
      <c r="F17" s="610">
        <v>0.25</v>
      </c>
      <c r="G17" s="167" t="s">
        <v>34</v>
      </c>
      <c r="H17" s="168">
        <v>0.75</v>
      </c>
      <c r="I17" s="169">
        <v>65</v>
      </c>
      <c r="J17" s="170">
        <f t="shared" si="38"/>
        <v>2.25</v>
      </c>
      <c r="K17" s="171">
        <f t="shared" si="19"/>
        <v>18.125</v>
      </c>
      <c r="L17" s="172" t="s">
        <v>35</v>
      </c>
      <c r="M17" s="169" t="s">
        <v>36</v>
      </c>
      <c r="N17" s="173">
        <f t="shared" si="0"/>
        <v>0.75</v>
      </c>
      <c r="O17" s="174">
        <f t="shared" si="0"/>
        <v>65</v>
      </c>
      <c r="P17" s="175">
        <v>18</v>
      </c>
      <c r="Q17" s="176">
        <v>24</v>
      </c>
      <c r="R17" s="170">
        <f t="shared" si="1"/>
        <v>10</v>
      </c>
      <c r="S17" s="170">
        <f t="shared" si="20"/>
        <v>2</v>
      </c>
      <c r="T17" s="177">
        <f t="shared" si="2"/>
        <v>2</v>
      </c>
      <c r="U17" s="178">
        <v>2</v>
      </c>
      <c r="V17" s="173">
        <f t="shared" si="39"/>
        <v>0.75</v>
      </c>
      <c r="W17" s="179">
        <v>2.5</v>
      </c>
      <c r="X17" s="170">
        <f t="shared" si="40"/>
        <v>65</v>
      </c>
      <c r="Y17" s="180">
        <f t="shared" si="41"/>
        <v>16.25</v>
      </c>
      <c r="Z17" s="181">
        <v>8</v>
      </c>
      <c r="AA17" s="182">
        <v>6</v>
      </c>
      <c r="AB17" s="183">
        <v>4</v>
      </c>
      <c r="AC17" s="184" t="s">
        <v>6</v>
      </c>
      <c r="AD17" s="185">
        <v>1.5</v>
      </c>
      <c r="AE17" s="186">
        <f t="shared" si="21"/>
        <v>1.625</v>
      </c>
      <c r="AF17" s="187">
        <f t="shared" si="3"/>
        <v>3.5</v>
      </c>
      <c r="AG17" s="188" t="s">
        <v>179</v>
      </c>
      <c r="AH17" s="189" t="s">
        <v>180</v>
      </c>
      <c r="AI17" s="190" t="s">
        <v>180</v>
      </c>
      <c r="AJ17" s="191">
        <f t="shared" si="4"/>
        <v>7</v>
      </c>
      <c r="AK17" s="192">
        <f t="shared" si="5"/>
        <v>5.75</v>
      </c>
      <c r="AL17" s="611">
        <v>6.5</v>
      </c>
      <c r="AM17" s="612">
        <v>1</v>
      </c>
      <c r="AN17" s="193">
        <f t="shared" si="22"/>
        <v>12.5</v>
      </c>
      <c r="AO17" s="194" t="str">
        <f t="shared" si="6"/>
        <v>PL 3/4 x 24 x 31 3/8</v>
      </c>
      <c r="AP17" s="195">
        <f t="shared" si="23"/>
        <v>178.38177233443142</v>
      </c>
      <c r="AQ17" s="196">
        <f t="shared" si="24"/>
        <v>180.40732156849432</v>
      </c>
      <c r="AS17" s="24">
        <f t="shared" si="7"/>
        <v>31.375</v>
      </c>
      <c r="AT17" s="24">
        <f t="shared" si="25"/>
        <v>16.591536201771095</v>
      </c>
      <c r="AU17" s="24">
        <f t="shared" si="26"/>
        <v>34.753868730337089</v>
      </c>
      <c r="AV17" s="25">
        <f t="shared" si="8"/>
        <v>160.16310000000001</v>
      </c>
      <c r="AW17" s="25">
        <f t="shared" si="27"/>
        <v>149.24193237094059</v>
      </c>
      <c r="AX17" s="25">
        <f t="shared" si="42"/>
        <v>18.218672334431407</v>
      </c>
      <c r="AY17" s="25">
        <f t="shared" si="29"/>
        <v>20.953654014431407</v>
      </c>
      <c r="AZ17" s="25">
        <f t="shared" si="9"/>
        <v>0.6875</v>
      </c>
      <c r="BA17" s="25">
        <f t="shared" si="10"/>
        <v>3</v>
      </c>
      <c r="BB17">
        <f t="shared" si="30"/>
        <v>7.983840344408355E-2</v>
      </c>
      <c r="BD17" s="4">
        <v>0.25</v>
      </c>
      <c r="BE17">
        <f t="shared" si="31"/>
        <v>14.125</v>
      </c>
      <c r="BF17">
        <f t="shared" si="32"/>
        <v>15</v>
      </c>
      <c r="BG17">
        <f t="shared" si="33"/>
        <v>15.231399178286175</v>
      </c>
      <c r="BH17" s="675">
        <f t="shared" si="34"/>
        <v>0.3125</v>
      </c>
      <c r="BI17">
        <f t="shared" si="35"/>
        <v>0.75</v>
      </c>
      <c r="BJ17">
        <f t="shared" si="36"/>
        <v>0.86569958914308742</v>
      </c>
      <c r="BL17">
        <f t="shared" si="11"/>
        <v>14.701705917249999</v>
      </c>
      <c r="BM17">
        <f t="shared" si="12"/>
        <v>15.567731320749999</v>
      </c>
      <c r="BN17">
        <f t="shared" si="37"/>
        <v>15.807888669776766</v>
      </c>
      <c r="BO17">
        <f t="shared" si="13"/>
        <v>0.60085295862499954</v>
      </c>
      <c r="BP17">
        <f t="shared" si="14"/>
        <v>1.0338656603749996</v>
      </c>
      <c r="BQ17">
        <f t="shared" si="15"/>
        <v>1.1539443348883829</v>
      </c>
      <c r="BR17">
        <f t="shared" si="16"/>
        <v>0.58734122624999952</v>
      </c>
      <c r="BS17">
        <f t="shared" si="17"/>
        <v>0.96234122624999952</v>
      </c>
      <c r="BT17">
        <f t="shared" si="18"/>
        <v>1.0683991829644963</v>
      </c>
    </row>
    <row r="18" spans="1:72" ht="14.25" customHeight="1" x14ac:dyDescent="0.25">
      <c r="B18" s="137">
        <v>13.75</v>
      </c>
      <c r="C18" s="613">
        <v>13.75</v>
      </c>
      <c r="D18" s="614">
        <v>13.75</v>
      </c>
      <c r="E18" s="147">
        <v>14.5</v>
      </c>
      <c r="F18" s="615">
        <v>0.375</v>
      </c>
      <c r="G18" s="137" t="s">
        <v>37</v>
      </c>
      <c r="H18" s="138">
        <v>1</v>
      </c>
      <c r="I18" s="139">
        <v>65</v>
      </c>
      <c r="J18" s="140">
        <f t="shared" si="38"/>
        <v>3</v>
      </c>
      <c r="K18" s="141">
        <f t="shared" si="19"/>
        <v>18.125</v>
      </c>
      <c r="L18" s="142" t="s">
        <v>38</v>
      </c>
      <c r="M18" s="139" t="s">
        <v>39</v>
      </c>
      <c r="N18" s="143">
        <f t="shared" si="0"/>
        <v>1</v>
      </c>
      <c r="O18" s="144">
        <f t="shared" si="0"/>
        <v>65</v>
      </c>
      <c r="P18" s="145">
        <v>18</v>
      </c>
      <c r="Q18" s="146">
        <v>24</v>
      </c>
      <c r="R18" s="140">
        <f t="shared" si="1"/>
        <v>10</v>
      </c>
      <c r="S18" s="140">
        <f t="shared" si="20"/>
        <v>2</v>
      </c>
      <c r="T18" s="147">
        <f t="shared" si="2"/>
        <v>2</v>
      </c>
      <c r="U18" s="148">
        <v>2</v>
      </c>
      <c r="V18" s="143">
        <f t="shared" si="39"/>
        <v>1</v>
      </c>
      <c r="W18" s="149">
        <v>3</v>
      </c>
      <c r="X18" s="140">
        <f t="shared" si="40"/>
        <v>65</v>
      </c>
      <c r="Y18" s="150">
        <f t="shared" si="41"/>
        <v>15.5</v>
      </c>
      <c r="Z18" s="197">
        <v>8</v>
      </c>
      <c r="AA18" s="198">
        <v>6</v>
      </c>
      <c r="AB18" s="199">
        <v>4</v>
      </c>
      <c r="AC18" s="200" t="s">
        <v>6</v>
      </c>
      <c r="AD18" s="201">
        <v>1.5</v>
      </c>
      <c r="AE18" s="202">
        <f t="shared" si="21"/>
        <v>1.625</v>
      </c>
      <c r="AF18" s="203">
        <f t="shared" si="3"/>
        <v>4</v>
      </c>
      <c r="AG18" s="204" t="s">
        <v>179</v>
      </c>
      <c r="AH18" s="205" t="s">
        <v>180</v>
      </c>
      <c r="AI18" s="206" t="s">
        <v>180</v>
      </c>
      <c r="AJ18" s="207">
        <f t="shared" si="4"/>
        <v>7.5</v>
      </c>
      <c r="AK18" s="208">
        <f t="shared" si="5"/>
        <v>6.5</v>
      </c>
      <c r="AL18" s="618">
        <v>6</v>
      </c>
      <c r="AM18" s="619">
        <v>1</v>
      </c>
      <c r="AN18" s="209">
        <f t="shared" si="22"/>
        <v>11.375</v>
      </c>
      <c r="AO18" s="210" t="str">
        <f t="shared" si="6"/>
        <v>PL 1 x 24 x 32</v>
      </c>
      <c r="AP18" s="165">
        <f t="shared" si="23"/>
        <v>246.2426010890226</v>
      </c>
      <c r="AQ18" s="211">
        <f t="shared" si="24"/>
        <v>250.92299301899266</v>
      </c>
      <c r="AS18" s="24">
        <f t="shared" si="7"/>
        <v>32</v>
      </c>
      <c r="AT18" s="24">
        <f t="shared" si="25"/>
        <v>16.591536201771095</v>
      </c>
      <c r="AU18" s="24">
        <f t="shared" si="26"/>
        <v>29.845130209103033</v>
      </c>
      <c r="AV18" s="25">
        <f t="shared" si="8"/>
        <v>217.8048</v>
      </c>
      <c r="AW18" s="25">
        <f t="shared" si="27"/>
        <v>204.63536140587613</v>
      </c>
      <c r="AX18" s="25">
        <f t="shared" si="42"/>
        <v>28.437801089022592</v>
      </c>
      <c r="AY18" s="25">
        <f t="shared" si="29"/>
        <v>32.084443329022591</v>
      </c>
      <c r="AZ18" s="25">
        <f t="shared" si="9"/>
        <v>0.8125</v>
      </c>
      <c r="BA18" s="25">
        <f t="shared" si="10"/>
        <v>4</v>
      </c>
      <c r="BB18">
        <f t="shared" si="30"/>
        <v>8.3388741526675414E-2</v>
      </c>
      <c r="BD18" s="4">
        <v>0.3125</v>
      </c>
      <c r="BE18">
        <f t="shared" si="31"/>
        <v>13</v>
      </c>
      <c r="BF18">
        <f t="shared" si="32"/>
        <v>13.875</v>
      </c>
      <c r="BG18">
        <f t="shared" si="33"/>
        <v>14.089044239914712</v>
      </c>
      <c r="BH18" s="675">
        <f t="shared" si="34"/>
        <v>0.3125</v>
      </c>
      <c r="BI18">
        <f t="shared" si="35"/>
        <v>0.75</v>
      </c>
      <c r="BJ18">
        <f t="shared" si="36"/>
        <v>0.85702211995735578</v>
      </c>
      <c r="BL18">
        <f t="shared" si="11"/>
        <v>14.547005378874999</v>
      </c>
      <c r="BM18">
        <f t="shared" si="12"/>
        <v>14.768693215312499</v>
      </c>
      <c r="BN18">
        <f t="shared" si="37"/>
        <v>14.99652411360476</v>
      </c>
      <c r="BO18">
        <f t="shared" si="13"/>
        <v>1.0860026894374997</v>
      </c>
      <c r="BP18">
        <f t="shared" si="14"/>
        <v>1.1968466076562496</v>
      </c>
      <c r="BQ18">
        <f t="shared" si="15"/>
        <v>1.3107620568023801</v>
      </c>
      <c r="BR18">
        <f t="shared" si="16"/>
        <v>1.0744805158875002</v>
      </c>
      <c r="BS18">
        <f t="shared" si="17"/>
        <v>1.1369805158875002</v>
      </c>
      <c r="BT18">
        <f t="shared" si="18"/>
        <v>1.2382176563877021</v>
      </c>
    </row>
    <row r="19" spans="1:72" ht="14.25" customHeight="1" x14ac:dyDescent="0.25">
      <c r="B19" s="167">
        <v>15.75</v>
      </c>
      <c r="C19" s="608">
        <v>15.5</v>
      </c>
      <c r="D19" s="609">
        <v>15.75</v>
      </c>
      <c r="E19" s="177">
        <v>16.25</v>
      </c>
      <c r="F19" s="610">
        <v>0.25</v>
      </c>
      <c r="G19" s="167" t="s">
        <v>40</v>
      </c>
      <c r="H19" s="168">
        <v>1</v>
      </c>
      <c r="I19" s="169">
        <v>65</v>
      </c>
      <c r="J19" s="170">
        <f t="shared" si="38"/>
        <v>3</v>
      </c>
      <c r="K19" s="171">
        <f t="shared" si="19"/>
        <v>20.125</v>
      </c>
      <c r="L19" s="172" t="s">
        <v>41</v>
      </c>
      <c r="M19" s="169" t="s">
        <v>42</v>
      </c>
      <c r="N19" s="173">
        <f t="shared" si="0"/>
        <v>1</v>
      </c>
      <c r="O19" s="174">
        <f t="shared" si="0"/>
        <v>65</v>
      </c>
      <c r="P19" s="175">
        <v>20</v>
      </c>
      <c r="Q19" s="176">
        <v>24</v>
      </c>
      <c r="R19" s="170">
        <f t="shared" si="1"/>
        <v>10</v>
      </c>
      <c r="S19" s="170">
        <f t="shared" si="20"/>
        <v>2</v>
      </c>
      <c r="T19" s="177">
        <f t="shared" si="2"/>
        <v>2</v>
      </c>
      <c r="U19" s="178">
        <v>2</v>
      </c>
      <c r="V19" s="173">
        <f t="shared" si="39"/>
        <v>1</v>
      </c>
      <c r="W19" s="179">
        <v>3</v>
      </c>
      <c r="X19" s="170">
        <f t="shared" si="40"/>
        <v>65</v>
      </c>
      <c r="Y19" s="180">
        <f t="shared" si="41"/>
        <v>17.25</v>
      </c>
      <c r="Z19" s="212">
        <v>8</v>
      </c>
      <c r="AA19" s="213">
        <v>6</v>
      </c>
      <c r="AB19" s="214">
        <v>4</v>
      </c>
      <c r="AC19" s="215" t="s">
        <v>6</v>
      </c>
      <c r="AD19" s="216">
        <v>1.5</v>
      </c>
      <c r="AE19" s="217">
        <f t="shared" si="21"/>
        <v>1.625</v>
      </c>
      <c r="AF19" s="218">
        <f t="shared" si="3"/>
        <v>4</v>
      </c>
      <c r="AG19" s="219" t="s">
        <v>179</v>
      </c>
      <c r="AH19" s="220" t="s">
        <v>180</v>
      </c>
      <c r="AI19" s="221" t="s">
        <v>180</v>
      </c>
      <c r="AJ19" s="222">
        <f t="shared" si="4"/>
        <v>7.5</v>
      </c>
      <c r="AK19" s="223">
        <f t="shared" si="5"/>
        <v>6.5</v>
      </c>
      <c r="AL19" s="620">
        <v>7</v>
      </c>
      <c r="AM19" s="621">
        <v>1</v>
      </c>
      <c r="AN19" s="224">
        <f t="shared" si="22"/>
        <v>13.625</v>
      </c>
      <c r="AO19" s="225" t="str">
        <f t="shared" si="6"/>
        <v>PL 1 x 24 x 34</v>
      </c>
      <c r="AP19" s="195">
        <f t="shared" si="23"/>
        <v>263.25860108902259</v>
      </c>
      <c r="AQ19" s="226">
        <f t="shared" si="24"/>
        <v>266.49184271325009</v>
      </c>
      <c r="AS19" s="24">
        <f t="shared" si="7"/>
        <v>34</v>
      </c>
      <c r="AT19" s="24">
        <f t="shared" si="25"/>
        <v>16.591536201771095</v>
      </c>
      <c r="AU19" s="24">
        <f t="shared" si="26"/>
        <v>40.055306333269861</v>
      </c>
      <c r="AV19" s="25">
        <f t="shared" si="8"/>
        <v>231.41760000000002</v>
      </c>
      <c r="AW19" s="25">
        <f t="shared" si="27"/>
        <v>215.35255545706241</v>
      </c>
      <c r="AX19" s="25">
        <f t="shared" si="42"/>
        <v>31.841001089022591</v>
      </c>
      <c r="AY19" s="25">
        <f t="shared" si="29"/>
        <v>36.054843329022589</v>
      </c>
      <c r="AZ19" s="25">
        <f t="shared" si="9"/>
        <v>0.8125</v>
      </c>
      <c r="BA19" s="25">
        <f t="shared" si="10"/>
        <v>4</v>
      </c>
      <c r="BB19">
        <f t="shared" si="30"/>
        <v>8.3388741526675414E-2</v>
      </c>
      <c r="BD19" s="4">
        <v>0.25</v>
      </c>
      <c r="BE19">
        <f t="shared" si="31"/>
        <v>15.25</v>
      </c>
      <c r="BF19">
        <f t="shared" si="32"/>
        <v>15.75</v>
      </c>
      <c r="BG19">
        <f t="shared" si="33"/>
        <v>15.992969137200484</v>
      </c>
      <c r="BH19" s="675">
        <f t="shared" si="34"/>
        <v>0.3125</v>
      </c>
      <c r="BI19">
        <f t="shared" si="35"/>
        <v>0.5625</v>
      </c>
      <c r="BJ19">
        <f t="shared" si="36"/>
        <v>0.68398456860024215</v>
      </c>
      <c r="BL19">
        <f t="shared" si="11"/>
        <v>17.299782127749999</v>
      </c>
      <c r="BM19">
        <f t="shared" si="12"/>
        <v>17.011106993249999</v>
      </c>
      <c r="BN19">
        <f t="shared" si="37"/>
        <v>17.273530738581751</v>
      </c>
      <c r="BO19">
        <f t="shared" si="13"/>
        <v>1.3373910638749997</v>
      </c>
      <c r="BP19">
        <f t="shared" si="14"/>
        <v>1.1930534966249997</v>
      </c>
      <c r="BQ19">
        <f t="shared" si="15"/>
        <v>1.3242653692908757</v>
      </c>
      <c r="BR19">
        <f t="shared" si="16"/>
        <v>1.2252019366124998</v>
      </c>
      <c r="BS19">
        <f t="shared" si="17"/>
        <v>1.1002019366124998</v>
      </c>
      <c r="BT19">
        <f t="shared" si="18"/>
        <v>1.2159015257555872</v>
      </c>
    </row>
    <row r="20" spans="1:72" ht="14.25" customHeight="1" x14ac:dyDescent="0.25">
      <c r="B20" s="137">
        <v>14.75</v>
      </c>
      <c r="C20" s="613">
        <v>15.25</v>
      </c>
      <c r="D20" s="614">
        <v>15.75</v>
      </c>
      <c r="E20" s="147">
        <v>16.5</v>
      </c>
      <c r="F20" s="615">
        <v>0.375</v>
      </c>
      <c r="G20" s="137" t="s">
        <v>43</v>
      </c>
      <c r="H20" s="138">
        <v>1</v>
      </c>
      <c r="I20" s="139">
        <v>65</v>
      </c>
      <c r="J20" s="140">
        <f t="shared" si="38"/>
        <v>3</v>
      </c>
      <c r="K20" s="141">
        <f t="shared" si="19"/>
        <v>20.125</v>
      </c>
      <c r="L20" s="142" t="s">
        <v>44</v>
      </c>
      <c r="M20" s="139" t="s">
        <v>45</v>
      </c>
      <c r="N20" s="143">
        <f t="shared" si="0"/>
        <v>1</v>
      </c>
      <c r="O20" s="144">
        <f t="shared" si="0"/>
        <v>65</v>
      </c>
      <c r="P20" s="145">
        <v>20</v>
      </c>
      <c r="Q20" s="146">
        <v>28</v>
      </c>
      <c r="R20" s="140">
        <f t="shared" si="1"/>
        <v>12</v>
      </c>
      <c r="S20" s="140">
        <f t="shared" si="20"/>
        <v>2</v>
      </c>
      <c r="T20" s="147">
        <f t="shared" si="2"/>
        <v>2</v>
      </c>
      <c r="U20" s="148">
        <v>2</v>
      </c>
      <c r="V20" s="143">
        <f t="shared" si="39"/>
        <v>1</v>
      </c>
      <c r="W20" s="149">
        <v>3</v>
      </c>
      <c r="X20" s="140">
        <f t="shared" si="40"/>
        <v>65</v>
      </c>
      <c r="Y20" s="150">
        <f t="shared" si="41"/>
        <v>17.5</v>
      </c>
      <c r="Z20" s="227">
        <v>12</v>
      </c>
      <c r="AA20" s="228">
        <v>4</v>
      </c>
      <c r="AB20" s="229">
        <v>4</v>
      </c>
      <c r="AC20" s="230" t="s">
        <v>6</v>
      </c>
      <c r="AD20" s="231">
        <v>1.5</v>
      </c>
      <c r="AE20" s="232">
        <f t="shared" si="21"/>
        <v>1.625</v>
      </c>
      <c r="AF20" s="233">
        <f t="shared" si="3"/>
        <v>4</v>
      </c>
      <c r="AG20" s="234" t="s">
        <v>179</v>
      </c>
      <c r="AH20" s="235" t="s">
        <v>180</v>
      </c>
      <c r="AI20" s="236" t="s">
        <v>180</v>
      </c>
      <c r="AJ20" s="237">
        <f t="shared" si="4"/>
        <v>7.5</v>
      </c>
      <c r="AK20" s="238">
        <f t="shared" si="5"/>
        <v>6.5</v>
      </c>
      <c r="AL20" s="622">
        <v>7</v>
      </c>
      <c r="AM20" s="623">
        <v>1</v>
      </c>
      <c r="AN20" s="239">
        <f t="shared" si="22"/>
        <v>13.375</v>
      </c>
      <c r="AO20" s="240" t="str">
        <f t="shared" si="6"/>
        <v>PL 1 x 28 x 34</v>
      </c>
      <c r="AP20" s="165">
        <f t="shared" si="23"/>
        <v>301.82820108902263</v>
      </c>
      <c r="AQ20" s="241">
        <f t="shared" si="24"/>
        <v>304.88177808983431</v>
      </c>
      <c r="AS20" s="24">
        <f t="shared" si="7"/>
        <v>34</v>
      </c>
      <c r="AT20" s="24">
        <f t="shared" si="25"/>
        <v>24.887304302656641</v>
      </c>
      <c r="AU20" s="24">
        <f t="shared" si="26"/>
        <v>40.055306333269861</v>
      </c>
      <c r="AV20" s="25">
        <f t="shared" si="8"/>
        <v>269.98720000000003</v>
      </c>
      <c r="AW20" s="25">
        <f t="shared" si="27"/>
        <v>251.56947562365127</v>
      </c>
      <c r="AX20" s="25">
        <f t="shared" si="42"/>
        <v>31.841001089022591</v>
      </c>
      <c r="AY20" s="25">
        <f t="shared" si="29"/>
        <v>36.054843329022589</v>
      </c>
      <c r="AZ20" s="25">
        <f t="shared" si="9"/>
        <v>0.8125</v>
      </c>
      <c r="BA20" s="25">
        <f t="shared" si="10"/>
        <v>4</v>
      </c>
      <c r="BB20">
        <f t="shared" si="30"/>
        <v>8.3388741526675414E-2</v>
      </c>
      <c r="BD20" s="4">
        <v>0.3125</v>
      </c>
      <c r="BE20">
        <f t="shared" si="31"/>
        <v>15</v>
      </c>
      <c r="BF20">
        <f t="shared" si="32"/>
        <v>15.875</v>
      </c>
      <c r="BG20">
        <f t="shared" si="33"/>
        <v>16.119897463686204</v>
      </c>
      <c r="BH20" s="675">
        <f t="shared" si="34"/>
        <v>0.3125</v>
      </c>
      <c r="BI20">
        <f t="shared" si="35"/>
        <v>0.75</v>
      </c>
      <c r="BJ20">
        <f t="shared" si="36"/>
        <v>0.87244873184310201</v>
      </c>
      <c r="BL20">
        <f t="shared" si="11"/>
        <v>15.701705916875</v>
      </c>
      <c r="BM20">
        <f t="shared" si="12"/>
        <v>16.500744022312499</v>
      </c>
      <c r="BN20">
        <f t="shared" si="37"/>
        <v>16.755294596170742</v>
      </c>
      <c r="BO20">
        <f t="shared" si="13"/>
        <v>0.66335295843749975</v>
      </c>
      <c r="BP20">
        <f t="shared" si="14"/>
        <v>1.0628720111562497</v>
      </c>
      <c r="BQ20">
        <f t="shared" si="15"/>
        <v>1.1901472980853711</v>
      </c>
      <c r="BR20">
        <f t="shared" si="16"/>
        <v>0.70845511208750001</v>
      </c>
      <c r="BS20">
        <f t="shared" si="17"/>
        <v>1.0209551120875</v>
      </c>
      <c r="BT20">
        <f t="shared" si="18"/>
        <v>1.1337622115020105</v>
      </c>
    </row>
    <row r="21" spans="1:72" ht="14.25" customHeight="1" x14ac:dyDescent="0.25">
      <c r="B21" s="167">
        <v>16.5</v>
      </c>
      <c r="C21" s="608">
        <v>16.75</v>
      </c>
      <c r="D21" s="609">
        <v>17.375</v>
      </c>
      <c r="E21" s="177">
        <v>18.25</v>
      </c>
      <c r="F21" s="610">
        <v>0.25</v>
      </c>
      <c r="G21" s="167" t="s">
        <v>46</v>
      </c>
      <c r="H21" s="168">
        <v>1</v>
      </c>
      <c r="I21" s="169">
        <v>65</v>
      </c>
      <c r="J21" s="170">
        <f t="shared" si="38"/>
        <v>3</v>
      </c>
      <c r="K21" s="171">
        <f t="shared" si="19"/>
        <v>22.125</v>
      </c>
      <c r="L21" s="172" t="s">
        <v>47</v>
      </c>
      <c r="M21" s="169" t="s">
        <v>48</v>
      </c>
      <c r="N21" s="173">
        <f t="shared" si="0"/>
        <v>1</v>
      </c>
      <c r="O21" s="174">
        <f t="shared" si="0"/>
        <v>65</v>
      </c>
      <c r="P21" s="175">
        <v>22</v>
      </c>
      <c r="Q21" s="176">
        <v>24</v>
      </c>
      <c r="R21" s="170">
        <f t="shared" si="1"/>
        <v>10</v>
      </c>
      <c r="S21" s="170">
        <f t="shared" si="20"/>
        <v>2</v>
      </c>
      <c r="T21" s="177">
        <f t="shared" si="2"/>
        <v>2</v>
      </c>
      <c r="U21" s="178">
        <v>2</v>
      </c>
      <c r="V21" s="173">
        <f t="shared" si="39"/>
        <v>1</v>
      </c>
      <c r="W21" s="179">
        <v>3</v>
      </c>
      <c r="X21" s="170">
        <f t="shared" si="40"/>
        <v>65</v>
      </c>
      <c r="Y21" s="180">
        <f t="shared" si="41"/>
        <v>19.25</v>
      </c>
      <c r="Z21" s="242">
        <v>12</v>
      </c>
      <c r="AA21" s="243">
        <v>2</v>
      </c>
      <c r="AB21" s="244">
        <v>4</v>
      </c>
      <c r="AC21" s="245" t="s">
        <v>6</v>
      </c>
      <c r="AD21" s="246">
        <v>1.5</v>
      </c>
      <c r="AE21" s="247">
        <f t="shared" si="21"/>
        <v>1.625</v>
      </c>
      <c r="AF21" s="248">
        <f t="shared" si="3"/>
        <v>4</v>
      </c>
      <c r="AG21" s="249" t="s">
        <v>179</v>
      </c>
      <c r="AH21" s="250" t="s">
        <v>180</v>
      </c>
      <c r="AI21" s="251" t="s">
        <v>180</v>
      </c>
      <c r="AJ21" s="252">
        <f t="shared" si="4"/>
        <v>7.5</v>
      </c>
      <c r="AK21" s="253">
        <f t="shared" si="5"/>
        <v>6.5</v>
      </c>
      <c r="AL21" s="624">
        <v>8</v>
      </c>
      <c r="AM21" s="625">
        <v>1</v>
      </c>
      <c r="AN21" s="254">
        <f t="shared" si="22"/>
        <v>15.25</v>
      </c>
      <c r="AO21" s="255" t="str">
        <f t="shared" si="6"/>
        <v>PL 1 x 24 x 36</v>
      </c>
      <c r="AP21" s="195">
        <f t="shared" si="23"/>
        <v>280.27460108902261</v>
      </c>
      <c r="AQ21" s="256">
        <f t="shared" si="24"/>
        <v>279.09464527551597</v>
      </c>
      <c r="AS21" s="24">
        <f t="shared" si="7"/>
        <v>36</v>
      </c>
      <c r="AT21" s="24">
        <f t="shared" si="25"/>
        <v>24.887304302656641</v>
      </c>
      <c r="AU21" s="24">
        <f t="shared" si="26"/>
        <v>51.836278784231588</v>
      </c>
      <c r="AV21" s="25">
        <f t="shared" si="8"/>
        <v>245.03040000000001</v>
      </c>
      <c r="AW21" s="25">
        <f t="shared" si="27"/>
        <v>223.27159183655851</v>
      </c>
      <c r="AX21" s="25">
        <f t="shared" si="42"/>
        <v>35.244201089022589</v>
      </c>
      <c r="AY21" s="25">
        <f t="shared" si="29"/>
        <v>40.025243329022587</v>
      </c>
      <c r="AZ21" s="25">
        <f t="shared" si="9"/>
        <v>0.8125</v>
      </c>
      <c r="BA21" s="25">
        <f t="shared" si="10"/>
        <v>4</v>
      </c>
      <c r="BB21">
        <f t="shared" si="30"/>
        <v>8.3388741526675414E-2</v>
      </c>
      <c r="BD21" s="4">
        <v>0.25</v>
      </c>
      <c r="BE21">
        <f t="shared" si="31"/>
        <v>16.875</v>
      </c>
      <c r="BF21">
        <f t="shared" si="32"/>
        <v>17.75</v>
      </c>
      <c r="BG21">
        <f t="shared" si="33"/>
        <v>18.023822360971973</v>
      </c>
      <c r="BH21" s="675">
        <f t="shared" si="34"/>
        <v>0.3125</v>
      </c>
      <c r="BI21">
        <f t="shared" si="35"/>
        <v>0.75</v>
      </c>
      <c r="BJ21">
        <f t="shared" si="36"/>
        <v>0.88691118048598661</v>
      </c>
      <c r="BL21">
        <f t="shared" si="11"/>
        <v>18.16580753125</v>
      </c>
      <c r="BM21">
        <f t="shared" si="12"/>
        <v>18.45448266575</v>
      </c>
      <c r="BN21">
        <f t="shared" si="37"/>
        <v>18.739172807386733</v>
      </c>
      <c r="BO21">
        <f t="shared" si="13"/>
        <v>0.95790376562499979</v>
      </c>
      <c r="BP21">
        <f t="shared" si="14"/>
        <v>1.1022413328749998</v>
      </c>
      <c r="BQ21">
        <f t="shared" si="15"/>
        <v>1.2445864036933667</v>
      </c>
      <c r="BR21">
        <f t="shared" si="16"/>
        <v>0.89655629602499953</v>
      </c>
      <c r="BS21">
        <f t="shared" si="17"/>
        <v>1.0215562960249995</v>
      </c>
      <c r="BT21">
        <f t="shared" si="18"/>
        <v>1.1468975175966785</v>
      </c>
    </row>
    <row r="22" spans="1:72" ht="14.25" customHeight="1" x14ac:dyDescent="0.25">
      <c r="B22" s="137">
        <v>16.75</v>
      </c>
      <c r="C22" s="613">
        <v>17</v>
      </c>
      <c r="D22" s="614">
        <v>17.75</v>
      </c>
      <c r="E22" s="147">
        <v>18.5</v>
      </c>
      <c r="F22" s="615">
        <v>0.375</v>
      </c>
      <c r="G22" s="137" t="s">
        <v>49</v>
      </c>
      <c r="H22" s="138">
        <v>1</v>
      </c>
      <c r="I22" s="139">
        <v>65</v>
      </c>
      <c r="J22" s="140">
        <f t="shared" si="38"/>
        <v>3</v>
      </c>
      <c r="K22" s="141">
        <f t="shared" si="19"/>
        <v>22.125</v>
      </c>
      <c r="L22" s="142" t="s">
        <v>50</v>
      </c>
      <c r="M22" s="139" t="s">
        <v>51</v>
      </c>
      <c r="N22" s="143">
        <f t="shared" si="0"/>
        <v>1</v>
      </c>
      <c r="O22" s="144">
        <f t="shared" si="0"/>
        <v>65</v>
      </c>
      <c r="P22" s="145">
        <v>22</v>
      </c>
      <c r="Q22" s="146">
        <v>32</v>
      </c>
      <c r="R22" s="140">
        <f t="shared" si="1"/>
        <v>14</v>
      </c>
      <c r="S22" s="140">
        <f t="shared" si="20"/>
        <v>2</v>
      </c>
      <c r="T22" s="147">
        <f t="shared" si="2"/>
        <v>2</v>
      </c>
      <c r="U22" s="148">
        <v>2</v>
      </c>
      <c r="V22" s="143">
        <f t="shared" si="39"/>
        <v>1</v>
      </c>
      <c r="W22" s="149">
        <v>3</v>
      </c>
      <c r="X22" s="140">
        <f t="shared" si="40"/>
        <v>65</v>
      </c>
      <c r="Y22" s="150">
        <f t="shared" si="41"/>
        <v>19.5</v>
      </c>
      <c r="Z22" s="257">
        <v>12</v>
      </c>
      <c r="AA22" s="258">
        <v>6</v>
      </c>
      <c r="AB22" s="259">
        <v>4</v>
      </c>
      <c r="AC22" s="260" t="s">
        <v>6</v>
      </c>
      <c r="AD22" s="261">
        <v>1.5</v>
      </c>
      <c r="AE22" s="262">
        <f t="shared" si="21"/>
        <v>1.625</v>
      </c>
      <c r="AF22" s="263">
        <f t="shared" si="3"/>
        <v>4</v>
      </c>
      <c r="AG22" s="264" t="s">
        <v>179</v>
      </c>
      <c r="AH22" s="265" t="s">
        <v>180</v>
      </c>
      <c r="AI22" s="266" t="s">
        <v>180</v>
      </c>
      <c r="AJ22" s="267">
        <f t="shared" si="4"/>
        <v>7.5</v>
      </c>
      <c r="AK22" s="268">
        <f t="shared" si="5"/>
        <v>6.5</v>
      </c>
      <c r="AL22" s="626">
        <v>8</v>
      </c>
      <c r="AM22" s="627">
        <v>1</v>
      </c>
      <c r="AN22" s="269">
        <f t="shared" si="22"/>
        <v>15.375</v>
      </c>
      <c r="AO22" s="270" t="str">
        <f t="shared" si="6"/>
        <v>PL 1 x 32 x 36</v>
      </c>
      <c r="AP22" s="165">
        <f t="shared" si="23"/>
        <v>361.95140108902257</v>
      </c>
      <c r="AQ22" s="271">
        <f t="shared" si="24"/>
        <v>365.67205327551596</v>
      </c>
      <c r="AS22" s="24">
        <f t="shared" si="7"/>
        <v>36</v>
      </c>
      <c r="AT22" s="24">
        <f t="shared" si="25"/>
        <v>24.887304302656641</v>
      </c>
      <c r="AU22" s="24">
        <f t="shared" si="26"/>
        <v>51.836278784231588</v>
      </c>
      <c r="AV22" s="25">
        <f t="shared" si="8"/>
        <v>326.7072</v>
      </c>
      <c r="AW22" s="25">
        <f t="shared" si="27"/>
        <v>304.94839183655847</v>
      </c>
      <c r="AX22" s="25">
        <f t="shared" si="42"/>
        <v>35.244201089022589</v>
      </c>
      <c r="AY22" s="25">
        <f t="shared" si="29"/>
        <v>40.025243329022587</v>
      </c>
      <c r="AZ22" s="25">
        <f t="shared" si="9"/>
        <v>0.8125</v>
      </c>
      <c r="BA22" s="25">
        <f t="shared" si="10"/>
        <v>4</v>
      </c>
      <c r="BB22">
        <f t="shared" si="30"/>
        <v>8.3388741526675414E-2</v>
      </c>
      <c r="BD22" s="4">
        <v>0.3125</v>
      </c>
      <c r="BE22">
        <f t="shared" si="31"/>
        <v>17</v>
      </c>
      <c r="BF22">
        <f t="shared" si="32"/>
        <v>17.875</v>
      </c>
      <c r="BG22">
        <f t="shared" si="33"/>
        <v>18.150750687457691</v>
      </c>
      <c r="BH22" s="675">
        <f t="shared" si="34"/>
        <v>0.3125</v>
      </c>
      <c r="BI22">
        <f t="shared" si="35"/>
        <v>0.75</v>
      </c>
      <c r="BJ22">
        <f t="shared" si="36"/>
        <v>0.88787534372884558</v>
      </c>
      <c r="BL22">
        <f t="shared" si="11"/>
        <v>18.011106992875</v>
      </c>
      <c r="BM22">
        <f t="shared" si="12"/>
        <v>18.521469963812496</v>
      </c>
      <c r="BN22">
        <f t="shared" si="37"/>
        <v>18.807193492497717</v>
      </c>
      <c r="BO22">
        <f t="shared" si="13"/>
        <v>0.81805349643749992</v>
      </c>
      <c r="BP22">
        <f t="shared" si="14"/>
        <v>1.0732349819062481</v>
      </c>
      <c r="BQ22">
        <f t="shared" si="15"/>
        <v>1.2160967462488586</v>
      </c>
      <c r="BR22">
        <f t="shared" si="16"/>
        <v>0.84242970828749986</v>
      </c>
      <c r="BS22">
        <f t="shared" si="17"/>
        <v>1.0299297082874999</v>
      </c>
      <c r="BT22">
        <f t="shared" si="18"/>
        <v>1.1562350931020378</v>
      </c>
    </row>
    <row r="23" spans="1:72" ht="14.25" customHeight="1" x14ac:dyDescent="0.25">
      <c r="B23" s="167">
        <v>18.5</v>
      </c>
      <c r="C23" s="608">
        <v>18.5</v>
      </c>
      <c r="D23" s="609">
        <v>19.375</v>
      </c>
      <c r="E23" s="177">
        <v>20.25</v>
      </c>
      <c r="F23" s="610">
        <v>0.25</v>
      </c>
      <c r="G23" s="167" t="s">
        <v>52</v>
      </c>
      <c r="H23" s="168">
        <v>1</v>
      </c>
      <c r="I23" s="169">
        <v>65</v>
      </c>
      <c r="J23" s="170">
        <f t="shared" si="38"/>
        <v>3</v>
      </c>
      <c r="K23" s="171">
        <f t="shared" si="19"/>
        <v>24.125</v>
      </c>
      <c r="L23" s="172" t="s">
        <v>53</v>
      </c>
      <c r="M23" s="169" t="s">
        <v>54</v>
      </c>
      <c r="N23" s="173">
        <f t="shared" si="0"/>
        <v>1</v>
      </c>
      <c r="O23" s="174">
        <f t="shared" si="0"/>
        <v>65</v>
      </c>
      <c r="P23" s="175">
        <v>24</v>
      </c>
      <c r="Q23" s="176">
        <v>28</v>
      </c>
      <c r="R23" s="170">
        <f t="shared" si="1"/>
        <v>12</v>
      </c>
      <c r="S23" s="170">
        <f t="shared" si="20"/>
        <v>2</v>
      </c>
      <c r="T23" s="177">
        <f t="shared" si="2"/>
        <v>2</v>
      </c>
      <c r="U23" s="178">
        <v>2</v>
      </c>
      <c r="V23" s="173">
        <f t="shared" si="39"/>
        <v>1</v>
      </c>
      <c r="W23" s="179">
        <v>3</v>
      </c>
      <c r="X23" s="170">
        <f t="shared" si="40"/>
        <v>65</v>
      </c>
      <c r="Y23" s="180">
        <f t="shared" si="41"/>
        <v>21.25</v>
      </c>
      <c r="Z23" s="272">
        <v>12</v>
      </c>
      <c r="AA23" s="273">
        <v>4</v>
      </c>
      <c r="AB23" s="274">
        <v>4</v>
      </c>
      <c r="AC23" s="275" t="s">
        <v>6</v>
      </c>
      <c r="AD23" s="276">
        <v>1.5</v>
      </c>
      <c r="AE23" s="277">
        <f t="shared" si="21"/>
        <v>1.625</v>
      </c>
      <c r="AF23" s="278">
        <f t="shared" si="3"/>
        <v>4</v>
      </c>
      <c r="AG23" s="279" t="s">
        <v>179</v>
      </c>
      <c r="AH23" s="280" t="s">
        <v>180</v>
      </c>
      <c r="AI23" s="281" t="s">
        <v>180</v>
      </c>
      <c r="AJ23" s="282">
        <f t="shared" si="4"/>
        <v>7.5</v>
      </c>
      <c r="AK23" s="283">
        <f t="shared" si="5"/>
        <v>6.5</v>
      </c>
      <c r="AL23" s="628">
        <v>9</v>
      </c>
      <c r="AM23" s="629">
        <v>1.25</v>
      </c>
      <c r="AN23" s="284">
        <f t="shared" si="22"/>
        <v>17</v>
      </c>
      <c r="AO23" s="285" t="str">
        <f t="shared" si="6"/>
        <v>PL 1 x 28 x 38</v>
      </c>
      <c r="AP23" s="195">
        <f t="shared" si="23"/>
        <v>340.39780108902261</v>
      </c>
      <c r="AQ23" s="286">
        <f t="shared" si="24"/>
        <v>339.14709779154799</v>
      </c>
      <c r="AS23" s="24">
        <f t="shared" si="7"/>
        <v>38</v>
      </c>
      <c r="AT23" s="24">
        <f t="shared" si="25"/>
        <v>24.887304302656641</v>
      </c>
      <c r="AU23" s="24">
        <f t="shared" si="26"/>
        <v>66.071620495810336</v>
      </c>
      <c r="AV23" s="25">
        <f t="shared" si="8"/>
        <v>301.75040000000001</v>
      </c>
      <c r="AW23" s="25">
        <f t="shared" si="27"/>
        <v>275.95444892715477</v>
      </c>
      <c r="AX23" s="25">
        <f t="shared" si="42"/>
        <v>38.647401089022587</v>
      </c>
      <c r="AY23" s="25">
        <f t="shared" si="29"/>
        <v>43.995643329022585</v>
      </c>
      <c r="AZ23" s="25">
        <f t="shared" si="9"/>
        <v>0.8125</v>
      </c>
      <c r="BA23" s="25">
        <f t="shared" si="10"/>
        <v>4</v>
      </c>
      <c r="BB23">
        <f t="shared" si="30"/>
        <v>8.3388741526675414E-2</v>
      </c>
      <c r="BD23" s="4">
        <v>0.25</v>
      </c>
      <c r="BE23">
        <f t="shared" si="31"/>
        <v>18.875</v>
      </c>
      <c r="BF23">
        <f t="shared" si="32"/>
        <v>19.75</v>
      </c>
      <c r="BG23">
        <f t="shared" si="33"/>
        <v>20.054675584743464</v>
      </c>
      <c r="BH23" s="675">
        <f t="shared" si="34"/>
        <v>0.3125</v>
      </c>
      <c r="BI23">
        <f t="shared" si="35"/>
        <v>0.75</v>
      </c>
      <c r="BJ23">
        <f t="shared" si="36"/>
        <v>0.90233779237173195</v>
      </c>
      <c r="BL23">
        <f t="shared" si="11"/>
        <v>20.47520860725</v>
      </c>
      <c r="BM23">
        <f t="shared" si="12"/>
        <v>20.47520860725</v>
      </c>
      <c r="BN23">
        <f t="shared" si="37"/>
        <v>20.791071703713712</v>
      </c>
      <c r="BO23">
        <f t="shared" si="13"/>
        <v>1.112604303625</v>
      </c>
      <c r="BP23">
        <f t="shared" si="14"/>
        <v>1.112604303625</v>
      </c>
      <c r="BQ23">
        <f t="shared" si="15"/>
        <v>1.2705358518568559</v>
      </c>
      <c r="BR23">
        <f t="shared" si="16"/>
        <v>1.0137840676999996</v>
      </c>
      <c r="BS23">
        <f t="shared" si="17"/>
        <v>1.0137840676999996</v>
      </c>
      <c r="BT23">
        <f t="shared" si="18"/>
        <v>1.1526235746717042</v>
      </c>
    </row>
    <row r="24" spans="1:72" ht="14.25" customHeight="1" x14ac:dyDescent="0.25">
      <c r="B24" s="137">
        <v>18.75</v>
      </c>
      <c r="C24" s="613">
        <v>18.75</v>
      </c>
      <c r="D24" s="614">
        <v>19.75</v>
      </c>
      <c r="E24" s="147">
        <v>20.5</v>
      </c>
      <c r="F24" s="615">
        <v>0.375</v>
      </c>
      <c r="G24" s="137" t="s">
        <v>55</v>
      </c>
      <c r="H24" s="138">
        <v>1</v>
      </c>
      <c r="I24" s="139">
        <v>65</v>
      </c>
      <c r="J24" s="140">
        <f t="shared" si="38"/>
        <v>3</v>
      </c>
      <c r="K24" s="141">
        <f t="shared" si="19"/>
        <v>24.125</v>
      </c>
      <c r="L24" s="142" t="s">
        <v>56</v>
      </c>
      <c r="M24" s="139" t="s">
        <v>57</v>
      </c>
      <c r="N24" s="143">
        <f t="shared" si="0"/>
        <v>1</v>
      </c>
      <c r="O24" s="144">
        <f t="shared" si="0"/>
        <v>65</v>
      </c>
      <c r="P24" s="145">
        <v>24</v>
      </c>
      <c r="Q24" s="146">
        <v>36</v>
      </c>
      <c r="R24" s="140">
        <f t="shared" si="1"/>
        <v>16</v>
      </c>
      <c r="S24" s="140">
        <f t="shared" si="20"/>
        <v>2</v>
      </c>
      <c r="T24" s="147">
        <f t="shared" si="2"/>
        <v>2</v>
      </c>
      <c r="U24" s="148">
        <v>2</v>
      </c>
      <c r="V24" s="143">
        <f t="shared" si="39"/>
        <v>1</v>
      </c>
      <c r="W24" s="149">
        <v>3.25</v>
      </c>
      <c r="X24" s="140">
        <f t="shared" si="40"/>
        <v>65</v>
      </c>
      <c r="Y24" s="150">
        <f t="shared" si="41"/>
        <v>21.5</v>
      </c>
      <c r="Z24" s="287">
        <v>16</v>
      </c>
      <c r="AA24" s="288">
        <v>4</v>
      </c>
      <c r="AB24" s="289">
        <v>4</v>
      </c>
      <c r="AC24" s="290" t="s">
        <v>6</v>
      </c>
      <c r="AD24" s="291">
        <v>1.5</v>
      </c>
      <c r="AE24" s="292">
        <f t="shared" si="21"/>
        <v>1.625</v>
      </c>
      <c r="AF24" s="293">
        <f t="shared" si="3"/>
        <v>4</v>
      </c>
      <c r="AG24" s="294" t="s">
        <v>179</v>
      </c>
      <c r="AH24" s="295" t="s">
        <v>180</v>
      </c>
      <c r="AI24" s="296" t="s">
        <v>180</v>
      </c>
      <c r="AJ24" s="297">
        <f t="shared" si="4"/>
        <v>7.75</v>
      </c>
      <c r="AK24" s="298">
        <f t="shared" si="5"/>
        <v>6.75</v>
      </c>
      <c r="AL24" s="630">
        <v>9</v>
      </c>
      <c r="AM24" s="631">
        <v>1.25</v>
      </c>
      <c r="AN24" s="299">
        <f t="shared" si="22"/>
        <v>17.125</v>
      </c>
      <c r="AO24" s="300" t="str">
        <f t="shared" si="6"/>
        <v>PL 1 x 36 x 38 1/2</v>
      </c>
      <c r="AP24" s="165">
        <f t="shared" si="23"/>
        <v>435.1202010890226</v>
      </c>
      <c r="AQ24" s="301">
        <f t="shared" si="24"/>
        <v>437.05900116813228</v>
      </c>
      <c r="AS24" s="24">
        <f t="shared" si="7"/>
        <v>38.5</v>
      </c>
      <c r="AT24" s="24">
        <f t="shared" si="25"/>
        <v>33.183072403542191</v>
      </c>
      <c r="AU24" s="24">
        <f t="shared" si="26"/>
        <v>66.071620495810336</v>
      </c>
      <c r="AV24" s="25">
        <f t="shared" si="8"/>
        <v>393.06960000000004</v>
      </c>
      <c r="AW24" s="25">
        <f t="shared" si="27"/>
        <v>364.92096909374368</v>
      </c>
      <c r="AX24" s="25">
        <f t="shared" si="42"/>
        <v>42.050601089022585</v>
      </c>
      <c r="AY24" s="25">
        <f t="shared" si="29"/>
        <v>47.398843329022583</v>
      </c>
      <c r="AZ24" s="25">
        <f t="shared" si="9"/>
        <v>0.8125</v>
      </c>
      <c r="BA24" s="25">
        <f t="shared" si="10"/>
        <v>4</v>
      </c>
      <c r="BB24">
        <f t="shared" si="30"/>
        <v>8.3388741526675414E-2</v>
      </c>
      <c r="BD24" s="4">
        <v>0.3125</v>
      </c>
      <c r="BE24">
        <f t="shared" si="31"/>
        <v>19</v>
      </c>
      <c r="BF24">
        <f t="shared" si="32"/>
        <v>19.875</v>
      </c>
      <c r="BG24">
        <f t="shared" si="33"/>
        <v>20.181603911229182</v>
      </c>
      <c r="BH24" s="675">
        <f t="shared" si="34"/>
        <v>0.3125</v>
      </c>
      <c r="BI24">
        <f t="shared" si="35"/>
        <v>0.75</v>
      </c>
      <c r="BJ24">
        <f t="shared" si="36"/>
        <v>0.90330195561459092</v>
      </c>
      <c r="BL24">
        <f t="shared" si="11"/>
        <v>20.320508068875</v>
      </c>
      <c r="BM24">
        <f t="shared" si="12"/>
        <v>20.542195905312497</v>
      </c>
      <c r="BN24">
        <f t="shared" si="37"/>
        <v>20.859092388824692</v>
      </c>
      <c r="BO24">
        <f t="shared" si="13"/>
        <v>0.97275403443750008</v>
      </c>
      <c r="BP24">
        <f t="shared" si="14"/>
        <v>1.0835979526562483</v>
      </c>
      <c r="BQ24">
        <f t="shared" si="15"/>
        <v>1.242046194412346</v>
      </c>
      <c r="BR24">
        <f t="shared" si="16"/>
        <v>0.95965747996249995</v>
      </c>
      <c r="BS24">
        <f t="shared" si="17"/>
        <v>1.0221574799624999</v>
      </c>
      <c r="BT24">
        <f t="shared" si="18"/>
        <v>1.1619611501770635</v>
      </c>
    </row>
    <row r="25" spans="1:72" ht="14.25" customHeight="1" x14ac:dyDescent="0.25">
      <c r="A25" s="632"/>
      <c r="B25" s="167">
        <v>20.5</v>
      </c>
      <c r="C25" s="608">
        <v>20.5</v>
      </c>
      <c r="D25" s="609">
        <v>21.375</v>
      </c>
      <c r="E25" s="177">
        <v>22.25</v>
      </c>
      <c r="F25" s="610">
        <v>0.25</v>
      </c>
      <c r="G25" s="167" t="s">
        <v>58</v>
      </c>
      <c r="H25" s="168">
        <v>1</v>
      </c>
      <c r="I25" s="169">
        <v>65</v>
      </c>
      <c r="J25" s="170">
        <f t="shared" si="38"/>
        <v>3</v>
      </c>
      <c r="K25" s="171">
        <f t="shared" si="19"/>
        <v>26.125</v>
      </c>
      <c r="L25" s="172" t="s">
        <v>59</v>
      </c>
      <c r="M25" s="169" t="s">
        <v>60</v>
      </c>
      <c r="N25" s="173">
        <f t="shared" si="0"/>
        <v>1</v>
      </c>
      <c r="O25" s="174">
        <f t="shared" si="0"/>
        <v>65</v>
      </c>
      <c r="P25" s="175">
        <v>26</v>
      </c>
      <c r="Q25" s="176">
        <v>32</v>
      </c>
      <c r="R25" s="170">
        <f t="shared" si="1"/>
        <v>14</v>
      </c>
      <c r="S25" s="170">
        <f t="shared" si="20"/>
        <v>2</v>
      </c>
      <c r="T25" s="177">
        <f t="shared" si="2"/>
        <v>2</v>
      </c>
      <c r="U25" s="178">
        <v>2</v>
      </c>
      <c r="V25" s="173">
        <f t="shared" si="39"/>
        <v>1</v>
      </c>
      <c r="W25" s="179">
        <v>3.25</v>
      </c>
      <c r="X25" s="170">
        <f t="shared" si="40"/>
        <v>65</v>
      </c>
      <c r="Y25" s="180">
        <f t="shared" si="41"/>
        <v>23.25</v>
      </c>
      <c r="Z25" s="302">
        <v>12</v>
      </c>
      <c r="AA25" s="303">
        <v>6</v>
      </c>
      <c r="AB25" s="304">
        <v>4</v>
      </c>
      <c r="AC25" s="305" t="s">
        <v>6</v>
      </c>
      <c r="AD25" s="306">
        <v>1.5</v>
      </c>
      <c r="AE25" s="307">
        <f t="shared" si="21"/>
        <v>1.625</v>
      </c>
      <c r="AF25" s="308">
        <f t="shared" si="3"/>
        <v>4</v>
      </c>
      <c r="AG25" s="309" t="s">
        <v>179</v>
      </c>
      <c r="AH25" s="310" t="s">
        <v>180</v>
      </c>
      <c r="AI25" s="311" t="s">
        <v>180</v>
      </c>
      <c r="AJ25" s="312">
        <f t="shared" si="4"/>
        <v>7.75</v>
      </c>
      <c r="AK25" s="313">
        <f t="shared" si="5"/>
        <v>6.75</v>
      </c>
      <c r="AL25" s="633">
        <v>9.5</v>
      </c>
      <c r="AM25" s="634">
        <v>1.25</v>
      </c>
      <c r="AN25" s="314">
        <f t="shared" si="22"/>
        <v>19</v>
      </c>
      <c r="AO25" s="315" t="str">
        <f t="shared" si="6"/>
        <v>PL 1 x 32 x 40 1/2</v>
      </c>
      <c r="AP25" s="195">
        <f t="shared" si="23"/>
        <v>413.2830010890226</v>
      </c>
      <c r="AQ25" s="316">
        <f t="shared" si="24"/>
        <v>414.82268668938508</v>
      </c>
      <c r="AS25" s="24">
        <f t="shared" si="7"/>
        <v>40.5</v>
      </c>
      <c r="AT25" s="24">
        <f t="shared" si="25"/>
        <v>24.887304302656641</v>
      </c>
      <c r="AU25" s="24">
        <f t="shared" si="26"/>
        <v>73.336553507236729</v>
      </c>
      <c r="AV25" s="25">
        <f t="shared" si="8"/>
        <v>367.54560000000004</v>
      </c>
      <c r="AW25" s="25">
        <f t="shared" si="27"/>
        <v>339.68931392511428</v>
      </c>
      <c r="AX25" s="25">
        <f t="shared" si="42"/>
        <v>45.73740108902259</v>
      </c>
      <c r="AY25" s="25">
        <f t="shared" si="29"/>
        <v>51.652843329022588</v>
      </c>
      <c r="AZ25" s="25">
        <f t="shared" si="9"/>
        <v>0.8125</v>
      </c>
      <c r="BA25" s="25">
        <f t="shared" si="10"/>
        <v>4</v>
      </c>
      <c r="BB25">
        <f t="shared" si="30"/>
        <v>8.3388741526675414E-2</v>
      </c>
      <c r="BD25" s="4">
        <v>0.25</v>
      </c>
      <c r="BE25">
        <f t="shared" si="31"/>
        <v>20.875</v>
      </c>
      <c r="BF25">
        <f t="shared" si="32"/>
        <v>21.75</v>
      </c>
      <c r="BG25">
        <f t="shared" si="33"/>
        <v>22.085528808514955</v>
      </c>
      <c r="BH25" s="675">
        <f t="shared" si="34"/>
        <v>0.3125</v>
      </c>
      <c r="BI25">
        <f t="shared" si="35"/>
        <v>0.75</v>
      </c>
      <c r="BJ25">
        <f t="shared" si="36"/>
        <v>0.9177644042574773</v>
      </c>
      <c r="BL25">
        <f t="shared" si="11"/>
        <v>22.78460968325</v>
      </c>
      <c r="BM25">
        <f t="shared" si="12"/>
        <v>22.78460968325</v>
      </c>
      <c r="BN25">
        <f t="shared" si="37"/>
        <v>23.136099013801687</v>
      </c>
      <c r="BO25">
        <f t="shared" si="13"/>
        <v>1.2673048416250001</v>
      </c>
      <c r="BP25">
        <f t="shared" si="14"/>
        <v>1.2673048416250001</v>
      </c>
      <c r="BQ25">
        <f t="shared" si="15"/>
        <v>1.4430495069008433</v>
      </c>
      <c r="BR25">
        <f t="shared" si="16"/>
        <v>1.1477586638999995</v>
      </c>
      <c r="BS25">
        <f t="shared" si="17"/>
        <v>1.1477586638999995</v>
      </c>
      <c r="BT25">
        <f t="shared" si="18"/>
        <v>1.3020247827574494</v>
      </c>
    </row>
    <row r="26" spans="1:72" ht="14.25" customHeight="1" x14ac:dyDescent="0.25">
      <c r="B26" s="137"/>
      <c r="C26" s="613"/>
      <c r="D26" s="614">
        <v>20.75</v>
      </c>
      <c r="E26" s="147">
        <v>21.25</v>
      </c>
      <c r="F26" s="615">
        <v>0.375</v>
      </c>
      <c r="G26" s="137" t="s">
        <v>61</v>
      </c>
      <c r="H26" s="138">
        <v>1.25</v>
      </c>
      <c r="I26" s="139">
        <v>65</v>
      </c>
      <c r="J26" s="140">
        <f t="shared" si="38"/>
        <v>3.75</v>
      </c>
      <c r="K26" s="141">
        <f t="shared" si="19"/>
        <v>26.125</v>
      </c>
      <c r="L26" s="142" t="s">
        <v>62</v>
      </c>
      <c r="M26" s="139" t="s">
        <v>63</v>
      </c>
      <c r="N26" s="143">
        <f t="shared" si="0"/>
        <v>1.25</v>
      </c>
      <c r="O26" s="144">
        <f t="shared" si="0"/>
        <v>65</v>
      </c>
      <c r="P26" s="145">
        <v>26</v>
      </c>
      <c r="Q26" s="146">
        <v>32</v>
      </c>
      <c r="R26" s="140">
        <f t="shared" si="1"/>
        <v>14</v>
      </c>
      <c r="S26" s="140">
        <f t="shared" si="20"/>
        <v>2</v>
      </c>
      <c r="T26" s="147">
        <f t="shared" si="2"/>
        <v>2</v>
      </c>
      <c r="U26" s="148">
        <v>2</v>
      </c>
      <c r="V26" s="143">
        <f t="shared" si="39"/>
        <v>1.25</v>
      </c>
      <c r="W26" s="149">
        <v>3.25</v>
      </c>
      <c r="X26" s="140">
        <f t="shared" si="40"/>
        <v>65</v>
      </c>
      <c r="Y26" s="150">
        <f t="shared" si="41"/>
        <v>22.5</v>
      </c>
      <c r="Z26" s="317">
        <v>12</v>
      </c>
      <c r="AA26" s="318">
        <v>6</v>
      </c>
      <c r="AB26" s="319">
        <v>4</v>
      </c>
      <c r="AC26" s="320" t="s">
        <v>181</v>
      </c>
      <c r="AD26" s="321">
        <v>1.5</v>
      </c>
      <c r="AE26" s="322">
        <f t="shared" si="21"/>
        <v>1.625</v>
      </c>
      <c r="AF26" s="323">
        <f t="shared" si="3"/>
        <v>4.5</v>
      </c>
      <c r="AG26" s="324" t="s">
        <v>179</v>
      </c>
      <c r="AH26" s="325" t="s">
        <v>180</v>
      </c>
      <c r="AI26" s="326" t="s">
        <v>180</v>
      </c>
      <c r="AJ26" s="327">
        <f t="shared" si="4"/>
        <v>8.25</v>
      </c>
      <c r="AK26" s="328">
        <f t="shared" si="5"/>
        <v>7.5</v>
      </c>
      <c r="AL26" s="635">
        <v>9</v>
      </c>
      <c r="AM26" s="636">
        <v>1.25</v>
      </c>
      <c r="AN26" s="329">
        <f t="shared" si="22"/>
        <v>18.125</v>
      </c>
      <c r="AO26" s="330" t="str">
        <f t="shared" si="6"/>
        <v>PL 1 1/4 x 32 x 41 1/4</v>
      </c>
      <c r="AP26" s="165">
        <f t="shared" si="23"/>
        <v>523.5712052519973</v>
      </c>
      <c r="AQ26" s="331">
        <f t="shared" si="24"/>
        <v>528.64380336359716</v>
      </c>
      <c r="AS26" s="24">
        <f t="shared" si="7"/>
        <v>41.25</v>
      </c>
      <c r="AT26" s="24">
        <f t="shared" si="25"/>
        <v>24.887304302656641</v>
      </c>
      <c r="AU26" s="24">
        <f t="shared" si="26"/>
        <v>66.071620495810336</v>
      </c>
      <c r="AV26" s="25">
        <f t="shared" si="8"/>
        <v>467.94000000000005</v>
      </c>
      <c r="AW26" s="25">
        <f t="shared" si="27"/>
        <v>435.69506115894347</v>
      </c>
      <c r="AX26" s="25">
        <f t="shared" si="42"/>
        <v>55.631205251997244</v>
      </c>
      <c r="AY26" s="25">
        <f t="shared" si="29"/>
        <v>63.025508051997235</v>
      </c>
      <c r="AZ26" s="25">
        <f t="shared" si="9"/>
        <v>0.9375</v>
      </c>
      <c r="BA26" s="25">
        <f t="shared" si="10"/>
        <v>5</v>
      </c>
      <c r="BB26">
        <f t="shared" si="30"/>
        <v>8.8676985780715256E-2</v>
      </c>
      <c r="BD26" s="4">
        <v>0.3125</v>
      </c>
      <c r="BE26">
        <f t="shared" si="31"/>
        <v>20</v>
      </c>
      <c r="BF26">
        <f t="shared" si="32"/>
        <v>20.625</v>
      </c>
      <c r="BG26">
        <f t="shared" si="33"/>
        <v>20.94317387014349</v>
      </c>
      <c r="BH26" s="675">
        <f t="shared" si="34"/>
        <v>0.3125</v>
      </c>
      <c r="BI26">
        <f t="shared" si="35"/>
        <v>0.625</v>
      </c>
      <c r="BJ26">
        <f t="shared" si="36"/>
        <v>0.78408693507174476</v>
      </c>
    </row>
    <row r="27" spans="1:72" ht="14.25" customHeight="1" x14ac:dyDescent="0.25">
      <c r="B27" s="167"/>
      <c r="C27" s="608"/>
      <c r="D27" s="609">
        <v>23.375</v>
      </c>
      <c r="E27" s="177">
        <v>24.25</v>
      </c>
      <c r="F27" s="610">
        <v>0.25</v>
      </c>
      <c r="G27" s="167" t="s">
        <v>65</v>
      </c>
      <c r="H27" s="168">
        <v>1</v>
      </c>
      <c r="I27" s="169">
        <v>65</v>
      </c>
      <c r="J27" s="170">
        <f t="shared" si="38"/>
        <v>3</v>
      </c>
      <c r="K27" s="171">
        <f t="shared" si="19"/>
        <v>28.125</v>
      </c>
      <c r="L27" s="172" t="s">
        <v>66</v>
      </c>
      <c r="M27" s="169" t="s">
        <v>67</v>
      </c>
      <c r="N27" s="173">
        <f t="shared" si="0"/>
        <v>1</v>
      </c>
      <c r="O27" s="174">
        <f t="shared" si="0"/>
        <v>65</v>
      </c>
      <c r="P27" s="175">
        <v>28</v>
      </c>
      <c r="Q27" s="176">
        <v>32</v>
      </c>
      <c r="R27" s="170">
        <f t="shared" si="1"/>
        <v>14</v>
      </c>
      <c r="S27" s="170">
        <f t="shared" si="20"/>
        <v>2</v>
      </c>
      <c r="T27" s="177">
        <f t="shared" si="2"/>
        <v>2</v>
      </c>
      <c r="U27" s="178">
        <v>2</v>
      </c>
      <c r="V27" s="173">
        <f t="shared" si="39"/>
        <v>1</v>
      </c>
      <c r="W27" s="179">
        <v>3.25</v>
      </c>
      <c r="X27" s="170">
        <f t="shared" si="40"/>
        <v>65</v>
      </c>
      <c r="Y27" s="180">
        <f t="shared" si="41"/>
        <v>25.25</v>
      </c>
      <c r="Z27" s="332">
        <v>12</v>
      </c>
      <c r="AA27" s="333">
        <v>6</v>
      </c>
      <c r="AB27" s="334">
        <v>4</v>
      </c>
      <c r="AC27" s="335" t="s">
        <v>6</v>
      </c>
      <c r="AD27" s="336">
        <v>1.5</v>
      </c>
      <c r="AE27" s="337">
        <f t="shared" si="21"/>
        <v>1.625</v>
      </c>
      <c r="AF27" s="338">
        <f t="shared" si="3"/>
        <v>4</v>
      </c>
      <c r="AG27" s="339" t="s">
        <v>179</v>
      </c>
      <c r="AH27" s="340" t="s">
        <v>180</v>
      </c>
      <c r="AI27" s="341" t="s">
        <v>180</v>
      </c>
      <c r="AJ27" s="342">
        <f t="shared" si="4"/>
        <v>7.75</v>
      </c>
      <c r="AK27" s="343">
        <f t="shared" si="5"/>
        <v>6.75</v>
      </c>
      <c r="AL27" s="637">
        <v>10.5</v>
      </c>
      <c r="AM27" s="638">
        <v>1.25</v>
      </c>
      <c r="AN27" s="344">
        <f t="shared" si="22"/>
        <v>21</v>
      </c>
      <c r="AO27" s="345" t="str">
        <f t="shared" si="6"/>
        <v>PL 1 x 32 x 42 1/2</v>
      </c>
      <c r="AP27" s="195">
        <f t="shared" si="23"/>
        <v>435.1202010890226</v>
      </c>
      <c r="AQ27" s="346">
        <f t="shared" si="24"/>
        <v>433.84928560362727</v>
      </c>
      <c r="AS27" s="24">
        <f t="shared" si="7"/>
        <v>42.5</v>
      </c>
      <c r="AT27" s="24">
        <f t="shared" si="25"/>
        <v>24.887304302656641</v>
      </c>
      <c r="AU27" s="24">
        <f t="shared" si="26"/>
        <v>89.044516775185699</v>
      </c>
      <c r="AV27" s="25">
        <f t="shared" si="8"/>
        <v>385.69600000000003</v>
      </c>
      <c r="AW27" s="25">
        <f t="shared" si="27"/>
        <v>353.38493554232389</v>
      </c>
      <c r="AX27" s="25">
        <f t="shared" si="42"/>
        <v>49.424201089022588</v>
      </c>
      <c r="AY27" s="25">
        <f t="shared" si="29"/>
        <v>55.906843329022585</v>
      </c>
      <c r="AZ27" s="25">
        <f t="shared" si="9"/>
        <v>0.8125</v>
      </c>
      <c r="BA27" s="25">
        <f t="shared" si="10"/>
        <v>4</v>
      </c>
      <c r="BB27">
        <f t="shared" si="30"/>
        <v>8.3388741526675414E-2</v>
      </c>
      <c r="BD27" s="4">
        <v>0.25</v>
      </c>
      <c r="BE27">
        <f t="shared" si="31"/>
        <v>22.875</v>
      </c>
      <c r="BF27">
        <f t="shared" si="32"/>
        <v>23.75</v>
      </c>
      <c r="BG27">
        <f t="shared" si="33"/>
        <v>24.116382032286445</v>
      </c>
      <c r="BH27" s="675">
        <f t="shared" si="34"/>
        <v>0.3125</v>
      </c>
      <c r="BI27">
        <f t="shared" si="35"/>
        <v>0.75</v>
      </c>
      <c r="BJ27">
        <f t="shared" si="36"/>
        <v>0.93319101614322264</v>
      </c>
    </row>
    <row r="28" spans="1:72" ht="14.25" customHeight="1" x14ac:dyDescent="0.25">
      <c r="B28" s="137"/>
      <c r="C28" s="613"/>
      <c r="D28" s="614">
        <v>22.5</v>
      </c>
      <c r="E28" s="147">
        <v>23.25</v>
      </c>
      <c r="F28" s="615">
        <v>0.375</v>
      </c>
      <c r="G28" s="137" t="s">
        <v>68</v>
      </c>
      <c r="H28" s="138">
        <v>1.25</v>
      </c>
      <c r="I28" s="139">
        <v>65</v>
      </c>
      <c r="J28" s="140">
        <f t="shared" si="38"/>
        <v>3.75</v>
      </c>
      <c r="K28" s="141">
        <f t="shared" si="19"/>
        <v>28.125</v>
      </c>
      <c r="L28" s="142" t="s">
        <v>69</v>
      </c>
      <c r="M28" s="139" t="s">
        <v>70</v>
      </c>
      <c r="N28" s="143">
        <f t="shared" si="0"/>
        <v>1.25</v>
      </c>
      <c r="O28" s="144">
        <f t="shared" si="0"/>
        <v>65</v>
      </c>
      <c r="P28" s="145">
        <v>28</v>
      </c>
      <c r="Q28" s="146">
        <v>33.5</v>
      </c>
      <c r="R28" s="140">
        <f t="shared" si="1"/>
        <v>14.25</v>
      </c>
      <c r="S28" s="140">
        <f t="shared" si="20"/>
        <v>2.5</v>
      </c>
      <c r="T28" s="147">
        <f t="shared" si="2"/>
        <v>2.5</v>
      </c>
      <c r="U28" s="148">
        <v>2</v>
      </c>
      <c r="V28" s="143">
        <f t="shared" si="39"/>
        <v>1.25</v>
      </c>
      <c r="W28" s="149">
        <v>3.75</v>
      </c>
      <c r="X28" s="140">
        <f t="shared" si="40"/>
        <v>65</v>
      </c>
      <c r="Y28" s="150">
        <f t="shared" si="41"/>
        <v>24.5</v>
      </c>
      <c r="Z28" s="347">
        <v>12</v>
      </c>
      <c r="AA28" s="348">
        <v>4.75</v>
      </c>
      <c r="AB28" s="349">
        <v>4.75</v>
      </c>
      <c r="AC28" s="350" t="s">
        <v>181</v>
      </c>
      <c r="AD28" s="351">
        <v>1.75</v>
      </c>
      <c r="AE28" s="352">
        <f t="shared" si="21"/>
        <v>1.875</v>
      </c>
      <c r="AF28" s="353">
        <f t="shared" si="3"/>
        <v>4.75</v>
      </c>
      <c r="AG28" s="354" t="s">
        <v>179</v>
      </c>
      <c r="AH28" s="355" t="s">
        <v>180</v>
      </c>
      <c r="AI28" s="356" t="s">
        <v>180</v>
      </c>
      <c r="AJ28" s="357">
        <f t="shared" si="4"/>
        <v>9.25</v>
      </c>
      <c r="AK28" s="358">
        <f t="shared" si="5"/>
        <v>8</v>
      </c>
      <c r="AL28" s="639">
        <v>10</v>
      </c>
      <c r="AM28" s="640">
        <v>1.25</v>
      </c>
      <c r="AN28" s="355">
        <f t="shared" si="22"/>
        <v>19.875</v>
      </c>
      <c r="AO28" s="359" t="str">
        <f t="shared" si="6"/>
        <v>PL 1 1/4 x 33 1/2 x 45 1/4</v>
      </c>
      <c r="AP28" s="165">
        <f t="shared" si="23"/>
        <v>607.5433927519972</v>
      </c>
      <c r="AQ28" s="360">
        <f t="shared" si="24"/>
        <v>609.6995546117314</v>
      </c>
      <c r="AS28" s="24">
        <f t="shared" si="7"/>
        <v>45.25</v>
      </c>
      <c r="AT28" s="24">
        <f t="shared" si="25"/>
        <v>33.133985018329852</v>
      </c>
      <c r="AU28" s="24">
        <f t="shared" si="26"/>
        <v>80.99418560036186</v>
      </c>
      <c r="AV28" s="25">
        <f t="shared" si="8"/>
        <v>537.37768749999998</v>
      </c>
      <c r="AW28" s="25">
        <f t="shared" si="27"/>
        <v>496.91925101567381</v>
      </c>
      <c r="AX28" s="25">
        <f t="shared" si="42"/>
        <v>70.165705251997238</v>
      </c>
      <c r="AY28" s="25">
        <f t="shared" si="29"/>
        <v>78.269008051997233</v>
      </c>
      <c r="AZ28" s="25">
        <f t="shared" si="9"/>
        <v>0.9375</v>
      </c>
      <c r="BA28" s="25">
        <f t="shared" si="10"/>
        <v>5</v>
      </c>
      <c r="BB28">
        <f t="shared" si="30"/>
        <v>8.8676985780715256E-2</v>
      </c>
      <c r="BD28" s="4">
        <v>0.3125</v>
      </c>
      <c r="BE28">
        <f t="shared" si="31"/>
        <v>21.75</v>
      </c>
      <c r="BF28">
        <f t="shared" si="32"/>
        <v>22.625</v>
      </c>
      <c r="BG28">
        <f t="shared" si="33"/>
        <v>22.97402709391498</v>
      </c>
      <c r="BH28" s="675">
        <f t="shared" si="34"/>
        <v>0.3125</v>
      </c>
      <c r="BI28">
        <f t="shared" si="35"/>
        <v>0.75</v>
      </c>
      <c r="BJ28">
        <f t="shared" si="36"/>
        <v>0.92451354695749011</v>
      </c>
    </row>
    <row r="29" spans="1:72" ht="14.25" customHeight="1" x14ac:dyDescent="0.25">
      <c r="A29" s="4"/>
      <c r="B29" s="167"/>
      <c r="C29" s="608"/>
      <c r="D29" s="609">
        <v>24.5</v>
      </c>
      <c r="E29" s="177">
        <v>25.25</v>
      </c>
      <c r="F29" s="610">
        <v>0.3125</v>
      </c>
      <c r="G29" s="167" t="s">
        <v>71</v>
      </c>
      <c r="H29" s="168">
        <v>1.25</v>
      </c>
      <c r="I29" s="169">
        <v>65</v>
      </c>
      <c r="J29" s="170">
        <f t="shared" si="38"/>
        <v>3.75</v>
      </c>
      <c r="K29" s="171">
        <f t="shared" si="19"/>
        <v>30.125</v>
      </c>
      <c r="L29" s="172" t="s">
        <v>72</v>
      </c>
      <c r="M29" s="169" t="s">
        <v>73</v>
      </c>
      <c r="N29" s="173">
        <f t="shared" si="0"/>
        <v>1.25</v>
      </c>
      <c r="O29" s="174">
        <f t="shared" si="0"/>
        <v>65</v>
      </c>
      <c r="P29" s="175">
        <v>30</v>
      </c>
      <c r="Q29" s="176">
        <v>33.5</v>
      </c>
      <c r="R29" s="170">
        <f t="shared" si="1"/>
        <v>14.25</v>
      </c>
      <c r="S29" s="170">
        <f t="shared" si="20"/>
        <v>2.5</v>
      </c>
      <c r="T29" s="177">
        <f t="shared" si="2"/>
        <v>2.5</v>
      </c>
      <c r="U29" s="178">
        <v>2</v>
      </c>
      <c r="V29" s="173">
        <f t="shared" si="39"/>
        <v>1.25</v>
      </c>
      <c r="W29" s="179">
        <v>3.75</v>
      </c>
      <c r="X29" s="170">
        <f t="shared" si="40"/>
        <v>65</v>
      </c>
      <c r="Y29" s="180">
        <f t="shared" si="41"/>
        <v>26.5</v>
      </c>
      <c r="Z29" s="361">
        <v>12</v>
      </c>
      <c r="AA29" s="362">
        <v>4.75</v>
      </c>
      <c r="AB29" s="363">
        <v>4.75</v>
      </c>
      <c r="AC29" s="364" t="s">
        <v>181</v>
      </c>
      <c r="AD29" s="365">
        <v>1.75</v>
      </c>
      <c r="AE29" s="366">
        <f t="shared" si="21"/>
        <v>1.875</v>
      </c>
      <c r="AF29" s="367">
        <f t="shared" si="3"/>
        <v>4.75</v>
      </c>
      <c r="AG29" s="368" t="s">
        <v>179</v>
      </c>
      <c r="AH29" s="369" t="s">
        <v>180</v>
      </c>
      <c r="AI29" s="370" t="s">
        <v>180</v>
      </c>
      <c r="AJ29" s="371">
        <f t="shared" si="4"/>
        <v>9.25</v>
      </c>
      <c r="AK29" s="372">
        <f t="shared" si="5"/>
        <v>8</v>
      </c>
      <c r="AL29" s="641">
        <v>11</v>
      </c>
      <c r="AM29" s="642">
        <v>1.25</v>
      </c>
      <c r="AN29" s="373">
        <f t="shared" si="22"/>
        <v>22</v>
      </c>
      <c r="AO29" s="374" t="str">
        <f t="shared" si="6"/>
        <v>PL 1 1/4 x 33 1/2 x 47 1/4</v>
      </c>
      <c r="AP29" s="195">
        <f t="shared" si="23"/>
        <v>636.61239275199728</v>
      </c>
      <c r="AQ29" s="375">
        <f t="shared" si="24"/>
        <v>635.06652418667431</v>
      </c>
      <c r="AS29" s="24">
        <f t="shared" si="7"/>
        <v>47.25</v>
      </c>
      <c r="AT29" s="24">
        <f t="shared" si="25"/>
        <v>33.133985018329852</v>
      </c>
      <c r="AU29" s="24">
        <f t="shared" si="26"/>
        <v>97.487547031708274</v>
      </c>
      <c r="AV29" s="25">
        <f t="shared" si="8"/>
        <v>561.12918750000006</v>
      </c>
      <c r="AW29" s="25">
        <f t="shared" si="27"/>
        <v>514.82385438826157</v>
      </c>
      <c r="AX29" s="25">
        <f t="shared" si="42"/>
        <v>75.483205251997248</v>
      </c>
      <c r="AY29" s="25">
        <f t="shared" si="29"/>
        <v>84.295508051997231</v>
      </c>
      <c r="AZ29" s="25">
        <f t="shared" si="9"/>
        <v>1</v>
      </c>
      <c r="BA29" s="25">
        <f t="shared" si="10"/>
        <v>5</v>
      </c>
      <c r="BB29">
        <f t="shared" si="30"/>
        <v>0.10102051443364424</v>
      </c>
      <c r="BD29" s="4">
        <v>0.25</v>
      </c>
      <c r="BE29">
        <f t="shared" si="31"/>
        <v>23.875</v>
      </c>
      <c r="BF29">
        <f t="shared" si="32"/>
        <v>24.75</v>
      </c>
      <c r="BG29">
        <f t="shared" si="33"/>
        <v>25.131808644172189</v>
      </c>
      <c r="BH29" s="675">
        <f t="shared" si="34"/>
        <v>0.3125</v>
      </c>
      <c r="BI29">
        <f t="shared" si="35"/>
        <v>0.75</v>
      </c>
      <c r="BJ29">
        <f t="shared" si="36"/>
        <v>0.94090432208609442</v>
      </c>
    </row>
    <row r="30" spans="1:72" ht="14.25" customHeight="1" x14ac:dyDescent="0.25">
      <c r="A30" s="4"/>
      <c r="B30" s="137"/>
      <c r="C30" s="613"/>
      <c r="D30" s="614">
        <v>24.75</v>
      </c>
      <c r="E30" s="147">
        <v>25.5</v>
      </c>
      <c r="F30" s="615">
        <v>0.4375</v>
      </c>
      <c r="G30" s="137" t="s">
        <v>74</v>
      </c>
      <c r="H30" s="138">
        <v>1.25</v>
      </c>
      <c r="I30" s="139">
        <v>65</v>
      </c>
      <c r="J30" s="140">
        <f t="shared" si="38"/>
        <v>3.75</v>
      </c>
      <c r="K30" s="141">
        <f t="shared" si="19"/>
        <v>30.125</v>
      </c>
      <c r="L30" s="142" t="s">
        <v>75</v>
      </c>
      <c r="M30" s="139" t="s">
        <v>76</v>
      </c>
      <c r="N30" s="143">
        <f t="shared" si="0"/>
        <v>1.25</v>
      </c>
      <c r="O30" s="144">
        <f t="shared" si="0"/>
        <v>65</v>
      </c>
      <c r="P30" s="145">
        <v>30</v>
      </c>
      <c r="Q30" s="146">
        <v>38.25</v>
      </c>
      <c r="R30" s="140">
        <f t="shared" si="1"/>
        <v>16.625</v>
      </c>
      <c r="S30" s="140">
        <f t="shared" si="20"/>
        <v>2.5</v>
      </c>
      <c r="T30" s="147">
        <f t="shared" si="2"/>
        <v>2.5</v>
      </c>
      <c r="U30" s="148">
        <v>2</v>
      </c>
      <c r="V30" s="143">
        <f t="shared" si="39"/>
        <v>1.25</v>
      </c>
      <c r="W30" s="149">
        <v>4</v>
      </c>
      <c r="X30" s="140">
        <f t="shared" si="40"/>
        <v>65</v>
      </c>
      <c r="Y30" s="150">
        <f t="shared" si="41"/>
        <v>26.75</v>
      </c>
      <c r="Z30" s="376">
        <v>16</v>
      </c>
      <c r="AA30" s="377">
        <v>2.375</v>
      </c>
      <c r="AB30" s="378">
        <v>4.75</v>
      </c>
      <c r="AC30" s="379" t="s">
        <v>181</v>
      </c>
      <c r="AD30" s="380">
        <v>1.75</v>
      </c>
      <c r="AE30" s="381">
        <f t="shared" si="21"/>
        <v>1.875</v>
      </c>
      <c r="AF30" s="382">
        <f t="shared" si="3"/>
        <v>4.75</v>
      </c>
      <c r="AG30" s="383" t="s">
        <v>179</v>
      </c>
      <c r="AH30" s="384" t="s">
        <v>180</v>
      </c>
      <c r="AI30" s="385" t="s">
        <v>180</v>
      </c>
      <c r="AJ30" s="386">
        <f t="shared" si="4"/>
        <v>9.5</v>
      </c>
      <c r="AK30" s="387">
        <f t="shared" si="5"/>
        <v>8.25</v>
      </c>
      <c r="AL30" s="643">
        <v>11</v>
      </c>
      <c r="AM30" s="644">
        <v>1.25</v>
      </c>
      <c r="AN30" s="388">
        <f t="shared" si="22"/>
        <v>22</v>
      </c>
      <c r="AO30" s="389" t="str">
        <f t="shared" si="6"/>
        <v>PL 1 1/4 x 38 1/4 x 47 3/4</v>
      </c>
      <c r="AP30" s="165">
        <f t="shared" si="23"/>
        <v>728.27279900199721</v>
      </c>
      <c r="AQ30" s="390">
        <f t="shared" si="24"/>
        <v>728.07630229489496</v>
      </c>
      <c r="AS30" s="24">
        <f t="shared" si="7"/>
        <v>47.75</v>
      </c>
      <c r="AT30" s="24">
        <f t="shared" si="25"/>
        <v>44.178646691106465</v>
      </c>
      <c r="AU30" s="24">
        <f t="shared" si="26"/>
        <v>97.487547031708274</v>
      </c>
      <c r="AV30" s="25">
        <f t="shared" si="8"/>
        <v>647.47209375</v>
      </c>
      <c r="AW30" s="25">
        <f t="shared" si="27"/>
        <v>597.2514280752622</v>
      </c>
      <c r="AX30" s="25">
        <f t="shared" si="42"/>
        <v>80.800705251997243</v>
      </c>
      <c r="AY30" s="25">
        <f t="shared" si="29"/>
        <v>89.613008051997241</v>
      </c>
      <c r="AZ30" s="25">
        <f t="shared" si="9"/>
        <v>1</v>
      </c>
      <c r="BA30" s="25">
        <f t="shared" si="10"/>
        <v>5</v>
      </c>
      <c r="BB30">
        <f t="shared" si="30"/>
        <v>0.10102051443364424</v>
      </c>
      <c r="BD30" s="4">
        <v>0.375</v>
      </c>
      <c r="BE30">
        <f t="shared" si="31"/>
        <v>23.875</v>
      </c>
      <c r="BF30">
        <f t="shared" si="32"/>
        <v>24.75</v>
      </c>
      <c r="BG30">
        <f t="shared" si="33"/>
        <v>25.131808644172189</v>
      </c>
      <c r="BH30" s="675">
        <f t="shared" si="34"/>
        <v>0.3125</v>
      </c>
      <c r="BI30">
        <f t="shared" si="35"/>
        <v>0.75</v>
      </c>
      <c r="BJ30">
        <f t="shared" si="36"/>
        <v>0.94090432208609442</v>
      </c>
    </row>
    <row r="31" spans="1:72" ht="14.25" customHeight="1" x14ac:dyDescent="0.25">
      <c r="A31" s="4"/>
      <c r="B31" s="391"/>
      <c r="C31" s="645"/>
      <c r="D31" s="646">
        <v>26.5</v>
      </c>
      <c r="E31" s="647">
        <v>27.25</v>
      </c>
      <c r="F31" s="648">
        <v>0.3125</v>
      </c>
      <c r="G31" s="392" t="s">
        <v>77</v>
      </c>
      <c r="H31" s="393">
        <v>1.25</v>
      </c>
      <c r="I31" s="394">
        <v>65</v>
      </c>
      <c r="J31" s="395">
        <f t="shared" si="38"/>
        <v>3.75</v>
      </c>
      <c r="K31" s="396">
        <f t="shared" si="19"/>
        <v>32.125</v>
      </c>
      <c r="L31" s="397" t="s">
        <v>78</v>
      </c>
      <c r="M31" s="398" t="s">
        <v>79</v>
      </c>
      <c r="N31" s="399">
        <f t="shared" si="0"/>
        <v>1.25</v>
      </c>
      <c r="O31" s="400">
        <f t="shared" si="0"/>
        <v>65</v>
      </c>
      <c r="P31" s="401">
        <v>32</v>
      </c>
      <c r="Q31" s="402">
        <v>38.25</v>
      </c>
      <c r="R31" s="403">
        <f t="shared" si="1"/>
        <v>16.625</v>
      </c>
      <c r="S31" s="404">
        <f t="shared" si="20"/>
        <v>2.5</v>
      </c>
      <c r="T31" s="405">
        <f t="shared" si="2"/>
        <v>2.5</v>
      </c>
      <c r="U31" s="406">
        <v>2</v>
      </c>
      <c r="V31" s="399">
        <f t="shared" si="39"/>
        <v>1.25</v>
      </c>
      <c r="W31" s="407">
        <v>4</v>
      </c>
      <c r="X31" s="404">
        <f t="shared" si="40"/>
        <v>65</v>
      </c>
      <c r="Y31" s="408">
        <f t="shared" si="41"/>
        <v>28.5</v>
      </c>
      <c r="Z31" s="409">
        <v>12</v>
      </c>
      <c r="AA31" s="410">
        <v>7.125</v>
      </c>
      <c r="AB31" s="411">
        <v>4.75</v>
      </c>
      <c r="AC31" s="412" t="s">
        <v>181</v>
      </c>
      <c r="AD31" s="413">
        <v>1.75</v>
      </c>
      <c r="AE31" s="414">
        <f t="shared" si="21"/>
        <v>1.875</v>
      </c>
      <c r="AF31" s="415">
        <f t="shared" si="3"/>
        <v>4.75</v>
      </c>
      <c r="AG31" s="416" t="s">
        <v>179</v>
      </c>
      <c r="AH31" s="417" t="s">
        <v>180</v>
      </c>
      <c r="AI31" s="418" t="s">
        <v>180</v>
      </c>
      <c r="AJ31" s="419">
        <f t="shared" si="4"/>
        <v>9.5</v>
      </c>
      <c r="AK31" s="420">
        <f t="shared" si="5"/>
        <v>8.25</v>
      </c>
      <c r="AL31" s="649">
        <v>12</v>
      </c>
      <c r="AM31" s="650">
        <v>1.5</v>
      </c>
      <c r="AN31" s="421">
        <f t="shared" si="22"/>
        <v>23.75</v>
      </c>
      <c r="AO31" s="422" t="str">
        <f t="shared" si="6"/>
        <v>PL 1 1/4 x 38 1/4 x 49 3/4</v>
      </c>
      <c r="AP31" s="195">
        <f t="shared" si="23"/>
        <v>761.06404900199732</v>
      </c>
      <c r="AQ31" s="423">
        <f t="shared" si="24"/>
        <v>760.54304878259029</v>
      </c>
      <c r="AS31" s="24">
        <f t="shared" si="7"/>
        <v>49.75</v>
      </c>
      <c r="AT31" s="24">
        <f t="shared" si="25"/>
        <v>33.133985018329852</v>
      </c>
      <c r="AU31" s="24">
        <f t="shared" si="26"/>
        <v>116.63162726452107</v>
      </c>
      <c r="AV31" s="25">
        <f t="shared" si="8"/>
        <v>674.59134375000008</v>
      </c>
      <c r="AW31" s="25">
        <f t="shared" si="27"/>
        <v>621.49943419572935</v>
      </c>
      <c r="AX31" s="25">
        <f t="shared" si="42"/>
        <v>86.47270525199724</v>
      </c>
      <c r="AY31" s="25">
        <f t="shared" si="29"/>
        <v>95.994008051997255</v>
      </c>
      <c r="AZ31" s="25">
        <f t="shared" si="9"/>
        <v>1</v>
      </c>
      <c r="BA31" s="25">
        <f t="shared" si="10"/>
        <v>5</v>
      </c>
      <c r="BB31">
        <f t="shared" si="30"/>
        <v>0.10102051443364424</v>
      </c>
      <c r="BD31" s="4">
        <v>0.25</v>
      </c>
      <c r="BE31">
        <f t="shared" si="31"/>
        <v>25.875</v>
      </c>
      <c r="BF31">
        <f t="shared" si="32"/>
        <v>26.75</v>
      </c>
      <c r="BG31">
        <f t="shared" si="33"/>
        <v>27.16266186794368</v>
      </c>
      <c r="BH31" s="675">
        <f t="shared" si="34"/>
        <v>0.3125</v>
      </c>
      <c r="BI31">
        <f t="shared" si="35"/>
        <v>0.75</v>
      </c>
      <c r="BJ31">
        <f t="shared" si="36"/>
        <v>0.95633093397183977</v>
      </c>
    </row>
    <row r="32" spans="1:72" ht="14.25" customHeight="1" x14ac:dyDescent="0.25">
      <c r="A32" s="4"/>
      <c r="B32" s="424"/>
      <c r="C32" s="651"/>
      <c r="D32" s="652">
        <v>26.75</v>
      </c>
      <c r="E32" s="653">
        <v>27.5</v>
      </c>
      <c r="F32" s="654">
        <v>0.4375</v>
      </c>
      <c r="G32" s="425" t="s">
        <v>80</v>
      </c>
      <c r="H32" s="426">
        <v>1.25</v>
      </c>
      <c r="I32" s="427">
        <v>65</v>
      </c>
      <c r="J32" s="428">
        <f t="shared" si="38"/>
        <v>3.75</v>
      </c>
      <c r="K32" s="429">
        <f t="shared" si="19"/>
        <v>32.125</v>
      </c>
      <c r="L32" s="430" t="s">
        <v>81</v>
      </c>
      <c r="M32" s="431" t="s">
        <v>82</v>
      </c>
      <c r="N32" s="432">
        <f t="shared" si="0"/>
        <v>1.25</v>
      </c>
      <c r="O32" s="433">
        <f t="shared" si="0"/>
        <v>65</v>
      </c>
      <c r="P32" s="434">
        <v>32</v>
      </c>
      <c r="Q32" s="435">
        <v>43</v>
      </c>
      <c r="R32" s="436">
        <f t="shared" si="1"/>
        <v>19</v>
      </c>
      <c r="S32" s="437">
        <f t="shared" si="20"/>
        <v>2.5</v>
      </c>
      <c r="T32" s="438">
        <f t="shared" si="2"/>
        <v>2.5</v>
      </c>
      <c r="U32" s="439">
        <v>2</v>
      </c>
      <c r="V32" s="432">
        <f t="shared" si="39"/>
        <v>1.25</v>
      </c>
      <c r="W32" s="440">
        <v>4.25</v>
      </c>
      <c r="X32" s="437">
        <f t="shared" si="40"/>
        <v>65</v>
      </c>
      <c r="Y32" s="441">
        <f t="shared" si="41"/>
        <v>28.75</v>
      </c>
      <c r="Z32" s="257">
        <v>16</v>
      </c>
      <c r="AA32" s="258">
        <v>4.75</v>
      </c>
      <c r="AB32" s="442">
        <v>4.75</v>
      </c>
      <c r="AC32" s="443" t="s">
        <v>181</v>
      </c>
      <c r="AD32" s="444">
        <v>1.75</v>
      </c>
      <c r="AE32" s="445">
        <f t="shared" si="21"/>
        <v>1.875</v>
      </c>
      <c r="AF32" s="446">
        <f t="shared" si="3"/>
        <v>4.75</v>
      </c>
      <c r="AG32" s="447" t="s">
        <v>179</v>
      </c>
      <c r="AH32" s="448" t="s">
        <v>180</v>
      </c>
      <c r="AI32" s="449" t="s">
        <v>180</v>
      </c>
      <c r="AJ32" s="450">
        <f t="shared" si="4"/>
        <v>9.75</v>
      </c>
      <c r="AK32" s="451">
        <f t="shared" si="5"/>
        <v>8.5</v>
      </c>
      <c r="AL32" s="655">
        <v>12</v>
      </c>
      <c r="AM32" s="656">
        <v>1.5</v>
      </c>
      <c r="AN32" s="452">
        <f t="shared" si="22"/>
        <v>23.75</v>
      </c>
      <c r="AO32" s="453" t="str">
        <f t="shared" si="6"/>
        <v>PL 1 1/4 x 43 x 50 1/4</v>
      </c>
      <c r="AP32" s="165">
        <f t="shared" si="23"/>
        <v>858.13058025199734</v>
      </c>
      <c r="AQ32" s="454">
        <f t="shared" si="24"/>
        <v>859.2833193908109</v>
      </c>
      <c r="AS32" s="24">
        <f t="shared" si="7"/>
        <v>50.25</v>
      </c>
      <c r="AT32" s="24">
        <f t="shared" si="25"/>
        <v>44.178646691106465</v>
      </c>
      <c r="AU32" s="24">
        <f t="shared" si="26"/>
        <v>116.63162726452107</v>
      </c>
      <c r="AV32" s="25">
        <f t="shared" si="8"/>
        <v>765.98587500000008</v>
      </c>
      <c r="AW32" s="25">
        <f t="shared" si="27"/>
        <v>708.97863288273004</v>
      </c>
      <c r="AX32" s="25">
        <f t="shared" si="42"/>
        <v>92.144705251997237</v>
      </c>
      <c r="AY32" s="25">
        <f t="shared" si="29"/>
        <v>101.66600805199725</v>
      </c>
      <c r="AZ32" s="25">
        <f t="shared" si="9"/>
        <v>1</v>
      </c>
      <c r="BA32" s="25">
        <f t="shared" si="10"/>
        <v>5</v>
      </c>
      <c r="BB32">
        <f t="shared" si="30"/>
        <v>0.10102051443364424</v>
      </c>
      <c r="BD32" s="4">
        <v>0.375</v>
      </c>
      <c r="BE32">
        <f t="shared" si="31"/>
        <v>25.875</v>
      </c>
      <c r="BF32">
        <f t="shared" si="32"/>
        <v>26.75</v>
      </c>
      <c r="BG32">
        <f t="shared" si="33"/>
        <v>27.16266186794368</v>
      </c>
      <c r="BH32" s="675">
        <f t="shared" si="34"/>
        <v>0.3125</v>
      </c>
      <c r="BI32">
        <f t="shared" si="35"/>
        <v>0.75</v>
      </c>
      <c r="BJ32">
        <f t="shared" si="36"/>
        <v>0.95633093397183977</v>
      </c>
    </row>
    <row r="33" spans="1:62" ht="14.25" customHeight="1" x14ac:dyDescent="0.25">
      <c r="A33" s="4"/>
      <c r="B33" s="455"/>
      <c r="C33" s="657"/>
      <c r="D33" s="658">
        <v>28.5</v>
      </c>
      <c r="E33" s="659">
        <v>29.25</v>
      </c>
      <c r="F33" s="660">
        <v>0.375</v>
      </c>
      <c r="G33" s="456" t="s">
        <v>83</v>
      </c>
      <c r="H33" s="457">
        <v>1.25</v>
      </c>
      <c r="I33" s="458">
        <v>65</v>
      </c>
      <c r="J33" s="459">
        <f t="shared" si="38"/>
        <v>3.75</v>
      </c>
      <c r="K33" s="460">
        <f t="shared" si="19"/>
        <v>34.125</v>
      </c>
      <c r="L33" s="461" t="s">
        <v>84</v>
      </c>
      <c r="M33" s="462" t="s">
        <v>85</v>
      </c>
      <c r="N33" s="463">
        <f t="shared" si="0"/>
        <v>1.25</v>
      </c>
      <c r="O33" s="464">
        <f t="shared" si="0"/>
        <v>65</v>
      </c>
      <c r="P33" s="465">
        <v>34</v>
      </c>
      <c r="Q33" s="466">
        <v>43</v>
      </c>
      <c r="R33" s="467">
        <f t="shared" si="1"/>
        <v>19</v>
      </c>
      <c r="S33" s="468">
        <f t="shared" si="20"/>
        <v>2.5</v>
      </c>
      <c r="T33" s="469">
        <f t="shared" si="2"/>
        <v>2.5</v>
      </c>
      <c r="U33" s="470">
        <v>2</v>
      </c>
      <c r="V33" s="463">
        <f t="shared" si="39"/>
        <v>1.25</v>
      </c>
      <c r="W33" s="471">
        <v>4.25</v>
      </c>
      <c r="X33" s="468">
        <f t="shared" si="40"/>
        <v>65</v>
      </c>
      <c r="Y33" s="472">
        <f t="shared" si="41"/>
        <v>30.5</v>
      </c>
      <c r="Z33" s="473">
        <v>16</v>
      </c>
      <c r="AA33" s="474">
        <v>4.75</v>
      </c>
      <c r="AB33" s="475">
        <v>4.75</v>
      </c>
      <c r="AC33" s="476" t="s">
        <v>181</v>
      </c>
      <c r="AD33" s="477">
        <v>1.75</v>
      </c>
      <c r="AE33" s="478">
        <f t="shared" si="21"/>
        <v>1.875</v>
      </c>
      <c r="AF33" s="479">
        <f t="shared" si="3"/>
        <v>4.75</v>
      </c>
      <c r="AG33" s="480" t="s">
        <v>179</v>
      </c>
      <c r="AH33" s="481" t="s">
        <v>180</v>
      </c>
      <c r="AI33" s="482" t="s">
        <v>180</v>
      </c>
      <c r="AJ33" s="483">
        <f t="shared" si="4"/>
        <v>9.75</v>
      </c>
      <c r="AK33" s="484">
        <f t="shared" si="5"/>
        <v>8.5</v>
      </c>
      <c r="AL33" s="661">
        <v>13</v>
      </c>
      <c r="AM33" s="662">
        <v>1.5</v>
      </c>
      <c r="AN33" s="485">
        <f t="shared" si="22"/>
        <v>25.625</v>
      </c>
      <c r="AO33" s="486" t="str">
        <f t="shared" si="6"/>
        <v>PL 1 1/4 x 43 x 52 1/4</v>
      </c>
      <c r="AP33" s="487">
        <f t="shared" si="23"/>
        <v>894.64408025199725</v>
      </c>
      <c r="AQ33" s="488">
        <f t="shared" si="24"/>
        <v>891.36094269431442</v>
      </c>
      <c r="AS33" s="24">
        <f t="shared" si="7"/>
        <v>52.25</v>
      </c>
      <c r="AT33" s="24">
        <f t="shared" si="25"/>
        <v>44.178646691106465</v>
      </c>
      <c r="AU33" s="24">
        <f t="shared" si="26"/>
        <v>136.26658134945728</v>
      </c>
      <c r="AV33" s="25">
        <f t="shared" si="8"/>
        <v>796.47287500000004</v>
      </c>
      <c r="AW33" s="25">
        <f t="shared" si="27"/>
        <v>732.50504165962013</v>
      </c>
      <c r="AX33" s="25">
        <f t="shared" si="42"/>
        <v>98.17120525199725</v>
      </c>
      <c r="AY33" s="25">
        <f t="shared" si="29"/>
        <v>108.40150805199725</v>
      </c>
      <c r="AZ33" s="25">
        <f t="shared" si="9"/>
        <v>0.9375</v>
      </c>
      <c r="BA33" s="25">
        <f t="shared" si="10"/>
        <v>5</v>
      </c>
      <c r="BB33">
        <f t="shared" si="30"/>
        <v>8.8676985780715256E-2</v>
      </c>
      <c r="BD33" s="4">
        <v>0.3125</v>
      </c>
      <c r="BE33">
        <f t="shared" si="31"/>
        <v>27.75</v>
      </c>
      <c r="BF33">
        <f t="shared" si="32"/>
        <v>28.625</v>
      </c>
      <c r="BG33">
        <f t="shared" si="33"/>
        <v>29.066586765229452</v>
      </c>
      <c r="BH33" s="675">
        <f t="shared" si="34"/>
        <v>0.3125</v>
      </c>
      <c r="BI33">
        <f t="shared" si="35"/>
        <v>0.75</v>
      </c>
      <c r="BJ33">
        <f t="shared" si="36"/>
        <v>0.97079338261472614</v>
      </c>
    </row>
    <row r="34" spans="1:62" ht="14.25" customHeight="1" thickBot="1" x14ac:dyDescent="0.3">
      <c r="A34" s="4"/>
      <c r="B34" s="489"/>
      <c r="C34" s="663"/>
      <c r="D34" s="664">
        <v>28.75</v>
      </c>
      <c r="E34" s="665">
        <v>29.5</v>
      </c>
      <c r="F34" s="666">
        <v>0.5</v>
      </c>
      <c r="G34" s="490" t="s">
        <v>86</v>
      </c>
      <c r="H34" s="491">
        <v>1.25</v>
      </c>
      <c r="I34" s="492">
        <v>65</v>
      </c>
      <c r="J34" s="493">
        <f t="shared" si="38"/>
        <v>3.75</v>
      </c>
      <c r="K34" s="494">
        <f t="shared" si="19"/>
        <v>34.125</v>
      </c>
      <c r="L34" s="495" t="s">
        <v>87</v>
      </c>
      <c r="M34" s="496" t="s">
        <v>88</v>
      </c>
      <c r="N34" s="497">
        <f t="shared" si="0"/>
        <v>1.25</v>
      </c>
      <c r="O34" s="498">
        <f t="shared" si="0"/>
        <v>65</v>
      </c>
      <c r="P34" s="499">
        <v>34</v>
      </c>
      <c r="Q34" s="500">
        <v>47.75</v>
      </c>
      <c r="R34" s="501">
        <f t="shared" si="1"/>
        <v>21.375</v>
      </c>
      <c r="S34" s="502">
        <f t="shared" si="20"/>
        <v>2.5</v>
      </c>
      <c r="T34" s="503">
        <f>CEILING(1.3*AD34,0.25)</f>
        <v>2.5</v>
      </c>
      <c r="U34" s="504">
        <v>2</v>
      </c>
      <c r="V34" s="497">
        <f t="shared" si="39"/>
        <v>1.25</v>
      </c>
      <c r="W34" s="505">
        <v>4.5</v>
      </c>
      <c r="X34" s="502">
        <f t="shared" si="40"/>
        <v>65</v>
      </c>
      <c r="Y34" s="506">
        <f t="shared" si="41"/>
        <v>30.75</v>
      </c>
      <c r="Z34" s="507">
        <v>20</v>
      </c>
      <c r="AA34" s="508">
        <v>2.375</v>
      </c>
      <c r="AB34" s="509">
        <v>4.75</v>
      </c>
      <c r="AC34" s="510" t="s">
        <v>181</v>
      </c>
      <c r="AD34" s="511">
        <v>1.75</v>
      </c>
      <c r="AE34" s="512">
        <f t="shared" si="21"/>
        <v>1.875</v>
      </c>
      <c r="AF34" s="513">
        <f t="shared" si="3"/>
        <v>4.75</v>
      </c>
      <c r="AG34" s="514" t="s">
        <v>179</v>
      </c>
      <c r="AH34" s="515" t="s">
        <v>180</v>
      </c>
      <c r="AI34" s="516" t="s">
        <v>180</v>
      </c>
      <c r="AJ34" s="517">
        <f t="shared" si="4"/>
        <v>10</v>
      </c>
      <c r="AK34" s="518">
        <f t="shared" si="5"/>
        <v>8.75</v>
      </c>
      <c r="AL34" s="667">
        <v>13</v>
      </c>
      <c r="AM34" s="668">
        <v>1.5</v>
      </c>
      <c r="AN34" s="519">
        <f t="shared" si="22"/>
        <v>25.625</v>
      </c>
      <c r="AO34" s="520" t="str">
        <f t="shared" si="6"/>
        <v>PL 1 1/4 x 47 3/4 x 52 3/4</v>
      </c>
      <c r="AP34" s="521">
        <f t="shared" si="23"/>
        <v>997.11673650199737</v>
      </c>
      <c r="AQ34" s="522">
        <f t="shared" si="24"/>
        <v>995.83170580253534</v>
      </c>
      <c r="AS34" s="24">
        <f t="shared" si="7"/>
        <v>52.75</v>
      </c>
      <c r="AT34" s="24">
        <f t="shared" si="25"/>
        <v>55.223308363883085</v>
      </c>
      <c r="AU34" s="24">
        <f t="shared" si="26"/>
        <v>136.26658134945728</v>
      </c>
      <c r="AV34" s="25">
        <f t="shared" si="8"/>
        <v>892.9190312500001</v>
      </c>
      <c r="AW34" s="25">
        <f t="shared" si="27"/>
        <v>825.03586534662088</v>
      </c>
      <c r="AX34" s="25">
        <f t="shared" si="42"/>
        <v>104.19770525199725</v>
      </c>
      <c r="AY34" s="25">
        <f t="shared" si="29"/>
        <v>114.42800805199725</v>
      </c>
      <c r="AZ34" s="25">
        <f t="shared" si="9"/>
        <v>0.9375</v>
      </c>
      <c r="BA34" s="25">
        <f t="shared" si="10"/>
        <v>5</v>
      </c>
      <c r="BB34">
        <f t="shared" si="30"/>
        <v>8.8676985780715256E-2</v>
      </c>
      <c r="BD34" s="4">
        <v>0.4375</v>
      </c>
      <c r="BE34">
        <f t="shared" si="31"/>
        <v>27.75</v>
      </c>
      <c r="BF34">
        <f t="shared" si="32"/>
        <v>28.625</v>
      </c>
      <c r="BG34">
        <f t="shared" si="33"/>
        <v>29.066586765229452</v>
      </c>
      <c r="BH34" s="675">
        <f t="shared" si="34"/>
        <v>0.3125</v>
      </c>
      <c r="BI34">
        <f t="shared" si="35"/>
        <v>0.75</v>
      </c>
      <c r="BJ34">
        <f t="shared" si="36"/>
        <v>0.97079338261472614</v>
      </c>
    </row>
    <row r="36" spans="1:62" ht="15.75" x14ac:dyDescent="0.25">
      <c r="B36" s="676" t="s">
        <v>324</v>
      </c>
    </row>
    <row r="37" spans="1:62" ht="32.25" customHeight="1" thickBot="1" x14ac:dyDescent="0.3">
      <c r="C37" s="680" t="s">
        <v>325</v>
      </c>
      <c r="D37" s="680"/>
      <c r="E37" s="680" t="s">
        <v>326</v>
      </c>
      <c r="F37" s="680"/>
      <c r="G37" s="680" t="s">
        <v>327</v>
      </c>
      <c r="H37" s="680"/>
    </row>
    <row r="38" spans="1:62" ht="15.75" thickTop="1" x14ac:dyDescent="0.25">
      <c r="C38" s="681" t="s">
        <v>328</v>
      </c>
      <c r="D38" s="681"/>
      <c r="E38" s="682" t="s">
        <v>329</v>
      </c>
      <c r="F38" s="681"/>
      <c r="G38" s="681" t="s">
        <v>330</v>
      </c>
      <c r="H38" s="681"/>
    </row>
    <row r="39" spans="1:62" x14ac:dyDescent="0.25">
      <c r="C39" s="678" t="s">
        <v>331</v>
      </c>
      <c r="D39" s="678"/>
      <c r="E39" s="679" t="s">
        <v>332</v>
      </c>
      <c r="F39" s="678"/>
      <c r="G39" s="678" t="s">
        <v>330</v>
      </c>
      <c r="H39" s="678"/>
    </row>
    <row r="40" spans="1:62" x14ac:dyDescent="0.25">
      <c r="C40" s="678" t="s">
        <v>333</v>
      </c>
      <c r="D40" s="678"/>
      <c r="E40" s="679" t="s">
        <v>334</v>
      </c>
      <c r="F40" s="678"/>
      <c r="G40" s="678" t="s">
        <v>330</v>
      </c>
      <c r="H40" s="678"/>
    </row>
    <row r="41" spans="1:62" x14ac:dyDescent="0.25">
      <c r="C41" s="678" t="s">
        <v>333</v>
      </c>
      <c r="D41" s="678"/>
      <c r="E41" s="679" t="s">
        <v>335</v>
      </c>
      <c r="F41" s="678"/>
      <c r="G41" s="678" t="s">
        <v>336</v>
      </c>
      <c r="H41" s="678"/>
    </row>
    <row r="42" spans="1:62" x14ac:dyDescent="0.25">
      <c r="C42" s="678" t="s">
        <v>337</v>
      </c>
      <c r="D42" s="678"/>
      <c r="E42" s="679" t="s">
        <v>338</v>
      </c>
      <c r="F42" s="678"/>
      <c r="G42" s="678" t="s">
        <v>339</v>
      </c>
      <c r="H42" s="678"/>
    </row>
  </sheetData>
  <sheetProtection algorithmName="SHA-512" hashValue="GnbURGRJo5drhvvt1/IdrG52g7IP+cz7fyLKhNdYb8xGF3EalULtoS7AKi2wDCJXAJlRAv+Y1BXY9drNx+dzjg==" saltValue="KIqjPLjiCWr9JWBEwXeFoA==" spinCount="100000" sheet="1" objects="1" scenarios="1"/>
  <mergeCells count="63">
    <mergeCell ref="G2:H2"/>
    <mergeCell ref="BE3:BJ3"/>
    <mergeCell ref="B4:F4"/>
    <mergeCell ref="G4:K4"/>
    <mergeCell ref="L4:P4"/>
    <mergeCell ref="Q4:T4"/>
    <mergeCell ref="U4:Y4"/>
    <mergeCell ref="Z4:AI4"/>
    <mergeCell ref="AJ4:AQ4"/>
    <mergeCell ref="O5:O6"/>
    <mergeCell ref="B5:C5"/>
    <mergeCell ref="D5:E5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A5:AA6"/>
    <mergeCell ref="P5:P6"/>
    <mergeCell ref="Q5:Q6"/>
    <mergeCell ref="R5:R6"/>
    <mergeCell ref="S5:S6"/>
    <mergeCell ref="T5:T6"/>
    <mergeCell ref="U5:U6"/>
    <mergeCell ref="V5:V6"/>
    <mergeCell ref="W5:W6"/>
    <mergeCell ref="X5:X6"/>
    <mergeCell ref="Y5:Y6"/>
    <mergeCell ref="Z5:Z6"/>
    <mergeCell ref="AQ5:AQ6"/>
    <mergeCell ref="AB5:AB6"/>
    <mergeCell ref="AC5:AC6"/>
    <mergeCell ref="AD5:AD6"/>
    <mergeCell ref="AE5:AE6"/>
    <mergeCell ref="AF5:AI5"/>
    <mergeCell ref="AJ5:AJ6"/>
    <mergeCell ref="AK5:AK6"/>
    <mergeCell ref="AL5:AL6"/>
    <mergeCell ref="AM5:AN5"/>
    <mergeCell ref="AO5:AO6"/>
    <mergeCell ref="AP5:AP6"/>
    <mergeCell ref="C37:D37"/>
    <mergeCell ref="E37:F37"/>
    <mergeCell ref="G37:H37"/>
    <mergeCell ref="C38:D38"/>
    <mergeCell ref="E38:F38"/>
    <mergeCell ref="G38:H38"/>
    <mergeCell ref="C39:D39"/>
    <mergeCell ref="E39:F39"/>
    <mergeCell ref="G39:H39"/>
    <mergeCell ref="C40:D40"/>
    <mergeCell ref="E40:F40"/>
    <mergeCell ref="G40:H40"/>
    <mergeCell ref="C41:D41"/>
    <mergeCell ref="E41:F41"/>
    <mergeCell ref="G41:H41"/>
    <mergeCell ref="C42:D42"/>
    <mergeCell ref="E42:F42"/>
    <mergeCell ref="G42:H42"/>
  </mergeCells>
  <pageMargins left="0.4" right="0.15" top="1" bottom="0.65" header="0.4" footer="0.4"/>
  <pageSetup paperSize="17" scale="62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2:BT52"/>
  <sheetViews>
    <sheetView tabSelected="1" topLeftCell="A13" zoomScale="80" zoomScaleNormal="80" workbookViewId="0">
      <pane xSplit="20" topLeftCell="U1" activePane="topRight" state="frozen"/>
      <selection pane="topRight" activeCell="B7" sqref="B7"/>
    </sheetView>
  </sheetViews>
  <sheetFormatPr defaultRowHeight="15" x14ac:dyDescent="0.25"/>
  <cols>
    <col min="1" max="1" width="4.42578125" style="734" customWidth="1"/>
    <col min="2" max="5" width="7.7109375" customWidth="1"/>
    <col min="6" max="6" width="7.140625" customWidth="1"/>
    <col min="7" max="7" width="9.140625" customWidth="1"/>
    <col min="8" max="8" width="5.85546875" customWidth="1"/>
    <col min="9" max="9" width="8" customWidth="1"/>
    <col min="10" max="10" width="6.42578125" customWidth="1"/>
    <col min="11" max="11" width="7.28515625" customWidth="1"/>
    <col min="12" max="13" width="8.7109375" customWidth="1"/>
    <col min="14" max="14" width="6.7109375" customWidth="1"/>
    <col min="15" max="15" width="7.5703125" customWidth="1"/>
    <col min="16" max="16" width="7" customWidth="1"/>
    <col min="17" max="17" width="7.140625" customWidth="1"/>
    <col min="18" max="18" width="7.5703125" customWidth="1"/>
    <col min="19" max="19" width="7.28515625" customWidth="1"/>
    <col min="20" max="20" width="7" customWidth="1"/>
    <col min="21" max="21" width="5.42578125" customWidth="1"/>
    <col min="22" max="23" width="7.42578125" customWidth="1"/>
    <col min="24" max="24" width="8" customWidth="1"/>
    <col min="25" max="25" width="7.140625" customWidth="1"/>
    <col min="26" max="26" width="6" customWidth="1"/>
    <col min="27" max="27" width="7.5703125" customWidth="1"/>
    <col min="28" max="28" width="7.140625" customWidth="1"/>
    <col min="29" max="29" width="7.85546875" customWidth="1"/>
    <col min="30" max="30" width="6.42578125" customWidth="1"/>
    <col min="31" max="32" width="7.140625" customWidth="1"/>
    <col min="33" max="33" width="8.28515625" customWidth="1"/>
    <col min="34" max="34" width="8.85546875" customWidth="1"/>
    <col min="35" max="35" width="8.140625" customWidth="1"/>
    <col min="36" max="36" width="10.140625" customWidth="1"/>
    <col min="37" max="37" width="9.5703125" customWidth="1"/>
    <col min="38" max="39" width="7.7109375" customWidth="1"/>
    <col min="40" max="40" width="7.5703125" customWidth="1"/>
    <col min="41" max="41" width="21.42578125" customWidth="1"/>
    <col min="42" max="42" width="9.5703125" customWidth="1"/>
    <col min="43" max="43" width="9.42578125" customWidth="1"/>
    <col min="44" max="44" width="13.5703125" style="677" customWidth="1"/>
    <col min="46" max="46" width="10.5703125" customWidth="1"/>
    <col min="50" max="51" width="12.7109375" customWidth="1"/>
    <col min="58" max="58" width="9" customWidth="1"/>
    <col min="59" max="59" width="10.85546875" customWidth="1"/>
  </cols>
  <sheetData>
    <row r="2" spans="1:72" x14ac:dyDescent="0.25">
      <c r="B2" s="9" t="s">
        <v>134</v>
      </c>
      <c r="C2" s="9"/>
      <c r="F2" s="735" t="s">
        <v>373</v>
      </c>
      <c r="G2" s="697">
        <v>43024</v>
      </c>
      <c r="H2" s="697"/>
    </row>
    <row r="3" spans="1:72" ht="15.75" thickBot="1" x14ac:dyDescent="0.3">
      <c r="BE3" s="698" t="s">
        <v>306</v>
      </c>
      <c r="BF3" s="698"/>
      <c r="BG3" s="698"/>
      <c r="BH3" s="698"/>
      <c r="BI3" s="698"/>
      <c r="BJ3" s="698"/>
    </row>
    <row r="4" spans="1:72" ht="15" customHeight="1" x14ac:dyDescent="0.25">
      <c r="B4" s="699" t="s">
        <v>135</v>
      </c>
      <c r="C4" s="700"/>
      <c r="D4" s="700"/>
      <c r="E4" s="700"/>
      <c r="F4" s="701"/>
      <c r="G4" s="702" t="s">
        <v>136</v>
      </c>
      <c r="H4" s="703"/>
      <c r="I4" s="703"/>
      <c r="J4" s="703"/>
      <c r="K4" s="704"/>
      <c r="L4" s="705" t="s">
        <v>137</v>
      </c>
      <c r="M4" s="706"/>
      <c r="N4" s="706"/>
      <c r="O4" s="706"/>
      <c r="P4" s="706"/>
      <c r="Q4" s="707" t="s">
        <v>138</v>
      </c>
      <c r="R4" s="708"/>
      <c r="S4" s="708"/>
      <c r="T4" s="709"/>
      <c r="U4" s="710" t="s">
        <v>139</v>
      </c>
      <c r="V4" s="710"/>
      <c r="W4" s="710"/>
      <c r="X4" s="710"/>
      <c r="Y4" s="710"/>
      <c r="Z4" s="707" t="s">
        <v>140</v>
      </c>
      <c r="AA4" s="703"/>
      <c r="AB4" s="703"/>
      <c r="AC4" s="703"/>
      <c r="AD4" s="703"/>
      <c r="AE4" s="703"/>
      <c r="AF4" s="703"/>
      <c r="AG4" s="703"/>
      <c r="AH4" s="703"/>
      <c r="AI4" s="704"/>
      <c r="AJ4" s="710" t="s">
        <v>141</v>
      </c>
      <c r="AK4" s="706"/>
      <c r="AL4" s="706"/>
      <c r="AM4" s="706"/>
      <c r="AN4" s="706"/>
      <c r="AO4" s="706"/>
      <c r="AP4" s="706"/>
      <c r="AQ4" s="711"/>
      <c r="BH4">
        <v>0.3125</v>
      </c>
      <c r="BJ4" t="s">
        <v>307</v>
      </c>
    </row>
    <row r="5" spans="1:72" ht="17.25" customHeight="1" x14ac:dyDescent="0.25">
      <c r="B5" s="736" t="s">
        <v>261</v>
      </c>
      <c r="C5" s="696"/>
      <c r="D5" s="736" t="s">
        <v>262</v>
      </c>
      <c r="E5" s="737"/>
      <c r="F5" s="696" t="s">
        <v>144</v>
      </c>
      <c r="G5" s="691" t="s">
        <v>145</v>
      </c>
      <c r="H5" s="684" t="s">
        <v>146</v>
      </c>
      <c r="I5" s="684" t="s">
        <v>147</v>
      </c>
      <c r="J5" s="684" t="s">
        <v>148</v>
      </c>
      <c r="K5" s="692" t="s">
        <v>149</v>
      </c>
      <c r="L5" s="688" t="s">
        <v>150</v>
      </c>
      <c r="M5" s="689" t="s">
        <v>151</v>
      </c>
      <c r="N5" s="689" t="s">
        <v>146</v>
      </c>
      <c r="O5" s="689" t="s">
        <v>147</v>
      </c>
      <c r="P5" s="690" t="s">
        <v>152</v>
      </c>
      <c r="Q5" s="691" t="s">
        <v>153</v>
      </c>
      <c r="R5" s="684" t="s">
        <v>154</v>
      </c>
      <c r="S5" s="684" t="s">
        <v>263</v>
      </c>
      <c r="T5" s="692" t="s">
        <v>264</v>
      </c>
      <c r="U5" s="688" t="s">
        <v>156</v>
      </c>
      <c r="V5" s="689" t="s">
        <v>146</v>
      </c>
      <c r="W5" s="689" t="s">
        <v>157</v>
      </c>
      <c r="X5" s="689" t="s">
        <v>147</v>
      </c>
      <c r="Y5" s="690" t="s">
        <v>158</v>
      </c>
      <c r="Z5" s="691" t="s">
        <v>159</v>
      </c>
      <c r="AA5" s="684" t="s">
        <v>160</v>
      </c>
      <c r="AB5" s="684" t="s">
        <v>161</v>
      </c>
      <c r="AC5" s="684" t="s">
        <v>162</v>
      </c>
      <c r="AD5" s="684" t="s">
        <v>163</v>
      </c>
      <c r="AE5" s="684" t="s">
        <v>164</v>
      </c>
      <c r="AF5" s="685" t="s">
        <v>165</v>
      </c>
      <c r="AG5" s="686"/>
      <c r="AH5" s="686"/>
      <c r="AI5" s="687"/>
      <c r="AJ5" s="688" t="s">
        <v>265</v>
      </c>
      <c r="AK5" s="689" t="s">
        <v>266</v>
      </c>
      <c r="AL5" s="689" t="s">
        <v>267</v>
      </c>
      <c r="AM5" s="690" t="s">
        <v>268</v>
      </c>
      <c r="AN5" s="688"/>
      <c r="AO5" s="689" t="s">
        <v>168</v>
      </c>
      <c r="AP5" s="689" t="s">
        <v>269</v>
      </c>
      <c r="AQ5" s="683" t="s">
        <v>270</v>
      </c>
      <c r="AS5">
        <v>0.45</v>
      </c>
      <c r="BB5">
        <v>0.125</v>
      </c>
      <c r="BH5" t="s">
        <v>308</v>
      </c>
      <c r="BI5" t="s">
        <v>309</v>
      </c>
      <c r="BJ5" t="s">
        <v>310</v>
      </c>
      <c r="BO5" s="738" t="s">
        <v>308</v>
      </c>
      <c r="BP5" s="738" t="s">
        <v>309</v>
      </c>
      <c r="BQ5" t="s">
        <v>310</v>
      </c>
      <c r="BR5" s="738" t="s">
        <v>308</v>
      </c>
      <c r="BS5" s="738" t="s">
        <v>309</v>
      </c>
      <c r="BT5" t="s">
        <v>310</v>
      </c>
    </row>
    <row r="6" spans="1:72" ht="52.5" customHeight="1" thickBot="1" x14ac:dyDescent="0.3">
      <c r="B6" s="739" t="s">
        <v>271</v>
      </c>
      <c r="C6" s="740" t="s">
        <v>272</v>
      </c>
      <c r="D6" s="739" t="s">
        <v>271</v>
      </c>
      <c r="E6" s="741" t="s">
        <v>272</v>
      </c>
      <c r="F6" s="742"/>
      <c r="G6" s="743"/>
      <c r="H6" s="744"/>
      <c r="I6" s="744"/>
      <c r="J6" s="744"/>
      <c r="K6" s="745"/>
      <c r="L6" s="746"/>
      <c r="M6" s="747"/>
      <c r="N6" s="747"/>
      <c r="O6" s="747"/>
      <c r="P6" s="748"/>
      <c r="Q6" s="743"/>
      <c r="R6" s="744"/>
      <c r="S6" s="744"/>
      <c r="T6" s="745"/>
      <c r="U6" s="746"/>
      <c r="V6" s="747"/>
      <c r="W6" s="747"/>
      <c r="X6" s="747"/>
      <c r="Y6" s="748"/>
      <c r="Z6" s="743"/>
      <c r="AA6" s="744"/>
      <c r="AB6" s="744"/>
      <c r="AC6" s="744"/>
      <c r="AD6" s="744"/>
      <c r="AE6" s="744"/>
      <c r="AF6" s="749" t="s">
        <v>171</v>
      </c>
      <c r="AG6" s="750" t="s">
        <v>172</v>
      </c>
      <c r="AH6" s="751" t="s">
        <v>173</v>
      </c>
      <c r="AI6" s="752" t="s">
        <v>174</v>
      </c>
      <c r="AJ6" s="746"/>
      <c r="AK6" s="747"/>
      <c r="AL6" s="747"/>
      <c r="AM6" s="753" t="s">
        <v>273</v>
      </c>
      <c r="AN6" s="753" t="s">
        <v>274</v>
      </c>
      <c r="AO6" s="747"/>
      <c r="AP6" s="747"/>
      <c r="AQ6" s="754"/>
      <c r="AS6" t="s">
        <v>175</v>
      </c>
      <c r="AT6" t="s">
        <v>311</v>
      </c>
      <c r="AU6" t="s">
        <v>312</v>
      </c>
      <c r="AV6" s="669" t="s">
        <v>91</v>
      </c>
      <c r="AW6" s="669" t="s">
        <v>313</v>
      </c>
      <c r="AX6" s="669" t="s">
        <v>314</v>
      </c>
      <c r="AY6" s="669" t="s">
        <v>315</v>
      </c>
      <c r="AZ6" t="s">
        <v>176</v>
      </c>
      <c r="BA6" t="s">
        <v>177</v>
      </c>
      <c r="BB6" s="755" t="s">
        <v>178</v>
      </c>
      <c r="BD6" t="s">
        <v>316</v>
      </c>
      <c r="BE6" s="674" t="s">
        <v>317</v>
      </c>
      <c r="BF6" s="674" t="s">
        <v>318</v>
      </c>
      <c r="BG6" s="674" t="s">
        <v>319</v>
      </c>
      <c r="BH6" s="756" t="s">
        <v>320</v>
      </c>
      <c r="BI6" s="756" t="s">
        <v>320</v>
      </c>
      <c r="BJ6" s="674" t="s">
        <v>320</v>
      </c>
      <c r="BK6" s="677"/>
      <c r="BL6" s="674" t="s">
        <v>321</v>
      </c>
      <c r="BM6" s="674" t="s">
        <v>322</v>
      </c>
      <c r="BN6" s="674" t="s">
        <v>319</v>
      </c>
      <c r="BO6" s="757" t="s">
        <v>323</v>
      </c>
      <c r="BP6" s="757" t="s">
        <v>323</v>
      </c>
      <c r="BQ6" s="674" t="s">
        <v>323</v>
      </c>
      <c r="BR6" s="757" t="s">
        <v>323</v>
      </c>
      <c r="BS6" s="757" t="s">
        <v>323</v>
      </c>
      <c r="BT6" s="674" t="s">
        <v>323</v>
      </c>
    </row>
    <row r="7" spans="1:72" s="800" customFormat="1" ht="14.25" customHeight="1" x14ac:dyDescent="0.25">
      <c r="A7" s="758"/>
      <c r="B7" s="759">
        <v>4</v>
      </c>
      <c r="C7" s="760">
        <v>5.25</v>
      </c>
      <c r="D7" s="761">
        <v>4</v>
      </c>
      <c r="E7" s="762">
        <v>5.25</v>
      </c>
      <c r="F7" s="763">
        <v>0.1875</v>
      </c>
      <c r="G7" s="764" t="s">
        <v>374</v>
      </c>
      <c r="H7" s="765">
        <v>0.625</v>
      </c>
      <c r="I7" s="766">
        <v>65</v>
      </c>
      <c r="J7" s="767">
        <v>1.875</v>
      </c>
      <c r="K7" s="768">
        <f>P7+0.125</f>
        <v>7.125</v>
      </c>
      <c r="L7" s="769" t="s">
        <v>375</v>
      </c>
      <c r="M7" s="770" t="s">
        <v>376</v>
      </c>
      <c r="N7" s="771">
        <f t="shared" ref="N7:O22" si="0">H7</f>
        <v>0.625</v>
      </c>
      <c r="O7" s="772">
        <f t="shared" si="0"/>
        <v>65</v>
      </c>
      <c r="P7" s="773">
        <v>7</v>
      </c>
      <c r="Q7" s="761">
        <v>9</v>
      </c>
      <c r="R7" s="767">
        <f t="shared" ref="R7:R44" si="1">(INT(Z7/4)-1)*AB7+AA7</f>
        <v>3</v>
      </c>
      <c r="S7" s="767">
        <f>Q7/2-R7</f>
        <v>1.5</v>
      </c>
      <c r="T7" s="774">
        <f t="shared" ref="T7:T43" si="2">CEILING(1.3*AD7,0.25)</f>
        <v>1.5</v>
      </c>
      <c r="U7" s="775"/>
      <c r="V7" s="771"/>
      <c r="W7" s="776"/>
      <c r="X7" s="767"/>
      <c r="Y7" s="777"/>
      <c r="Z7" s="778">
        <v>4</v>
      </c>
      <c r="AA7" s="779">
        <v>3</v>
      </c>
      <c r="AB7" s="780">
        <v>6</v>
      </c>
      <c r="AC7" s="781" t="s">
        <v>6</v>
      </c>
      <c r="AD7" s="782">
        <v>1</v>
      </c>
      <c r="AE7" s="783">
        <f>AD7+0.125</f>
        <v>1.125</v>
      </c>
      <c r="AF7" s="784">
        <f t="shared" ref="AF7:AF44" si="3">CEILING(H7+N7+AD7+0.5,0.25)</f>
        <v>2.75</v>
      </c>
      <c r="AG7" s="785" t="s">
        <v>179</v>
      </c>
      <c r="AH7" s="786" t="s">
        <v>180</v>
      </c>
      <c r="AI7" s="787" t="s">
        <v>180</v>
      </c>
      <c r="AJ7" s="788">
        <f t="shared" ref="AJ7:AJ44" si="4">MAX(J7+2*T7+0.5,W7+2*T7+0.5)</f>
        <v>5.375</v>
      </c>
      <c r="AK7" s="789">
        <f t="shared" ref="AK7:AK44" si="5">MAX(J7+T7+0.5,W7+T7+0.5)+H7</f>
        <v>4.5</v>
      </c>
      <c r="AL7" s="790"/>
      <c r="AM7" s="791">
        <v>1</v>
      </c>
      <c r="AN7" s="792">
        <f t="shared" ref="AN7:AN44" si="6">D7-2*F7-AM7-2*$BH$4</f>
        <v>2</v>
      </c>
      <c r="AO7" s="793" t="str">
        <f t="shared" ref="AO7:AO44" si="7" xml:space="preserve"> "PL "&amp;TRIM(TEXT(H7,"# ?/?"))&amp;" x " &amp;TRIM(TEXT(Q7,"# ?/?"))&amp; " x " &amp;TRIM(TEXT(AS7,"# ?/?"))</f>
        <v>PL 5/8 x 9 x 17 1/4</v>
      </c>
      <c r="AP7" s="794">
        <f>AV7+AX7</f>
        <v>26.813302638660126</v>
      </c>
      <c r="AQ7" s="795">
        <f>(AW7+AY7)*1.06</f>
        <v>28.126971729119877</v>
      </c>
      <c r="AR7" s="796"/>
      <c r="AS7" s="797">
        <f t="shared" ref="AS7:AS44" si="8">CEILING(2*AJ7+K7 - 4*J7+(J7+$AS$5*H7)*PI(),0.125)</f>
        <v>17.25</v>
      </c>
      <c r="AT7" s="797">
        <f>Z7*(AD7+0.125)^2*PI()/4</f>
        <v>3.9760782021995817</v>
      </c>
      <c r="AU7" s="797">
        <f>(AL7^2+2*AM7^2)*PI()/4</f>
        <v>1.5707963267948966</v>
      </c>
      <c r="AV7" s="798">
        <f>H7*(Q7*AS7-AT7)*0.2836</f>
        <v>26.813302638660126</v>
      </c>
      <c r="AW7" s="798">
        <f>H7*(Q7*AS7-AT7-AU7)*0.2836</f>
        <v>26.534878989735731</v>
      </c>
      <c r="AX7" s="798">
        <f>2*V7*(W7*P7-J7^2*(2-PI()/2))*0.2836</f>
        <v>0</v>
      </c>
      <c r="AY7" s="798">
        <f>2*V7*((W7+0.5)*P7-J7^2*(2-PI()/2)-2.5708)*0.2836</f>
        <v>0</v>
      </c>
      <c r="AZ7" s="798">
        <f>(E7-2*F7-(K7-2*J7))/2</f>
        <v>0.75</v>
      </c>
      <c r="BA7" s="798">
        <f t="shared" ref="BA7:BA44" si="9">J7+H7</f>
        <v>2.5</v>
      </c>
      <c r="BB7" s="799">
        <f>BA7-SQRT(BA7^2-AZ7^2)</f>
        <v>0.11515199645763596</v>
      </c>
      <c r="BD7" s="800">
        <f>F7</f>
        <v>0.1875</v>
      </c>
      <c r="BE7" s="800">
        <f t="shared" ref="BE7:BE44" si="10">D7-2*F7</f>
        <v>3.625</v>
      </c>
      <c r="BF7" s="800">
        <f>E7-2*BD7</f>
        <v>4.875</v>
      </c>
      <c r="BG7" s="800">
        <f>BF7/COS(PI()/18)</f>
        <v>4.950204732943007</v>
      </c>
      <c r="BH7" s="801">
        <f>(BE7-AN7-AM7)/2</f>
        <v>0.3125</v>
      </c>
      <c r="BI7" s="799">
        <f>(BF7-AN7-AM7)/2</f>
        <v>0.9375</v>
      </c>
      <c r="BJ7" s="800">
        <f>(BG7-AN7-AM7)/2</f>
        <v>0.9751023664715035</v>
      </c>
      <c r="BL7" s="800">
        <f t="shared" ref="BL7:BL34" si="11">1.154700538*(B7-2*F7)-1.237604307*F7</f>
        <v>3.9537386426874996</v>
      </c>
      <c r="BM7" s="800">
        <f t="shared" ref="BM7:BM34" si="12">1.154700538*(C7-2*BD7)-1.237604307*BD7</f>
        <v>5.3971143151875003</v>
      </c>
      <c r="BN7" s="800">
        <f>BM7/COS(PI()/18)</f>
        <v>5.4803735030308962</v>
      </c>
      <c r="BO7" s="802">
        <f t="shared" ref="BO7:BO34" si="13">(BL7-AN7-AM7)/2</f>
        <v>0.47686932134374982</v>
      </c>
      <c r="BP7" s="802">
        <f t="shared" ref="BP7:BP34" si="14">(BM7-AN7-AM7)/2</f>
        <v>1.1985571575937501</v>
      </c>
      <c r="BQ7" s="800">
        <f t="shared" ref="BQ7:BQ34" si="15">(BN7-AN7-AM7)/2</f>
        <v>1.2401867515154481</v>
      </c>
      <c r="BR7" s="802">
        <f t="shared" ref="BR7:BR34" si="16">((B7-2*F7)-0.8660254038*AN7)/2-AM7/2</f>
        <v>0.44647459619999996</v>
      </c>
      <c r="BS7" s="802">
        <f t="shared" ref="BS7:BS34" si="17">((C7-2*BD7)-0.8660254038*AN7)/2-AM7/2</f>
        <v>1.0714745961999999</v>
      </c>
      <c r="BT7" s="800">
        <f t="shared" ref="BT7:BT34" si="18">((C7-2*BD7)/COS(PI()/18)-0.8660254038*AN7)/2-AM7/2</f>
        <v>1.1090769626715034</v>
      </c>
    </row>
    <row r="8" spans="1:72" s="842" customFormat="1" ht="14.25" customHeight="1" x14ac:dyDescent="0.25">
      <c r="A8" s="803" t="s">
        <v>377</v>
      </c>
      <c r="B8" s="804">
        <v>4</v>
      </c>
      <c r="C8" s="805">
        <v>5.25</v>
      </c>
      <c r="D8" s="806">
        <v>4</v>
      </c>
      <c r="E8" s="807">
        <v>5.375</v>
      </c>
      <c r="F8" s="808">
        <v>0.25</v>
      </c>
      <c r="G8" s="804" t="s">
        <v>378</v>
      </c>
      <c r="H8" s="809">
        <v>0.625</v>
      </c>
      <c r="I8" s="810">
        <v>65</v>
      </c>
      <c r="J8" s="811">
        <v>1.875</v>
      </c>
      <c r="K8" s="812">
        <f>P8+0.125</f>
        <v>7.125</v>
      </c>
      <c r="L8" s="813" t="s">
        <v>379</v>
      </c>
      <c r="M8" s="810" t="s">
        <v>380</v>
      </c>
      <c r="N8" s="809">
        <f t="shared" si="0"/>
        <v>0.625</v>
      </c>
      <c r="O8" s="814">
        <f t="shared" si="0"/>
        <v>65</v>
      </c>
      <c r="P8" s="815">
        <v>7</v>
      </c>
      <c r="Q8" s="806">
        <v>12</v>
      </c>
      <c r="R8" s="811">
        <f t="shared" si="1"/>
        <v>4.5</v>
      </c>
      <c r="S8" s="811">
        <f>Q8/2-R8</f>
        <v>1.5</v>
      </c>
      <c r="T8" s="816">
        <f t="shared" si="2"/>
        <v>1.5</v>
      </c>
      <c r="U8" s="817"/>
      <c r="V8" s="809"/>
      <c r="W8" s="818"/>
      <c r="X8" s="811"/>
      <c r="Y8" s="819"/>
      <c r="Z8" s="820">
        <v>4</v>
      </c>
      <c r="AA8" s="821">
        <v>4.5</v>
      </c>
      <c r="AB8" s="822">
        <v>9</v>
      </c>
      <c r="AC8" s="823" t="s">
        <v>6</v>
      </c>
      <c r="AD8" s="824">
        <v>1</v>
      </c>
      <c r="AE8" s="825">
        <f>AD8+0.125</f>
        <v>1.125</v>
      </c>
      <c r="AF8" s="826">
        <f t="shared" si="3"/>
        <v>2.75</v>
      </c>
      <c r="AG8" s="827" t="s">
        <v>179</v>
      </c>
      <c r="AH8" s="828" t="s">
        <v>180</v>
      </c>
      <c r="AI8" s="829" t="s">
        <v>180</v>
      </c>
      <c r="AJ8" s="830">
        <f t="shared" si="4"/>
        <v>5.375</v>
      </c>
      <c r="AK8" s="831">
        <f t="shared" si="5"/>
        <v>4.5</v>
      </c>
      <c r="AL8" s="832"/>
      <c r="AM8" s="833">
        <v>1</v>
      </c>
      <c r="AN8" s="834">
        <f t="shared" si="6"/>
        <v>1.875</v>
      </c>
      <c r="AO8" s="835" t="str">
        <f t="shared" si="7"/>
        <v>PL 5/8 x 12 x 17 1/4</v>
      </c>
      <c r="AP8" s="836">
        <f>AV8+AX8</f>
        <v>35.985990138660128</v>
      </c>
      <c r="AQ8" s="837">
        <f>(AW8+AY8)*1.06</f>
        <v>37.850020479119877</v>
      </c>
      <c r="AR8" s="838"/>
      <c r="AS8" s="839">
        <f t="shared" si="8"/>
        <v>17.25</v>
      </c>
      <c r="AT8" s="839">
        <f>Z8*(AD8+0.125)^2*PI()/4</f>
        <v>3.9760782021995817</v>
      </c>
      <c r="AU8" s="839">
        <f>(AL8^2+2*AM8^2)*PI()/4</f>
        <v>1.5707963267948966</v>
      </c>
      <c r="AV8" s="798">
        <f t="shared" ref="AV8:AV44" si="19">H8*(Q8*AS8-AT8)*0.2836</f>
        <v>35.985990138660128</v>
      </c>
      <c r="AW8" s="840">
        <f>H8*(Q8*AS8-AT8-AU8)*0.2836</f>
        <v>35.707566489735733</v>
      </c>
      <c r="AX8" s="840">
        <f>2*V8*(W8*P8-J8^2*(2-PI()/2))*0.2836</f>
        <v>0</v>
      </c>
      <c r="AY8" s="840">
        <f>2*V8*((W8+0.5)*P8-J8^2*(2-PI()/2)-2.5708)*0.2836</f>
        <v>0</v>
      </c>
      <c r="AZ8" s="840">
        <f>(E8-2*F8-(K8-2*J8))/2</f>
        <v>0.75</v>
      </c>
      <c r="BA8" s="840">
        <f t="shared" si="9"/>
        <v>2.5</v>
      </c>
      <c r="BB8" s="841">
        <f>BA8-SQRT(BA8^2-AZ8^2)</f>
        <v>0.11515199645763596</v>
      </c>
      <c r="BD8" s="842">
        <f>F8</f>
        <v>0.25</v>
      </c>
      <c r="BE8" s="842">
        <f t="shared" si="10"/>
        <v>3.5</v>
      </c>
      <c r="BF8" s="842">
        <f>E8-2*BD8</f>
        <v>4.875</v>
      </c>
      <c r="BG8" s="842">
        <f>BF8/COS(PI()/18)</f>
        <v>4.950204732943007</v>
      </c>
      <c r="BH8" s="843">
        <f>(BE8-AN8-AM8)/2</f>
        <v>0.3125</v>
      </c>
      <c r="BI8" s="841">
        <f>(BF8-AN8-AM8)/2</f>
        <v>1</v>
      </c>
      <c r="BJ8" s="842">
        <f>(BG8-AN8-AM8)/2</f>
        <v>1.0376023664715035</v>
      </c>
      <c r="BL8" s="842">
        <f t="shared" si="11"/>
        <v>3.7320508062499997</v>
      </c>
      <c r="BM8" s="842">
        <f t="shared" si="12"/>
        <v>5.1754264787499995</v>
      </c>
      <c r="BN8" s="842">
        <f>BM8/COS(PI()/18)</f>
        <v>5.2552657743808835</v>
      </c>
      <c r="BO8" s="844">
        <f t="shared" si="13"/>
        <v>0.42852540312499987</v>
      </c>
      <c r="BP8" s="844">
        <f t="shared" si="14"/>
        <v>1.1502132393749998</v>
      </c>
      <c r="BQ8" s="842">
        <f t="shared" si="15"/>
        <v>1.1901328871904417</v>
      </c>
      <c r="BR8" s="844">
        <f t="shared" si="16"/>
        <v>0.43810118393749997</v>
      </c>
      <c r="BS8" s="844">
        <f t="shared" si="17"/>
        <v>1.0631011839375</v>
      </c>
      <c r="BT8" s="842">
        <f t="shared" si="18"/>
        <v>1.0997393871661445</v>
      </c>
    </row>
    <row r="9" spans="1:72" s="842" customFormat="1" ht="14.25" customHeight="1" x14ac:dyDescent="0.25">
      <c r="A9" s="803" t="s">
        <v>377</v>
      </c>
      <c r="B9" s="764">
        <v>5.25</v>
      </c>
      <c r="C9" s="760">
        <v>6.25</v>
      </c>
      <c r="D9" s="845">
        <v>5.375</v>
      </c>
      <c r="E9" s="762">
        <v>6.25</v>
      </c>
      <c r="F9" s="846">
        <v>0.1875</v>
      </c>
      <c r="G9" s="764" t="s">
        <v>10</v>
      </c>
      <c r="H9" s="847">
        <v>0.625</v>
      </c>
      <c r="I9" s="770">
        <v>65</v>
      </c>
      <c r="J9" s="848">
        <v>1.875</v>
      </c>
      <c r="K9" s="849">
        <f t="shared" ref="K9:K44" si="20">P9+0.125</f>
        <v>8.125</v>
      </c>
      <c r="L9" s="769" t="s">
        <v>11</v>
      </c>
      <c r="M9" s="770" t="s">
        <v>12</v>
      </c>
      <c r="N9" s="847">
        <f t="shared" si="0"/>
        <v>0.625</v>
      </c>
      <c r="O9" s="850">
        <f t="shared" si="0"/>
        <v>65</v>
      </c>
      <c r="P9" s="851">
        <v>8</v>
      </c>
      <c r="Q9" s="845">
        <v>12</v>
      </c>
      <c r="R9" s="848">
        <f t="shared" si="1"/>
        <v>4.5</v>
      </c>
      <c r="S9" s="848">
        <f t="shared" ref="S9:S44" si="21">Q9/2-R9</f>
        <v>1.5</v>
      </c>
      <c r="T9" s="852">
        <f t="shared" si="2"/>
        <v>1.5</v>
      </c>
      <c r="U9" s="853"/>
      <c r="V9" s="847"/>
      <c r="W9" s="854"/>
      <c r="X9" s="848"/>
      <c r="Y9" s="855"/>
      <c r="Z9" s="856">
        <v>4</v>
      </c>
      <c r="AA9" s="857">
        <v>4.5</v>
      </c>
      <c r="AB9" s="858">
        <v>9</v>
      </c>
      <c r="AC9" s="859" t="s">
        <v>6</v>
      </c>
      <c r="AD9" s="860">
        <v>1</v>
      </c>
      <c r="AE9" s="861">
        <f t="shared" ref="AE9:AE44" si="22">AD9+0.125</f>
        <v>1.125</v>
      </c>
      <c r="AF9" s="862">
        <f t="shared" si="3"/>
        <v>2.75</v>
      </c>
      <c r="AG9" s="863" t="s">
        <v>179</v>
      </c>
      <c r="AH9" s="864" t="s">
        <v>180</v>
      </c>
      <c r="AI9" s="865" t="s">
        <v>180</v>
      </c>
      <c r="AJ9" s="866">
        <f t="shared" si="4"/>
        <v>5.375</v>
      </c>
      <c r="AK9" s="867">
        <f t="shared" si="5"/>
        <v>4.5</v>
      </c>
      <c r="AL9" s="868">
        <v>1.25</v>
      </c>
      <c r="AM9" s="869">
        <v>1</v>
      </c>
      <c r="AN9" s="870">
        <f t="shared" si="6"/>
        <v>3.375</v>
      </c>
      <c r="AO9" s="871" t="str">
        <f t="shared" si="7"/>
        <v>PL 5/8 x 12 x 18 1/4</v>
      </c>
      <c r="AP9" s="872">
        <f t="shared" ref="AP9:AP44" si="23">AV9+AX9</f>
        <v>38.11299013866013</v>
      </c>
      <c r="AQ9" s="873">
        <f t="shared" ref="AQ9:AQ44" si="24">(AW9+AY9)*1.06</f>
        <v>39.874070894854363</v>
      </c>
      <c r="AR9" s="838"/>
      <c r="AS9" s="839">
        <f t="shared" si="8"/>
        <v>18.25</v>
      </c>
      <c r="AT9" s="839">
        <f t="shared" ref="AT9:AT44" si="25">Z9*(AD9+0.125)^2*PI()/4</f>
        <v>3.9760782021995817</v>
      </c>
      <c r="AU9" s="839">
        <f t="shared" ref="AU9:AU44" si="26">(AL9^2+2*AM9^2)*PI()/4</f>
        <v>2.7979809571034093</v>
      </c>
      <c r="AV9" s="840">
        <f t="shared" si="19"/>
        <v>38.11299013866013</v>
      </c>
      <c r="AW9" s="840">
        <f t="shared" ref="AW9:AW44" si="27">H9*(Q9*AS9-AT9-AU9)*0.2836</f>
        <v>37.617048014013548</v>
      </c>
      <c r="AX9" s="840">
        <f t="shared" ref="AX9:AX20" si="28">2*V9*(W9*P9-J9^2*(2-PI()/2))*0.2836</f>
        <v>0</v>
      </c>
      <c r="AY9" s="840">
        <f t="shared" ref="AY9:AY44" si="29">2*V9*((W9+0.5)*P9-J9^2*(2-PI()/2)-2.5708)*0.2836</f>
        <v>0</v>
      </c>
      <c r="AZ9" s="840">
        <f t="shared" ref="AZ9:AZ44" si="30">(E9-2*F9-(K9-2*J9))/2</f>
        <v>0.75</v>
      </c>
      <c r="BA9" s="840">
        <f t="shared" si="9"/>
        <v>2.5</v>
      </c>
      <c r="BB9" s="841">
        <f t="shared" ref="BB9:BB44" si="31">BA9-SQRT(BA9^2-AZ9^2)</f>
        <v>0.11515199645763596</v>
      </c>
      <c r="BD9" s="842">
        <v>0.25</v>
      </c>
      <c r="BE9" s="842">
        <f t="shared" si="10"/>
        <v>5</v>
      </c>
      <c r="BF9" s="842">
        <f t="shared" ref="BF9:BF44" si="32">E9-2*BD9</f>
        <v>5.75</v>
      </c>
      <c r="BG9" s="842">
        <f t="shared" ref="BG9:BG44" si="33">BF9/COS(PI()/18)</f>
        <v>5.8387030183430335</v>
      </c>
      <c r="BH9" s="843">
        <f t="shared" ref="BH9:BH44" si="34">(BE9-AN9-AM9)/2</f>
        <v>0.3125</v>
      </c>
      <c r="BI9" s="841">
        <f t="shared" ref="BI9:BI44" si="35">(BF9-AN9-AM9)/2</f>
        <v>0.6875</v>
      </c>
      <c r="BJ9" s="842">
        <f t="shared" ref="BJ9:BJ44" si="36">(BG9-AN9-AM9)/2</f>
        <v>0.73185150917151676</v>
      </c>
      <c r="BL9" s="842">
        <f t="shared" si="11"/>
        <v>5.3971143151875003</v>
      </c>
      <c r="BM9" s="842">
        <f t="shared" si="12"/>
        <v>6.3301270167499997</v>
      </c>
      <c r="BN9" s="842">
        <f t="shared" ref="BN9:BN34" si="37">BM9/COS(PI()/18)</f>
        <v>6.4277794294248709</v>
      </c>
      <c r="BO9" s="844">
        <f t="shared" si="13"/>
        <v>0.51105715759375014</v>
      </c>
      <c r="BP9" s="844">
        <f t="shared" si="14"/>
        <v>0.97756350837499983</v>
      </c>
      <c r="BQ9" s="842">
        <f t="shared" si="15"/>
        <v>1.0263897147124355</v>
      </c>
      <c r="BR9" s="844">
        <f t="shared" si="16"/>
        <v>0.47608213108749986</v>
      </c>
      <c r="BS9" s="844">
        <f t="shared" si="17"/>
        <v>0.91358213108749986</v>
      </c>
      <c r="BT9" s="842">
        <f t="shared" si="18"/>
        <v>0.95793364025901662</v>
      </c>
    </row>
    <row r="10" spans="1:72" s="800" customFormat="1" ht="14.25" customHeight="1" x14ac:dyDescent="0.25">
      <c r="A10" s="758"/>
      <c r="B10" s="804">
        <v>5.25</v>
      </c>
      <c r="C10" s="805">
        <v>6.25</v>
      </c>
      <c r="D10" s="806">
        <v>5.5</v>
      </c>
      <c r="E10" s="807">
        <v>6.375</v>
      </c>
      <c r="F10" s="808">
        <v>0.25</v>
      </c>
      <c r="G10" s="804" t="s">
        <v>13</v>
      </c>
      <c r="H10" s="874">
        <v>0.625</v>
      </c>
      <c r="I10" s="875">
        <v>65</v>
      </c>
      <c r="J10" s="876">
        <v>1.875</v>
      </c>
      <c r="K10" s="877">
        <f t="shared" si="20"/>
        <v>8.125</v>
      </c>
      <c r="L10" s="813" t="s">
        <v>14</v>
      </c>
      <c r="M10" s="810" t="s">
        <v>15</v>
      </c>
      <c r="N10" s="878">
        <f t="shared" si="0"/>
        <v>0.625</v>
      </c>
      <c r="O10" s="879">
        <f t="shared" si="0"/>
        <v>65</v>
      </c>
      <c r="P10" s="880">
        <v>8</v>
      </c>
      <c r="Q10" s="881">
        <v>12</v>
      </c>
      <c r="R10" s="876">
        <f t="shared" si="1"/>
        <v>4.5</v>
      </c>
      <c r="S10" s="876">
        <f t="shared" si="21"/>
        <v>1.5</v>
      </c>
      <c r="T10" s="882">
        <f t="shared" si="2"/>
        <v>1.5</v>
      </c>
      <c r="U10" s="883"/>
      <c r="V10" s="878"/>
      <c r="W10" s="884"/>
      <c r="X10" s="876"/>
      <c r="Y10" s="885"/>
      <c r="Z10" s="886">
        <v>6</v>
      </c>
      <c r="AA10" s="887">
        <v>4.5</v>
      </c>
      <c r="AB10" s="888">
        <v>4.5</v>
      </c>
      <c r="AC10" s="889" t="s">
        <v>6</v>
      </c>
      <c r="AD10" s="890">
        <v>1</v>
      </c>
      <c r="AE10" s="891">
        <f t="shared" si="22"/>
        <v>1.125</v>
      </c>
      <c r="AF10" s="892">
        <f t="shared" si="3"/>
        <v>2.75</v>
      </c>
      <c r="AG10" s="893" t="s">
        <v>179</v>
      </c>
      <c r="AH10" s="894" t="s">
        <v>180</v>
      </c>
      <c r="AI10" s="895" t="s">
        <v>180</v>
      </c>
      <c r="AJ10" s="896">
        <f t="shared" si="4"/>
        <v>5.375</v>
      </c>
      <c r="AK10" s="897">
        <f t="shared" si="5"/>
        <v>4.5</v>
      </c>
      <c r="AL10" s="898">
        <v>1.25</v>
      </c>
      <c r="AM10" s="899">
        <v>1</v>
      </c>
      <c r="AN10" s="834">
        <f t="shared" si="6"/>
        <v>3.375</v>
      </c>
      <c r="AO10" s="900" t="str">
        <f t="shared" si="7"/>
        <v>PL 5/8 x 12 x 18 1/4</v>
      </c>
      <c r="AP10" s="901">
        <f t="shared" si="23"/>
        <v>37.76061020799019</v>
      </c>
      <c r="AQ10" s="902">
        <f t="shared" si="24"/>
        <v>39.500548168344231</v>
      </c>
      <c r="AR10" s="796"/>
      <c r="AS10" s="797">
        <f t="shared" si="8"/>
        <v>18.25</v>
      </c>
      <c r="AT10" s="797">
        <f t="shared" si="25"/>
        <v>5.9641173032993731</v>
      </c>
      <c r="AU10" s="797">
        <f t="shared" si="26"/>
        <v>2.7979809571034093</v>
      </c>
      <c r="AV10" s="798">
        <f t="shared" si="19"/>
        <v>37.76061020799019</v>
      </c>
      <c r="AW10" s="798">
        <f t="shared" si="27"/>
        <v>37.264668083343615</v>
      </c>
      <c r="AX10" s="798">
        <f t="shared" si="28"/>
        <v>0</v>
      </c>
      <c r="AY10" s="798">
        <f t="shared" si="29"/>
        <v>0</v>
      </c>
      <c r="AZ10" s="798">
        <f t="shared" si="30"/>
        <v>0.75</v>
      </c>
      <c r="BA10" s="798">
        <f t="shared" si="9"/>
        <v>2.5</v>
      </c>
      <c r="BB10" s="799">
        <f t="shared" si="31"/>
        <v>0.11515199645763596</v>
      </c>
      <c r="BD10" s="800">
        <v>0.25</v>
      </c>
      <c r="BE10" s="800">
        <f t="shared" si="10"/>
        <v>5</v>
      </c>
      <c r="BF10" s="800">
        <f t="shared" si="32"/>
        <v>5.875</v>
      </c>
      <c r="BG10" s="800">
        <f t="shared" si="33"/>
        <v>5.9656313448287523</v>
      </c>
      <c r="BH10" s="801">
        <f t="shared" si="34"/>
        <v>0.3125</v>
      </c>
      <c r="BI10" s="799">
        <f t="shared" si="35"/>
        <v>0.75</v>
      </c>
      <c r="BJ10" s="800">
        <f t="shared" si="36"/>
        <v>0.79531567241437617</v>
      </c>
      <c r="BL10" s="800">
        <f t="shared" si="11"/>
        <v>5.1754264787499995</v>
      </c>
      <c r="BM10" s="800">
        <f t="shared" si="12"/>
        <v>6.3301270167499997</v>
      </c>
      <c r="BN10" s="800">
        <f t="shared" si="37"/>
        <v>6.4277794294248709</v>
      </c>
      <c r="BO10" s="802">
        <f t="shared" si="13"/>
        <v>0.40021323937499975</v>
      </c>
      <c r="BP10" s="802">
        <f t="shared" si="14"/>
        <v>0.97756350837499983</v>
      </c>
      <c r="BQ10" s="800">
        <f t="shared" si="15"/>
        <v>1.0263897147124355</v>
      </c>
      <c r="BR10" s="802">
        <f t="shared" si="16"/>
        <v>0.41358213108749986</v>
      </c>
      <c r="BS10" s="802">
        <f t="shared" si="17"/>
        <v>0.91358213108749986</v>
      </c>
      <c r="BT10" s="800">
        <f t="shared" si="18"/>
        <v>0.95793364025901662</v>
      </c>
    </row>
    <row r="11" spans="1:72" s="842" customFormat="1" ht="14.25" customHeight="1" x14ac:dyDescent="0.25">
      <c r="A11" s="803" t="s">
        <v>377</v>
      </c>
      <c r="B11" s="764">
        <v>6.25</v>
      </c>
      <c r="C11" s="760">
        <v>7.25</v>
      </c>
      <c r="D11" s="845">
        <v>6.375</v>
      </c>
      <c r="E11" s="762">
        <v>7.25</v>
      </c>
      <c r="F11" s="846">
        <v>0.1875</v>
      </c>
      <c r="G11" s="764" t="s">
        <v>381</v>
      </c>
      <c r="H11" s="847">
        <v>0.625</v>
      </c>
      <c r="I11" s="770">
        <v>65</v>
      </c>
      <c r="J11" s="848">
        <f t="shared" ref="J11:J44" si="38">3*H11</f>
        <v>1.875</v>
      </c>
      <c r="K11" s="849">
        <f t="shared" si="20"/>
        <v>9.125</v>
      </c>
      <c r="L11" s="769" t="s">
        <v>382</v>
      </c>
      <c r="M11" s="770" t="s">
        <v>383</v>
      </c>
      <c r="N11" s="847">
        <f t="shared" si="0"/>
        <v>0.625</v>
      </c>
      <c r="O11" s="850">
        <f t="shared" si="0"/>
        <v>65</v>
      </c>
      <c r="P11" s="851">
        <v>9</v>
      </c>
      <c r="Q11" s="845">
        <v>12</v>
      </c>
      <c r="R11" s="848">
        <f t="shared" si="1"/>
        <v>4.5</v>
      </c>
      <c r="S11" s="848">
        <f t="shared" si="21"/>
        <v>1.5</v>
      </c>
      <c r="T11" s="852">
        <f t="shared" si="2"/>
        <v>1.5</v>
      </c>
      <c r="U11" s="853"/>
      <c r="V11" s="847"/>
      <c r="W11" s="854"/>
      <c r="X11" s="848"/>
      <c r="Y11" s="855"/>
      <c r="Z11" s="856">
        <v>6</v>
      </c>
      <c r="AA11" s="857">
        <v>4.5</v>
      </c>
      <c r="AB11" s="858">
        <v>4.5</v>
      </c>
      <c r="AC11" s="859" t="s">
        <v>6</v>
      </c>
      <c r="AD11" s="860">
        <v>1</v>
      </c>
      <c r="AE11" s="861">
        <f t="shared" si="22"/>
        <v>1.125</v>
      </c>
      <c r="AF11" s="862">
        <f t="shared" si="3"/>
        <v>2.75</v>
      </c>
      <c r="AG11" s="863" t="s">
        <v>179</v>
      </c>
      <c r="AH11" s="864" t="s">
        <v>180</v>
      </c>
      <c r="AI11" s="865" t="s">
        <v>180</v>
      </c>
      <c r="AJ11" s="866">
        <f t="shared" si="4"/>
        <v>5.375</v>
      </c>
      <c r="AK11" s="867">
        <f t="shared" si="5"/>
        <v>4.5</v>
      </c>
      <c r="AL11" s="868">
        <v>1.5</v>
      </c>
      <c r="AM11" s="869">
        <v>1</v>
      </c>
      <c r="AN11" s="870">
        <f t="shared" si="6"/>
        <v>4.375</v>
      </c>
      <c r="AO11" s="871" t="str">
        <f t="shared" si="7"/>
        <v>PL 5/8 x 12 x 19 1/4</v>
      </c>
      <c r="AP11" s="872">
        <f t="shared" si="23"/>
        <v>39.887610207990186</v>
      </c>
      <c r="AQ11" s="873">
        <f t="shared" si="24"/>
        <v>41.653717551267398</v>
      </c>
      <c r="AR11" s="838"/>
      <c r="AS11" s="839">
        <f t="shared" si="8"/>
        <v>19.25</v>
      </c>
      <c r="AT11" s="839">
        <f t="shared" si="25"/>
        <v>5.9641173032993731</v>
      </c>
      <c r="AU11" s="839">
        <f t="shared" si="26"/>
        <v>3.3379421944391554</v>
      </c>
      <c r="AV11" s="840">
        <f t="shared" si="19"/>
        <v>39.887610207990186</v>
      </c>
      <c r="AW11" s="840">
        <f t="shared" si="27"/>
        <v>39.295959954025847</v>
      </c>
      <c r="AX11" s="840">
        <f t="shared" si="28"/>
        <v>0</v>
      </c>
      <c r="AY11" s="840">
        <f t="shared" si="29"/>
        <v>0</v>
      </c>
      <c r="AZ11" s="840">
        <f t="shared" si="30"/>
        <v>0.75</v>
      </c>
      <c r="BA11" s="840">
        <f t="shared" si="9"/>
        <v>2.5</v>
      </c>
      <c r="BB11" s="841">
        <f t="shared" si="31"/>
        <v>0.11515199645763596</v>
      </c>
      <c r="BD11" s="842">
        <v>0.1875</v>
      </c>
      <c r="BE11" s="842">
        <f t="shared" si="10"/>
        <v>6</v>
      </c>
      <c r="BF11" s="842">
        <f t="shared" si="32"/>
        <v>6.875</v>
      </c>
      <c r="BG11" s="842">
        <f t="shared" si="33"/>
        <v>6.9810579567144968</v>
      </c>
      <c r="BH11" s="843">
        <f t="shared" si="34"/>
        <v>0.3125</v>
      </c>
      <c r="BI11" s="841">
        <f t="shared" si="35"/>
        <v>0.75</v>
      </c>
      <c r="BJ11" s="842">
        <f t="shared" si="36"/>
        <v>0.8030289783572484</v>
      </c>
      <c r="BL11" s="842">
        <f t="shared" si="11"/>
        <v>6.5518148531875005</v>
      </c>
      <c r="BM11" s="842">
        <f t="shared" si="12"/>
        <v>7.7065153911874997</v>
      </c>
      <c r="BN11" s="842">
        <f t="shared" si="37"/>
        <v>7.8254008131188701</v>
      </c>
      <c r="BO11" s="844">
        <f t="shared" si="13"/>
        <v>0.58840742659375023</v>
      </c>
      <c r="BP11" s="844">
        <f t="shared" si="14"/>
        <v>1.1657576955937499</v>
      </c>
      <c r="BQ11" s="842">
        <f t="shared" si="15"/>
        <v>1.2252004065594351</v>
      </c>
      <c r="BR11" s="844">
        <f t="shared" si="16"/>
        <v>0.54306942918750001</v>
      </c>
      <c r="BS11" s="844">
        <f t="shared" si="17"/>
        <v>1.0430694291875</v>
      </c>
      <c r="BT11" s="842">
        <f t="shared" si="18"/>
        <v>1.0960984075447484</v>
      </c>
    </row>
    <row r="12" spans="1:72" s="800" customFormat="1" ht="14.25" customHeight="1" x14ac:dyDescent="0.25">
      <c r="A12" s="758"/>
      <c r="B12" s="903">
        <v>6.25</v>
      </c>
      <c r="C12" s="805">
        <v>7.25</v>
      </c>
      <c r="D12" s="806">
        <v>6.5</v>
      </c>
      <c r="E12" s="807">
        <v>7.75</v>
      </c>
      <c r="F12" s="808">
        <v>0.25</v>
      </c>
      <c r="G12" s="804" t="s">
        <v>19</v>
      </c>
      <c r="H12" s="874">
        <v>0.75</v>
      </c>
      <c r="I12" s="875">
        <v>65</v>
      </c>
      <c r="J12" s="876">
        <f t="shared" si="38"/>
        <v>2.25</v>
      </c>
      <c r="K12" s="877">
        <f t="shared" si="20"/>
        <v>10.125</v>
      </c>
      <c r="L12" s="813" t="s">
        <v>20</v>
      </c>
      <c r="M12" s="810" t="s">
        <v>21</v>
      </c>
      <c r="N12" s="878">
        <f t="shared" si="0"/>
        <v>0.75</v>
      </c>
      <c r="O12" s="879">
        <f t="shared" si="0"/>
        <v>65</v>
      </c>
      <c r="P12" s="880">
        <v>10</v>
      </c>
      <c r="Q12" s="881">
        <v>15</v>
      </c>
      <c r="R12" s="876">
        <f t="shared" si="1"/>
        <v>6</v>
      </c>
      <c r="S12" s="876">
        <f t="shared" si="21"/>
        <v>1.5</v>
      </c>
      <c r="T12" s="882">
        <f t="shared" si="2"/>
        <v>1.5</v>
      </c>
      <c r="U12" s="883"/>
      <c r="V12" s="878"/>
      <c r="W12" s="884"/>
      <c r="X12" s="876"/>
      <c r="Y12" s="885"/>
      <c r="Z12" s="886">
        <v>8</v>
      </c>
      <c r="AA12" s="887">
        <v>3</v>
      </c>
      <c r="AB12" s="888">
        <v>3</v>
      </c>
      <c r="AC12" s="889" t="s">
        <v>6</v>
      </c>
      <c r="AD12" s="890">
        <v>1</v>
      </c>
      <c r="AE12" s="891">
        <f t="shared" si="22"/>
        <v>1.125</v>
      </c>
      <c r="AF12" s="892">
        <f t="shared" si="3"/>
        <v>3</v>
      </c>
      <c r="AG12" s="893" t="s">
        <v>179</v>
      </c>
      <c r="AH12" s="894" t="s">
        <v>180</v>
      </c>
      <c r="AI12" s="895" t="s">
        <v>180</v>
      </c>
      <c r="AJ12" s="896">
        <f t="shared" si="4"/>
        <v>5.75</v>
      </c>
      <c r="AK12" s="897">
        <f t="shared" si="5"/>
        <v>5</v>
      </c>
      <c r="AL12" s="832">
        <v>1.5</v>
      </c>
      <c r="AM12" s="899">
        <v>1</v>
      </c>
      <c r="AN12" s="834">
        <f t="shared" si="6"/>
        <v>4.375</v>
      </c>
      <c r="AO12" s="900" t="str">
        <f t="shared" si="7"/>
        <v>PL 3/4 x 15 x 20 7/8</v>
      </c>
      <c r="AP12" s="901">
        <f t="shared" si="23"/>
        <v>64.91026383278431</v>
      </c>
      <c r="AQ12" s="902">
        <f t="shared" si="24"/>
        <v>68.052300539708725</v>
      </c>
      <c r="AR12" s="796"/>
      <c r="AS12" s="797">
        <f t="shared" si="8"/>
        <v>20.875</v>
      </c>
      <c r="AT12" s="797">
        <f t="shared" si="25"/>
        <v>7.9521564043991635</v>
      </c>
      <c r="AU12" s="797">
        <f t="shared" si="26"/>
        <v>3.3379421944391554</v>
      </c>
      <c r="AV12" s="798">
        <f t="shared" si="19"/>
        <v>64.91026383278431</v>
      </c>
      <c r="AW12" s="798">
        <f t="shared" si="27"/>
        <v>64.2002835280271</v>
      </c>
      <c r="AX12" s="798">
        <f t="shared" si="28"/>
        <v>0</v>
      </c>
      <c r="AY12" s="798">
        <f t="shared" si="29"/>
        <v>0</v>
      </c>
      <c r="AZ12" s="798">
        <f t="shared" si="30"/>
        <v>0.8125</v>
      </c>
      <c r="BA12" s="798">
        <f t="shared" si="9"/>
        <v>3</v>
      </c>
      <c r="BB12" s="799">
        <f t="shared" si="31"/>
        <v>0.11212123696301957</v>
      </c>
      <c r="BD12" s="800">
        <v>0.25</v>
      </c>
      <c r="BE12" s="800">
        <f t="shared" si="10"/>
        <v>6</v>
      </c>
      <c r="BF12" s="800">
        <f t="shared" si="32"/>
        <v>7.25</v>
      </c>
      <c r="BG12" s="800">
        <f t="shared" si="33"/>
        <v>7.3618429361716515</v>
      </c>
      <c r="BH12" s="801">
        <f t="shared" si="34"/>
        <v>0.3125</v>
      </c>
      <c r="BI12" s="799">
        <f t="shared" si="35"/>
        <v>0.9375</v>
      </c>
      <c r="BJ12" s="800">
        <f t="shared" si="36"/>
        <v>0.99342146808582577</v>
      </c>
      <c r="BL12" s="800">
        <f t="shared" si="11"/>
        <v>6.3301270167499997</v>
      </c>
      <c r="BM12" s="800">
        <f t="shared" si="12"/>
        <v>7.4848275547499989</v>
      </c>
      <c r="BN12" s="800">
        <f t="shared" si="37"/>
        <v>7.6002930844688574</v>
      </c>
      <c r="BO12" s="802">
        <f t="shared" si="13"/>
        <v>0.47756350837499983</v>
      </c>
      <c r="BP12" s="802">
        <f t="shared" si="14"/>
        <v>1.0549137773749995</v>
      </c>
      <c r="BQ12" s="800">
        <f t="shared" si="15"/>
        <v>1.1126465422344287</v>
      </c>
      <c r="BR12" s="802">
        <f t="shared" si="16"/>
        <v>0.48056942918750001</v>
      </c>
      <c r="BS12" s="802">
        <f t="shared" si="17"/>
        <v>0.98056942918750001</v>
      </c>
      <c r="BT12" s="800">
        <f t="shared" si="18"/>
        <v>1.0326342443018894</v>
      </c>
    </row>
    <row r="13" spans="1:72" s="842" customFormat="1" ht="14.25" customHeight="1" x14ac:dyDescent="0.25">
      <c r="A13" s="803"/>
      <c r="B13" s="764">
        <v>7.25</v>
      </c>
      <c r="C13" s="760">
        <v>8.25</v>
      </c>
      <c r="D13" s="845">
        <v>7.375</v>
      </c>
      <c r="E13" s="762">
        <v>8.625</v>
      </c>
      <c r="F13" s="846">
        <v>0.1875</v>
      </c>
      <c r="G13" s="764" t="s">
        <v>384</v>
      </c>
      <c r="H13" s="847">
        <v>0.75</v>
      </c>
      <c r="I13" s="770">
        <v>65</v>
      </c>
      <c r="J13" s="848">
        <f t="shared" si="38"/>
        <v>2.25</v>
      </c>
      <c r="K13" s="849">
        <f t="shared" si="20"/>
        <v>11.125</v>
      </c>
      <c r="L13" s="769" t="s">
        <v>385</v>
      </c>
      <c r="M13" s="770" t="s">
        <v>386</v>
      </c>
      <c r="N13" s="847">
        <f t="shared" si="0"/>
        <v>0.75</v>
      </c>
      <c r="O13" s="850">
        <f t="shared" si="0"/>
        <v>65</v>
      </c>
      <c r="P13" s="851">
        <v>11</v>
      </c>
      <c r="Q13" s="845">
        <v>15</v>
      </c>
      <c r="R13" s="848">
        <f t="shared" si="1"/>
        <v>6</v>
      </c>
      <c r="S13" s="848">
        <f t="shared" si="21"/>
        <v>1.5</v>
      </c>
      <c r="T13" s="852">
        <f t="shared" si="2"/>
        <v>1.5</v>
      </c>
      <c r="U13" s="853"/>
      <c r="V13" s="847"/>
      <c r="W13" s="854"/>
      <c r="X13" s="848"/>
      <c r="Y13" s="855"/>
      <c r="Z13" s="856">
        <v>8</v>
      </c>
      <c r="AA13" s="857">
        <v>3</v>
      </c>
      <c r="AB13" s="858">
        <v>3</v>
      </c>
      <c r="AC13" s="859" t="s">
        <v>6</v>
      </c>
      <c r="AD13" s="860">
        <v>1</v>
      </c>
      <c r="AE13" s="861">
        <f t="shared" si="22"/>
        <v>1.125</v>
      </c>
      <c r="AF13" s="862">
        <f t="shared" si="3"/>
        <v>3</v>
      </c>
      <c r="AG13" s="863" t="s">
        <v>179</v>
      </c>
      <c r="AH13" s="864" t="s">
        <v>180</v>
      </c>
      <c r="AI13" s="865" t="s">
        <v>180</v>
      </c>
      <c r="AJ13" s="866">
        <f t="shared" si="4"/>
        <v>5.75</v>
      </c>
      <c r="AK13" s="867">
        <f t="shared" si="5"/>
        <v>5</v>
      </c>
      <c r="AL13" s="868">
        <v>2</v>
      </c>
      <c r="AM13" s="869">
        <v>1</v>
      </c>
      <c r="AN13" s="870">
        <f t="shared" si="6"/>
        <v>5.375</v>
      </c>
      <c r="AO13" s="871" t="str">
        <f t="shared" si="7"/>
        <v>PL 3/4 x 15 x 21 7/8</v>
      </c>
      <c r="AP13" s="872">
        <f t="shared" si="23"/>
        <v>68.10076383278431</v>
      </c>
      <c r="AQ13" s="873">
        <f t="shared" si="24"/>
        <v>71.124345018455884</v>
      </c>
      <c r="AR13" s="838"/>
      <c r="AS13" s="839">
        <f t="shared" si="8"/>
        <v>21.875</v>
      </c>
      <c r="AT13" s="839">
        <f t="shared" si="25"/>
        <v>7.9521564043991635</v>
      </c>
      <c r="AU13" s="839">
        <f t="shared" si="26"/>
        <v>4.7123889803846897</v>
      </c>
      <c r="AV13" s="840">
        <f t="shared" si="19"/>
        <v>68.10076383278431</v>
      </c>
      <c r="AW13" s="840">
        <f t="shared" si="27"/>
        <v>67.098438696656487</v>
      </c>
      <c r="AX13" s="840">
        <f t="shared" si="28"/>
        <v>0</v>
      </c>
      <c r="AY13" s="840">
        <f t="shared" si="29"/>
        <v>0</v>
      </c>
      <c r="AZ13" s="840">
        <f t="shared" si="30"/>
        <v>0.8125</v>
      </c>
      <c r="BA13" s="840">
        <f t="shared" si="9"/>
        <v>3</v>
      </c>
      <c r="BB13" s="841">
        <f t="shared" si="31"/>
        <v>0.11212123696301957</v>
      </c>
      <c r="BD13" s="842">
        <v>0.1875</v>
      </c>
      <c r="BE13" s="842">
        <f t="shared" si="10"/>
        <v>7</v>
      </c>
      <c r="BF13" s="842">
        <f t="shared" si="32"/>
        <v>8.25</v>
      </c>
      <c r="BG13" s="842">
        <f t="shared" si="33"/>
        <v>8.3772695480573969</v>
      </c>
      <c r="BH13" s="843">
        <f t="shared" si="34"/>
        <v>0.3125</v>
      </c>
      <c r="BI13" s="841">
        <f t="shared" si="35"/>
        <v>0.9375</v>
      </c>
      <c r="BJ13" s="842">
        <f t="shared" si="36"/>
        <v>1.0011347740286984</v>
      </c>
      <c r="BL13" s="842">
        <f t="shared" si="11"/>
        <v>7.7065153911874997</v>
      </c>
      <c r="BM13" s="842">
        <f t="shared" si="12"/>
        <v>8.8612159291874999</v>
      </c>
      <c r="BN13" s="842">
        <f t="shared" si="37"/>
        <v>8.9979144681628576</v>
      </c>
      <c r="BO13" s="844">
        <f t="shared" si="13"/>
        <v>0.66575769559374987</v>
      </c>
      <c r="BP13" s="844">
        <f t="shared" si="14"/>
        <v>1.2431079645937499</v>
      </c>
      <c r="BQ13" s="842">
        <f t="shared" si="15"/>
        <v>1.3114572340814288</v>
      </c>
      <c r="BR13" s="844">
        <f t="shared" si="16"/>
        <v>0.61005672728749971</v>
      </c>
      <c r="BS13" s="844">
        <f t="shared" si="17"/>
        <v>1.1100567272874997</v>
      </c>
      <c r="BT13" s="842">
        <f t="shared" si="18"/>
        <v>1.1707990115876208</v>
      </c>
    </row>
    <row r="14" spans="1:72" s="842" customFormat="1" ht="14.25" customHeight="1" x14ac:dyDescent="0.25">
      <c r="A14" s="803"/>
      <c r="B14" s="804">
        <v>7.5</v>
      </c>
      <c r="C14" s="805">
        <v>8.5</v>
      </c>
      <c r="D14" s="806">
        <v>7.875</v>
      </c>
      <c r="E14" s="807">
        <v>8.75</v>
      </c>
      <c r="F14" s="808">
        <v>0.3125</v>
      </c>
      <c r="G14" s="804" t="s">
        <v>387</v>
      </c>
      <c r="H14" s="809">
        <v>0.75</v>
      </c>
      <c r="I14" s="810">
        <v>65</v>
      </c>
      <c r="J14" s="811">
        <f t="shared" si="38"/>
        <v>2.25</v>
      </c>
      <c r="K14" s="812">
        <f t="shared" si="20"/>
        <v>11.125</v>
      </c>
      <c r="L14" s="813" t="s">
        <v>388</v>
      </c>
      <c r="M14" s="810" t="s">
        <v>389</v>
      </c>
      <c r="N14" s="809">
        <f t="shared" si="0"/>
        <v>0.75</v>
      </c>
      <c r="O14" s="814">
        <f t="shared" si="0"/>
        <v>65</v>
      </c>
      <c r="P14" s="815">
        <v>11</v>
      </c>
      <c r="Q14" s="806">
        <v>18</v>
      </c>
      <c r="R14" s="811">
        <f t="shared" si="1"/>
        <v>7.5</v>
      </c>
      <c r="S14" s="811">
        <f t="shared" si="21"/>
        <v>1.5</v>
      </c>
      <c r="T14" s="816">
        <f t="shared" si="2"/>
        <v>1.5</v>
      </c>
      <c r="U14" s="817"/>
      <c r="V14" s="809"/>
      <c r="W14" s="818"/>
      <c r="X14" s="811"/>
      <c r="Y14" s="819"/>
      <c r="Z14" s="820">
        <v>8</v>
      </c>
      <c r="AA14" s="821">
        <v>4.5</v>
      </c>
      <c r="AB14" s="822">
        <v>3</v>
      </c>
      <c r="AC14" s="823" t="s">
        <v>6</v>
      </c>
      <c r="AD14" s="824">
        <v>1</v>
      </c>
      <c r="AE14" s="825">
        <f t="shared" si="22"/>
        <v>1.125</v>
      </c>
      <c r="AF14" s="826">
        <f t="shared" si="3"/>
        <v>3</v>
      </c>
      <c r="AG14" s="827" t="s">
        <v>179</v>
      </c>
      <c r="AH14" s="828" t="s">
        <v>180</v>
      </c>
      <c r="AI14" s="829" t="s">
        <v>180</v>
      </c>
      <c r="AJ14" s="830">
        <f t="shared" si="4"/>
        <v>5.75</v>
      </c>
      <c r="AK14" s="831">
        <f t="shared" si="5"/>
        <v>5</v>
      </c>
      <c r="AL14" s="832">
        <v>2</v>
      </c>
      <c r="AM14" s="833">
        <v>1</v>
      </c>
      <c r="AN14" s="834">
        <f t="shared" si="6"/>
        <v>5.625</v>
      </c>
      <c r="AO14" s="835" t="str">
        <f t="shared" si="7"/>
        <v>PL 3/4 x 18 x 21 7/8</v>
      </c>
      <c r="AP14" s="836">
        <f t="shared" si="23"/>
        <v>82.059201332784312</v>
      </c>
      <c r="AQ14" s="837">
        <f t="shared" si="24"/>
        <v>85.920288768455876</v>
      </c>
      <c r="AR14" s="838"/>
      <c r="AS14" s="839">
        <f t="shared" si="8"/>
        <v>21.875</v>
      </c>
      <c r="AT14" s="839">
        <f t="shared" si="25"/>
        <v>7.9521564043991635</v>
      </c>
      <c r="AU14" s="839">
        <f t="shared" si="26"/>
        <v>4.7123889803846897</v>
      </c>
      <c r="AV14" s="840">
        <f t="shared" si="19"/>
        <v>82.059201332784312</v>
      </c>
      <c r="AW14" s="840">
        <f t="shared" si="27"/>
        <v>81.056876196656489</v>
      </c>
      <c r="AX14" s="840">
        <f t="shared" si="28"/>
        <v>0</v>
      </c>
      <c r="AY14" s="840">
        <f t="shared" si="29"/>
        <v>0</v>
      </c>
      <c r="AZ14" s="840">
        <f t="shared" si="30"/>
        <v>0.75</v>
      </c>
      <c r="BA14" s="840">
        <f t="shared" si="9"/>
        <v>3</v>
      </c>
      <c r="BB14" s="841">
        <f t="shared" si="31"/>
        <v>9.5262490344437456E-2</v>
      </c>
      <c r="BD14" s="842">
        <v>0.25</v>
      </c>
      <c r="BE14" s="842">
        <f t="shared" si="10"/>
        <v>7.25</v>
      </c>
      <c r="BF14" s="842">
        <f t="shared" si="32"/>
        <v>8.25</v>
      </c>
      <c r="BG14" s="842">
        <f t="shared" si="33"/>
        <v>8.3772695480573969</v>
      </c>
      <c r="BH14" s="843">
        <f t="shared" si="34"/>
        <v>0.3125</v>
      </c>
      <c r="BI14" s="841">
        <f t="shared" si="35"/>
        <v>0.8125</v>
      </c>
      <c r="BJ14" s="842">
        <f t="shared" si="36"/>
        <v>0.87613477402869844</v>
      </c>
      <c r="BL14" s="842">
        <f t="shared" si="11"/>
        <v>7.5518148528124991</v>
      </c>
      <c r="BM14" s="842">
        <f t="shared" si="12"/>
        <v>8.92820322725</v>
      </c>
      <c r="BN14" s="842">
        <f t="shared" si="37"/>
        <v>9.0659351532738413</v>
      </c>
      <c r="BO14" s="844">
        <f t="shared" si="13"/>
        <v>0.46340742640624955</v>
      </c>
      <c r="BP14" s="844">
        <f t="shared" si="14"/>
        <v>1.151601613625</v>
      </c>
      <c r="BQ14" s="842">
        <f t="shared" si="15"/>
        <v>1.2204675766369206</v>
      </c>
      <c r="BR14" s="844">
        <f t="shared" si="16"/>
        <v>0.50180355181249992</v>
      </c>
      <c r="BS14" s="844">
        <f t="shared" si="17"/>
        <v>1.0643035518124999</v>
      </c>
      <c r="BT14" s="842">
        <f t="shared" si="18"/>
        <v>1.1260099993554804</v>
      </c>
    </row>
    <row r="15" spans="1:72" s="800" customFormat="1" ht="14.25" customHeight="1" x14ac:dyDescent="0.25">
      <c r="A15" s="803"/>
      <c r="B15" s="764">
        <v>8.25</v>
      </c>
      <c r="C15" s="760">
        <v>9.25</v>
      </c>
      <c r="D15" s="845">
        <v>8.75</v>
      </c>
      <c r="E15" s="762">
        <v>9.625</v>
      </c>
      <c r="F15" s="846">
        <v>0.25</v>
      </c>
      <c r="G15" s="764" t="s">
        <v>390</v>
      </c>
      <c r="H15" s="765">
        <v>0.75</v>
      </c>
      <c r="I15" s="766">
        <v>65</v>
      </c>
      <c r="J15" s="767">
        <f t="shared" si="38"/>
        <v>2.25</v>
      </c>
      <c r="K15" s="768">
        <f t="shared" si="20"/>
        <v>12.125</v>
      </c>
      <c r="L15" s="769" t="s">
        <v>391</v>
      </c>
      <c r="M15" s="770" t="s">
        <v>392</v>
      </c>
      <c r="N15" s="771">
        <f t="shared" si="0"/>
        <v>0.75</v>
      </c>
      <c r="O15" s="772">
        <f t="shared" si="0"/>
        <v>65</v>
      </c>
      <c r="P15" s="773">
        <v>12</v>
      </c>
      <c r="Q15" s="761">
        <v>18</v>
      </c>
      <c r="R15" s="767">
        <f t="shared" si="1"/>
        <v>7.5</v>
      </c>
      <c r="S15" s="767">
        <f t="shared" si="21"/>
        <v>1.5</v>
      </c>
      <c r="T15" s="774">
        <f t="shared" si="2"/>
        <v>1.5</v>
      </c>
      <c r="U15" s="775"/>
      <c r="V15" s="771"/>
      <c r="W15" s="776"/>
      <c r="X15" s="767"/>
      <c r="Y15" s="777"/>
      <c r="Z15" s="778">
        <v>8</v>
      </c>
      <c r="AA15" s="779">
        <v>4.5</v>
      </c>
      <c r="AB15" s="780">
        <v>3</v>
      </c>
      <c r="AC15" s="781" t="s">
        <v>6</v>
      </c>
      <c r="AD15" s="782">
        <v>1</v>
      </c>
      <c r="AE15" s="783">
        <f t="shared" si="22"/>
        <v>1.125</v>
      </c>
      <c r="AF15" s="784">
        <f t="shared" si="3"/>
        <v>3</v>
      </c>
      <c r="AG15" s="785" t="s">
        <v>179</v>
      </c>
      <c r="AH15" s="786" t="s">
        <v>180</v>
      </c>
      <c r="AI15" s="787" t="s">
        <v>180</v>
      </c>
      <c r="AJ15" s="788">
        <f t="shared" si="4"/>
        <v>5.75</v>
      </c>
      <c r="AK15" s="789">
        <f t="shared" si="5"/>
        <v>5</v>
      </c>
      <c r="AL15" s="868">
        <v>3.5</v>
      </c>
      <c r="AM15" s="791">
        <v>1</v>
      </c>
      <c r="AN15" s="870">
        <f t="shared" si="6"/>
        <v>6.625</v>
      </c>
      <c r="AO15" s="793" t="str">
        <f t="shared" si="7"/>
        <v>PL 3/4 x 18 x 22 7/8</v>
      </c>
      <c r="AP15" s="794">
        <f t="shared" si="23"/>
        <v>85.887801332784306</v>
      </c>
      <c r="AQ15" s="795">
        <f t="shared" si="24"/>
        <v>88.517715882549567</v>
      </c>
      <c r="AR15" s="796"/>
      <c r="AS15" s="797">
        <f t="shared" si="8"/>
        <v>22.875</v>
      </c>
      <c r="AT15" s="797">
        <f t="shared" si="25"/>
        <v>7.9521564043991635</v>
      </c>
      <c r="AU15" s="797">
        <f t="shared" si="26"/>
        <v>11.191923828413637</v>
      </c>
      <c r="AV15" s="798">
        <f t="shared" si="19"/>
        <v>85.887801332784306</v>
      </c>
      <c r="AW15" s="798">
        <f t="shared" si="27"/>
        <v>83.507279134480726</v>
      </c>
      <c r="AX15" s="798">
        <f t="shared" si="28"/>
        <v>0</v>
      </c>
      <c r="AY15" s="798">
        <f t="shared" si="29"/>
        <v>0</v>
      </c>
      <c r="AZ15" s="798">
        <f t="shared" si="30"/>
        <v>0.75</v>
      </c>
      <c r="BA15" s="798">
        <f t="shared" si="9"/>
        <v>3</v>
      </c>
      <c r="BB15" s="799">
        <f t="shared" si="31"/>
        <v>9.5262490344437456E-2</v>
      </c>
      <c r="BD15" s="800">
        <v>0.1875</v>
      </c>
      <c r="BE15" s="800">
        <f t="shared" si="10"/>
        <v>8.25</v>
      </c>
      <c r="BF15" s="800">
        <f t="shared" si="32"/>
        <v>9.25</v>
      </c>
      <c r="BG15" s="800">
        <f t="shared" si="33"/>
        <v>9.3926961599431422</v>
      </c>
      <c r="BH15" s="801">
        <f t="shared" si="34"/>
        <v>0.3125</v>
      </c>
      <c r="BI15" s="799">
        <f t="shared" si="35"/>
        <v>0.8125</v>
      </c>
      <c r="BJ15" s="800">
        <f t="shared" si="36"/>
        <v>0.88384807997157111</v>
      </c>
      <c r="BL15" s="800">
        <f t="shared" si="11"/>
        <v>8.63952809275</v>
      </c>
      <c r="BM15" s="800">
        <f t="shared" si="12"/>
        <v>10.0159164671875</v>
      </c>
      <c r="BN15" s="800">
        <f t="shared" si="37"/>
        <v>10.170428123206843</v>
      </c>
      <c r="BO15" s="802">
        <f t="shared" si="13"/>
        <v>0.507264046375</v>
      </c>
      <c r="BP15" s="802">
        <f t="shared" si="14"/>
        <v>1.19545823359375</v>
      </c>
      <c r="BQ15" s="800">
        <f t="shared" si="15"/>
        <v>1.2727140616034216</v>
      </c>
      <c r="BR15" s="802">
        <f t="shared" si="16"/>
        <v>0.50629084991249984</v>
      </c>
      <c r="BS15" s="802">
        <f t="shared" si="17"/>
        <v>1.0687908499124998</v>
      </c>
      <c r="BT15" s="800">
        <f t="shared" si="18"/>
        <v>1.1372464401554931</v>
      </c>
    </row>
    <row r="16" spans="1:72" s="842" customFormat="1" ht="14.25" customHeight="1" x14ac:dyDescent="0.25">
      <c r="A16" s="803" t="s">
        <v>377</v>
      </c>
      <c r="B16" s="804">
        <v>8.25</v>
      </c>
      <c r="C16" s="805">
        <v>9.25</v>
      </c>
      <c r="D16" s="806">
        <v>8.875</v>
      </c>
      <c r="E16" s="807">
        <v>9.875</v>
      </c>
      <c r="F16" s="808">
        <v>0.3125</v>
      </c>
      <c r="G16" s="804" t="s">
        <v>22</v>
      </c>
      <c r="H16" s="809">
        <v>0.75</v>
      </c>
      <c r="I16" s="810">
        <v>65</v>
      </c>
      <c r="J16" s="811">
        <f t="shared" si="38"/>
        <v>2.25</v>
      </c>
      <c r="K16" s="812">
        <f t="shared" si="20"/>
        <v>12.125</v>
      </c>
      <c r="L16" s="813" t="s">
        <v>23</v>
      </c>
      <c r="M16" s="810" t="s">
        <v>24</v>
      </c>
      <c r="N16" s="809">
        <f t="shared" si="0"/>
        <v>0.75</v>
      </c>
      <c r="O16" s="814">
        <f t="shared" si="0"/>
        <v>65</v>
      </c>
      <c r="P16" s="815">
        <v>12</v>
      </c>
      <c r="Q16" s="806">
        <v>21</v>
      </c>
      <c r="R16" s="811">
        <f t="shared" si="1"/>
        <v>9</v>
      </c>
      <c r="S16" s="811">
        <f t="shared" si="21"/>
        <v>1.5</v>
      </c>
      <c r="T16" s="816">
        <f t="shared" si="2"/>
        <v>1.5</v>
      </c>
      <c r="U16" s="817"/>
      <c r="V16" s="809"/>
      <c r="W16" s="818"/>
      <c r="X16" s="811"/>
      <c r="Y16" s="819"/>
      <c r="Z16" s="820">
        <v>8</v>
      </c>
      <c r="AA16" s="821">
        <v>6</v>
      </c>
      <c r="AB16" s="822">
        <v>3</v>
      </c>
      <c r="AC16" s="823" t="s">
        <v>6</v>
      </c>
      <c r="AD16" s="824">
        <v>1</v>
      </c>
      <c r="AE16" s="825">
        <f t="shared" si="22"/>
        <v>1.125</v>
      </c>
      <c r="AF16" s="826">
        <f t="shared" si="3"/>
        <v>3</v>
      </c>
      <c r="AG16" s="827" t="s">
        <v>179</v>
      </c>
      <c r="AH16" s="828" t="s">
        <v>180</v>
      </c>
      <c r="AI16" s="829" t="s">
        <v>180</v>
      </c>
      <c r="AJ16" s="830">
        <f t="shared" si="4"/>
        <v>5.75</v>
      </c>
      <c r="AK16" s="831">
        <f t="shared" si="5"/>
        <v>5</v>
      </c>
      <c r="AL16" s="832">
        <v>3.5</v>
      </c>
      <c r="AM16" s="833">
        <v>1</v>
      </c>
      <c r="AN16" s="834">
        <f t="shared" si="6"/>
        <v>6.625</v>
      </c>
      <c r="AO16" s="835" t="str">
        <f t="shared" si="7"/>
        <v>PL 3/4 x 21 x 22 7/8</v>
      </c>
      <c r="AP16" s="836">
        <f t="shared" si="23"/>
        <v>100.4843388327843</v>
      </c>
      <c r="AQ16" s="837">
        <f t="shared" si="24"/>
        <v>103.99004563254957</v>
      </c>
      <c r="AR16" s="838"/>
      <c r="AS16" s="839">
        <f t="shared" si="8"/>
        <v>22.875</v>
      </c>
      <c r="AT16" s="839">
        <f t="shared" si="25"/>
        <v>7.9521564043991635</v>
      </c>
      <c r="AU16" s="839">
        <f t="shared" si="26"/>
        <v>11.191923828413637</v>
      </c>
      <c r="AV16" s="840">
        <f t="shared" si="19"/>
        <v>100.4843388327843</v>
      </c>
      <c r="AW16" s="840">
        <f t="shared" si="27"/>
        <v>98.103816634480722</v>
      </c>
      <c r="AX16" s="840">
        <f t="shared" si="28"/>
        <v>0</v>
      </c>
      <c r="AY16" s="840">
        <f t="shared" si="29"/>
        <v>0</v>
      </c>
      <c r="AZ16" s="840">
        <f t="shared" si="30"/>
        <v>0.8125</v>
      </c>
      <c r="BA16" s="840">
        <f t="shared" si="9"/>
        <v>3</v>
      </c>
      <c r="BB16" s="841">
        <f t="shared" si="31"/>
        <v>0.11212123696301957</v>
      </c>
      <c r="BD16" s="842">
        <v>0.25</v>
      </c>
      <c r="BE16" s="842">
        <f t="shared" si="10"/>
        <v>8.25</v>
      </c>
      <c r="BF16" s="842">
        <f t="shared" si="32"/>
        <v>9.375</v>
      </c>
      <c r="BG16" s="842">
        <f t="shared" si="33"/>
        <v>9.5196244864288602</v>
      </c>
      <c r="BH16" s="843">
        <f t="shared" si="34"/>
        <v>0.3125</v>
      </c>
      <c r="BI16" s="841">
        <f t="shared" si="35"/>
        <v>0.875</v>
      </c>
      <c r="BJ16" s="842">
        <f t="shared" si="36"/>
        <v>0.94731224321443008</v>
      </c>
      <c r="BL16" s="842">
        <f t="shared" si="11"/>
        <v>8.4178402563125001</v>
      </c>
      <c r="BM16" s="842">
        <f t="shared" si="12"/>
        <v>9.7942286307500002</v>
      </c>
      <c r="BN16" s="842">
        <f t="shared" si="37"/>
        <v>9.9453203945568323</v>
      </c>
      <c r="BO16" s="844">
        <f t="shared" si="13"/>
        <v>0.39642012815625005</v>
      </c>
      <c r="BP16" s="844">
        <f t="shared" si="14"/>
        <v>1.0846143153750001</v>
      </c>
      <c r="BQ16" s="842">
        <f t="shared" si="15"/>
        <v>1.1601601972784161</v>
      </c>
      <c r="BR16" s="844">
        <f t="shared" si="16"/>
        <v>0.44379084991249984</v>
      </c>
      <c r="BS16" s="844">
        <f t="shared" si="17"/>
        <v>1.0062908499124998</v>
      </c>
      <c r="BT16" s="842">
        <f t="shared" si="18"/>
        <v>1.0737822769126342</v>
      </c>
    </row>
    <row r="17" spans="1:72" s="842" customFormat="1" ht="14.25" customHeight="1" x14ac:dyDescent="0.25">
      <c r="A17" s="803" t="s">
        <v>377</v>
      </c>
      <c r="B17" s="764">
        <v>9</v>
      </c>
      <c r="C17" s="760">
        <v>10</v>
      </c>
      <c r="D17" s="845">
        <v>9.75</v>
      </c>
      <c r="E17" s="762">
        <v>10.625</v>
      </c>
      <c r="F17" s="846">
        <v>0.25</v>
      </c>
      <c r="G17" s="764" t="s">
        <v>393</v>
      </c>
      <c r="H17" s="847">
        <v>0.75</v>
      </c>
      <c r="I17" s="770">
        <v>65</v>
      </c>
      <c r="J17" s="848">
        <f t="shared" si="38"/>
        <v>2.25</v>
      </c>
      <c r="K17" s="849">
        <f t="shared" si="20"/>
        <v>13.125</v>
      </c>
      <c r="L17" s="769" t="s">
        <v>394</v>
      </c>
      <c r="M17" s="770" t="s">
        <v>395</v>
      </c>
      <c r="N17" s="847">
        <f t="shared" si="0"/>
        <v>0.75</v>
      </c>
      <c r="O17" s="850">
        <f t="shared" si="0"/>
        <v>65</v>
      </c>
      <c r="P17" s="851">
        <v>13</v>
      </c>
      <c r="Q17" s="845">
        <v>21</v>
      </c>
      <c r="R17" s="848">
        <f t="shared" si="1"/>
        <v>9</v>
      </c>
      <c r="S17" s="848">
        <f t="shared" si="21"/>
        <v>1.5</v>
      </c>
      <c r="T17" s="852">
        <f t="shared" si="2"/>
        <v>1.5</v>
      </c>
      <c r="U17" s="853"/>
      <c r="V17" s="847"/>
      <c r="W17" s="854"/>
      <c r="X17" s="848"/>
      <c r="Y17" s="855"/>
      <c r="Z17" s="856">
        <v>8</v>
      </c>
      <c r="AA17" s="857">
        <v>6</v>
      </c>
      <c r="AB17" s="858">
        <v>3</v>
      </c>
      <c r="AC17" s="859" t="s">
        <v>6</v>
      </c>
      <c r="AD17" s="860">
        <v>1</v>
      </c>
      <c r="AE17" s="861">
        <f t="shared" si="22"/>
        <v>1.125</v>
      </c>
      <c r="AF17" s="862">
        <f t="shared" si="3"/>
        <v>3</v>
      </c>
      <c r="AG17" s="863" t="s">
        <v>179</v>
      </c>
      <c r="AH17" s="864" t="s">
        <v>180</v>
      </c>
      <c r="AI17" s="865" t="s">
        <v>180</v>
      </c>
      <c r="AJ17" s="866">
        <f t="shared" si="4"/>
        <v>5.75</v>
      </c>
      <c r="AK17" s="867">
        <f t="shared" si="5"/>
        <v>5</v>
      </c>
      <c r="AL17" s="868">
        <v>4</v>
      </c>
      <c r="AM17" s="869">
        <v>1</v>
      </c>
      <c r="AN17" s="870">
        <f t="shared" si="6"/>
        <v>7.625</v>
      </c>
      <c r="AO17" s="871" t="str">
        <f t="shared" si="7"/>
        <v>PL 3/4 x 21 x 23 7/8</v>
      </c>
      <c r="AP17" s="872">
        <f t="shared" si="23"/>
        <v>104.95103883278431</v>
      </c>
      <c r="AQ17" s="873">
        <f t="shared" si="24"/>
        <v>108.06070722986487</v>
      </c>
      <c r="AR17" s="838"/>
      <c r="AS17" s="839">
        <f t="shared" si="8"/>
        <v>23.875</v>
      </c>
      <c r="AT17" s="839">
        <f t="shared" si="25"/>
        <v>7.9521564043991635</v>
      </c>
      <c r="AU17" s="839">
        <f t="shared" si="26"/>
        <v>14.137166941154069</v>
      </c>
      <c r="AV17" s="840">
        <f t="shared" si="19"/>
        <v>104.95103883278431</v>
      </c>
      <c r="AW17" s="840">
        <f t="shared" si="27"/>
        <v>101.94406342440082</v>
      </c>
      <c r="AX17" s="840">
        <f t="shared" si="28"/>
        <v>0</v>
      </c>
      <c r="AY17" s="840">
        <f t="shared" si="29"/>
        <v>0</v>
      </c>
      <c r="AZ17" s="840">
        <f t="shared" si="30"/>
        <v>0.75</v>
      </c>
      <c r="BA17" s="840">
        <f t="shared" si="9"/>
        <v>3</v>
      </c>
      <c r="BB17" s="841">
        <f t="shared" si="31"/>
        <v>9.5262490344437456E-2</v>
      </c>
      <c r="BD17" s="842">
        <v>0.1875</v>
      </c>
      <c r="BE17" s="842">
        <f t="shared" si="10"/>
        <v>9.25</v>
      </c>
      <c r="BF17" s="842">
        <f t="shared" si="32"/>
        <v>10.25</v>
      </c>
      <c r="BG17" s="842">
        <f t="shared" si="33"/>
        <v>10.408122771828886</v>
      </c>
      <c r="BH17" s="843">
        <f t="shared" si="34"/>
        <v>0.3125</v>
      </c>
      <c r="BI17" s="841">
        <f t="shared" si="35"/>
        <v>0.8125</v>
      </c>
      <c r="BJ17" s="842">
        <f t="shared" si="36"/>
        <v>0.89156138591444289</v>
      </c>
      <c r="BL17" s="842">
        <f t="shared" si="11"/>
        <v>9.5055534962500001</v>
      </c>
      <c r="BM17" s="842">
        <f t="shared" si="12"/>
        <v>10.8819418706875</v>
      </c>
      <c r="BN17" s="842">
        <f t="shared" si="37"/>
        <v>11.049813364489834</v>
      </c>
      <c r="BO17" s="844">
        <f t="shared" si="13"/>
        <v>0.44027674812500006</v>
      </c>
      <c r="BP17" s="844">
        <f t="shared" si="14"/>
        <v>1.1284709353437501</v>
      </c>
      <c r="BQ17" s="842">
        <f t="shared" si="15"/>
        <v>1.2124066822449171</v>
      </c>
      <c r="BR17" s="844">
        <f t="shared" si="16"/>
        <v>0.44827814801249977</v>
      </c>
      <c r="BS17" s="844">
        <f t="shared" si="17"/>
        <v>1.0107781480124998</v>
      </c>
      <c r="BT17" s="842">
        <f t="shared" si="18"/>
        <v>1.0850187177126478</v>
      </c>
    </row>
    <row r="18" spans="1:72" s="842" customFormat="1" ht="14.25" customHeight="1" x14ac:dyDescent="0.25">
      <c r="A18" s="803" t="s">
        <v>377</v>
      </c>
      <c r="B18" s="804">
        <v>9.25</v>
      </c>
      <c r="C18" s="805">
        <v>10.25</v>
      </c>
      <c r="D18" s="806">
        <v>10</v>
      </c>
      <c r="E18" s="807">
        <v>10.875</v>
      </c>
      <c r="F18" s="808">
        <v>0.3125</v>
      </c>
      <c r="G18" s="804" t="s">
        <v>396</v>
      </c>
      <c r="H18" s="809">
        <v>0.75</v>
      </c>
      <c r="I18" s="810">
        <v>65</v>
      </c>
      <c r="J18" s="811">
        <f t="shared" si="38"/>
        <v>2.25</v>
      </c>
      <c r="K18" s="812">
        <f t="shared" si="20"/>
        <v>13.125</v>
      </c>
      <c r="L18" s="813" t="s">
        <v>397</v>
      </c>
      <c r="M18" s="810" t="s">
        <v>398</v>
      </c>
      <c r="N18" s="809">
        <f t="shared" si="0"/>
        <v>0.75</v>
      </c>
      <c r="O18" s="814">
        <f t="shared" si="0"/>
        <v>65</v>
      </c>
      <c r="P18" s="815">
        <v>13</v>
      </c>
      <c r="Q18" s="806">
        <v>24</v>
      </c>
      <c r="R18" s="811">
        <f t="shared" si="1"/>
        <v>10.5</v>
      </c>
      <c r="S18" s="811">
        <f t="shared" si="21"/>
        <v>1.5</v>
      </c>
      <c r="T18" s="816">
        <f t="shared" si="2"/>
        <v>1.5</v>
      </c>
      <c r="U18" s="817"/>
      <c r="V18" s="809"/>
      <c r="W18" s="818"/>
      <c r="X18" s="811"/>
      <c r="Y18" s="819"/>
      <c r="Z18" s="820">
        <v>12</v>
      </c>
      <c r="AA18" s="821">
        <v>4.5</v>
      </c>
      <c r="AB18" s="822">
        <v>3</v>
      </c>
      <c r="AC18" s="823" t="s">
        <v>6</v>
      </c>
      <c r="AD18" s="824">
        <v>1</v>
      </c>
      <c r="AE18" s="825">
        <f t="shared" si="22"/>
        <v>1.125</v>
      </c>
      <c r="AF18" s="826">
        <f t="shared" si="3"/>
        <v>3</v>
      </c>
      <c r="AG18" s="827" t="s">
        <v>179</v>
      </c>
      <c r="AH18" s="828" t="s">
        <v>180</v>
      </c>
      <c r="AI18" s="829" t="s">
        <v>180</v>
      </c>
      <c r="AJ18" s="830">
        <f t="shared" si="4"/>
        <v>5.75</v>
      </c>
      <c r="AK18" s="831">
        <f t="shared" si="5"/>
        <v>5</v>
      </c>
      <c r="AL18" s="832">
        <v>4.5</v>
      </c>
      <c r="AM18" s="833">
        <v>1</v>
      </c>
      <c r="AN18" s="834">
        <f t="shared" si="6"/>
        <v>7.75</v>
      </c>
      <c r="AO18" s="835" t="str">
        <f t="shared" si="7"/>
        <v>PL 3/4 x 24 x 23 7/8</v>
      </c>
      <c r="AP18" s="836">
        <f t="shared" si="23"/>
        <v>119.33996449917647</v>
      </c>
      <c r="AQ18" s="837">
        <f t="shared" si="24"/>
        <v>122.56038931319793</v>
      </c>
      <c r="AR18" s="838"/>
      <c r="AS18" s="839">
        <f t="shared" si="8"/>
        <v>23.875</v>
      </c>
      <c r="AT18" s="839">
        <f t="shared" si="25"/>
        <v>11.928234606598746</v>
      </c>
      <c r="AU18" s="839">
        <f t="shared" si="26"/>
        <v>17.475109135593225</v>
      </c>
      <c r="AV18" s="840">
        <f t="shared" si="19"/>
        <v>119.33996449917647</v>
      </c>
      <c r="AW18" s="840">
        <f t="shared" si="27"/>
        <v>115.62300878603578</v>
      </c>
      <c r="AX18" s="840">
        <f t="shared" si="28"/>
        <v>0</v>
      </c>
      <c r="AY18" s="840">
        <f t="shared" si="29"/>
        <v>0</v>
      </c>
      <c r="AZ18" s="840">
        <f t="shared" si="30"/>
        <v>0.8125</v>
      </c>
      <c r="BA18" s="840">
        <f t="shared" si="9"/>
        <v>3</v>
      </c>
      <c r="BB18" s="841">
        <f t="shared" si="31"/>
        <v>0.11212123696301957</v>
      </c>
      <c r="BD18" s="842">
        <v>0.25</v>
      </c>
      <c r="BE18" s="842">
        <f t="shared" si="10"/>
        <v>9.375</v>
      </c>
      <c r="BF18" s="842">
        <f t="shared" si="32"/>
        <v>10.375</v>
      </c>
      <c r="BG18" s="842">
        <f t="shared" si="33"/>
        <v>10.535051098314606</v>
      </c>
      <c r="BH18" s="843">
        <f t="shared" si="34"/>
        <v>0.3125</v>
      </c>
      <c r="BI18" s="841">
        <f t="shared" si="35"/>
        <v>0.8125</v>
      </c>
      <c r="BJ18" s="842">
        <f t="shared" si="36"/>
        <v>0.89252554915730276</v>
      </c>
      <c r="BL18" s="842">
        <f t="shared" si="11"/>
        <v>9.5725407943125003</v>
      </c>
      <c r="BM18" s="842">
        <f t="shared" si="12"/>
        <v>10.94892916875</v>
      </c>
      <c r="BN18" s="842">
        <f t="shared" si="37"/>
        <v>11.11783404960082</v>
      </c>
      <c r="BO18" s="844">
        <f t="shared" si="13"/>
        <v>0.41127039715625013</v>
      </c>
      <c r="BP18" s="844">
        <f t="shared" si="14"/>
        <v>1.0994645843750002</v>
      </c>
      <c r="BQ18" s="842">
        <f t="shared" si="15"/>
        <v>1.1839170248004098</v>
      </c>
      <c r="BR18" s="844">
        <f t="shared" si="16"/>
        <v>0.45665156027499965</v>
      </c>
      <c r="BS18" s="844">
        <f t="shared" si="17"/>
        <v>1.0191515602749996</v>
      </c>
      <c r="BT18" s="842">
        <f t="shared" si="18"/>
        <v>1.0943562932180066</v>
      </c>
    </row>
    <row r="19" spans="1:72" s="800" customFormat="1" ht="14.25" customHeight="1" x14ac:dyDescent="0.25">
      <c r="A19" s="758"/>
      <c r="B19" s="764">
        <v>10</v>
      </c>
      <c r="C19" s="904">
        <v>11</v>
      </c>
      <c r="D19" s="761">
        <v>10.75</v>
      </c>
      <c r="E19" s="762">
        <v>11.625</v>
      </c>
      <c r="F19" s="763">
        <v>0.25</v>
      </c>
      <c r="G19" s="764" t="s">
        <v>28</v>
      </c>
      <c r="H19" s="765">
        <v>0.75</v>
      </c>
      <c r="I19" s="766">
        <v>65</v>
      </c>
      <c r="J19" s="767">
        <f t="shared" si="38"/>
        <v>2.25</v>
      </c>
      <c r="K19" s="768">
        <f t="shared" si="20"/>
        <v>14.125</v>
      </c>
      <c r="L19" s="769" t="s">
        <v>29</v>
      </c>
      <c r="M19" s="770" t="s">
        <v>30</v>
      </c>
      <c r="N19" s="771">
        <f t="shared" si="0"/>
        <v>0.75</v>
      </c>
      <c r="O19" s="772">
        <f t="shared" si="0"/>
        <v>65</v>
      </c>
      <c r="P19" s="773">
        <v>14</v>
      </c>
      <c r="Q19" s="761">
        <v>21</v>
      </c>
      <c r="R19" s="767">
        <f t="shared" si="1"/>
        <v>9</v>
      </c>
      <c r="S19" s="767">
        <f t="shared" si="21"/>
        <v>1.5</v>
      </c>
      <c r="T19" s="774">
        <f t="shared" si="2"/>
        <v>1.5</v>
      </c>
      <c r="U19" s="775"/>
      <c r="V19" s="771"/>
      <c r="W19" s="776"/>
      <c r="X19" s="767"/>
      <c r="Y19" s="777"/>
      <c r="Z19" s="778">
        <v>12</v>
      </c>
      <c r="AA19" s="779">
        <v>3</v>
      </c>
      <c r="AB19" s="780">
        <v>3</v>
      </c>
      <c r="AC19" s="781" t="s">
        <v>6</v>
      </c>
      <c r="AD19" s="782">
        <v>1</v>
      </c>
      <c r="AE19" s="783">
        <f t="shared" si="22"/>
        <v>1.125</v>
      </c>
      <c r="AF19" s="784">
        <f t="shared" si="3"/>
        <v>3</v>
      </c>
      <c r="AG19" s="785" t="s">
        <v>179</v>
      </c>
      <c r="AH19" s="786" t="s">
        <v>180</v>
      </c>
      <c r="AI19" s="787" t="s">
        <v>180</v>
      </c>
      <c r="AJ19" s="788">
        <f t="shared" si="4"/>
        <v>5.75</v>
      </c>
      <c r="AK19" s="789">
        <f t="shared" si="5"/>
        <v>5</v>
      </c>
      <c r="AL19" s="790">
        <v>4.5</v>
      </c>
      <c r="AM19" s="791">
        <v>1</v>
      </c>
      <c r="AN19" s="792">
        <f t="shared" si="6"/>
        <v>8.625</v>
      </c>
      <c r="AO19" s="793" t="str">
        <f t="shared" si="7"/>
        <v>PL 3/4 x 21 x 24 7/8</v>
      </c>
      <c r="AP19" s="794">
        <f t="shared" si="23"/>
        <v>108.57202699917647</v>
      </c>
      <c r="AQ19" s="795">
        <f t="shared" si="24"/>
        <v>111.14637556319794</v>
      </c>
      <c r="AR19" s="796"/>
      <c r="AS19" s="797">
        <f t="shared" si="8"/>
        <v>24.875</v>
      </c>
      <c r="AT19" s="797">
        <f t="shared" si="25"/>
        <v>11.928234606598746</v>
      </c>
      <c r="AU19" s="797">
        <f t="shared" si="26"/>
        <v>17.475109135593225</v>
      </c>
      <c r="AV19" s="798">
        <f t="shared" si="19"/>
        <v>108.57202699917647</v>
      </c>
      <c r="AW19" s="798">
        <f t="shared" si="27"/>
        <v>104.85507128603578</v>
      </c>
      <c r="AX19" s="798">
        <f t="shared" si="28"/>
        <v>0</v>
      </c>
      <c r="AY19" s="798">
        <f t="shared" si="29"/>
        <v>0</v>
      </c>
      <c r="AZ19" s="798">
        <f t="shared" si="30"/>
        <v>0.75</v>
      </c>
      <c r="BA19" s="798">
        <f t="shared" si="9"/>
        <v>3</v>
      </c>
      <c r="BB19" s="799">
        <f t="shared" si="31"/>
        <v>9.5262490344437456E-2</v>
      </c>
      <c r="BD19" s="800">
        <v>0.1875</v>
      </c>
      <c r="BE19" s="800">
        <f t="shared" si="10"/>
        <v>10.25</v>
      </c>
      <c r="BF19" s="800">
        <f t="shared" si="32"/>
        <v>11.25</v>
      </c>
      <c r="BG19" s="800">
        <f t="shared" si="33"/>
        <v>11.423549383714631</v>
      </c>
      <c r="BH19" s="801">
        <f t="shared" si="34"/>
        <v>0.3125</v>
      </c>
      <c r="BI19" s="799">
        <f t="shared" si="35"/>
        <v>0.8125</v>
      </c>
      <c r="BJ19" s="800">
        <f t="shared" si="36"/>
        <v>0.89927469185731557</v>
      </c>
      <c r="BL19" s="800">
        <f t="shared" si="11"/>
        <v>10.66025403425</v>
      </c>
      <c r="BM19" s="800">
        <f t="shared" si="12"/>
        <v>12.0366424086875</v>
      </c>
      <c r="BN19" s="800">
        <f t="shared" si="37"/>
        <v>12.222327019533822</v>
      </c>
      <c r="BO19" s="802">
        <f t="shared" si="13"/>
        <v>0.51762701712500014</v>
      </c>
      <c r="BP19" s="802">
        <f t="shared" si="14"/>
        <v>1.2058212043437502</v>
      </c>
      <c r="BQ19" s="800">
        <f t="shared" si="15"/>
        <v>1.2986635097669108</v>
      </c>
      <c r="BR19" s="802">
        <f t="shared" si="16"/>
        <v>0.51526544611249969</v>
      </c>
      <c r="BS19" s="802">
        <f t="shared" si="17"/>
        <v>1.0777654461124997</v>
      </c>
      <c r="BT19" s="800">
        <f t="shared" si="18"/>
        <v>1.1597193217555204</v>
      </c>
    </row>
    <row r="20" spans="1:72" s="800" customFormat="1" ht="14.25" customHeight="1" x14ac:dyDescent="0.25">
      <c r="A20" s="758"/>
      <c r="B20" s="804">
        <v>10.25</v>
      </c>
      <c r="C20" s="905">
        <v>11.25</v>
      </c>
      <c r="D20" s="881">
        <v>11</v>
      </c>
      <c r="E20" s="807">
        <v>11.875</v>
      </c>
      <c r="F20" s="906">
        <v>0.3125</v>
      </c>
      <c r="G20" s="903" t="s">
        <v>25</v>
      </c>
      <c r="H20" s="874">
        <v>0.75</v>
      </c>
      <c r="I20" s="875">
        <v>65</v>
      </c>
      <c r="J20" s="876">
        <f t="shared" si="38"/>
        <v>2.25</v>
      </c>
      <c r="K20" s="877">
        <f t="shared" si="20"/>
        <v>14.125</v>
      </c>
      <c r="L20" s="907" t="s">
        <v>26</v>
      </c>
      <c r="M20" s="875" t="s">
        <v>27</v>
      </c>
      <c r="N20" s="878">
        <f t="shared" si="0"/>
        <v>0.75</v>
      </c>
      <c r="O20" s="879">
        <f t="shared" si="0"/>
        <v>65</v>
      </c>
      <c r="P20" s="880">
        <v>14</v>
      </c>
      <c r="Q20" s="881">
        <v>24</v>
      </c>
      <c r="R20" s="876">
        <f t="shared" si="1"/>
        <v>10.5</v>
      </c>
      <c r="S20" s="876">
        <f t="shared" si="21"/>
        <v>1.5</v>
      </c>
      <c r="T20" s="882">
        <f t="shared" si="2"/>
        <v>1.5</v>
      </c>
      <c r="U20" s="883"/>
      <c r="V20" s="878"/>
      <c r="W20" s="884"/>
      <c r="X20" s="876"/>
      <c r="Y20" s="885"/>
      <c r="Z20" s="886">
        <v>12</v>
      </c>
      <c r="AA20" s="887">
        <v>4.5</v>
      </c>
      <c r="AB20" s="888">
        <v>3</v>
      </c>
      <c r="AC20" s="889" t="s">
        <v>6</v>
      </c>
      <c r="AD20" s="890">
        <v>1</v>
      </c>
      <c r="AE20" s="891">
        <f t="shared" si="22"/>
        <v>1.125</v>
      </c>
      <c r="AF20" s="892">
        <f t="shared" si="3"/>
        <v>3</v>
      </c>
      <c r="AG20" s="893" t="s">
        <v>179</v>
      </c>
      <c r="AH20" s="894" t="s">
        <v>180</v>
      </c>
      <c r="AI20" s="895" t="s">
        <v>180</v>
      </c>
      <c r="AJ20" s="896">
        <f t="shared" si="4"/>
        <v>5.75</v>
      </c>
      <c r="AK20" s="897">
        <f t="shared" si="5"/>
        <v>5</v>
      </c>
      <c r="AL20" s="898">
        <v>5</v>
      </c>
      <c r="AM20" s="899">
        <v>1</v>
      </c>
      <c r="AN20" s="908">
        <f t="shared" si="6"/>
        <v>8.75</v>
      </c>
      <c r="AO20" s="900" t="str">
        <f t="shared" si="7"/>
        <v>PL 3/4 x 24 x 24 7/8</v>
      </c>
      <c r="AP20" s="901">
        <f t="shared" si="23"/>
        <v>124.44476449917647</v>
      </c>
      <c r="AQ20" s="902">
        <f t="shared" si="24"/>
        <v>127.13035946979736</v>
      </c>
      <c r="AR20" s="796"/>
      <c r="AS20" s="797">
        <f t="shared" si="8"/>
        <v>24.875</v>
      </c>
      <c r="AT20" s="797">
        <f t="shared" si="25"/>
        <v>11.928234606598746</v>
      </c>
      <c r="AU20" s="797">
        <f t="shared" si="26"/>
        <v>21.205750411731103</v>
      </c>
      <c r="AV20" s="798">
        <f t="shared" si="19"/>
        <v>124.44476449917647</v>
      </c>
      <c r="AW20" s="798">
        <f t="shared" si="27"/>
        <v>119.93430138660128</v>
      </c>
      <c r="AX20" s="798">
        <f t="shared" si="28"/>
        <v>0</v>
      </c>
      <c r="AY20" s="798">
        <f t="shared" si="29"/>
        <v>0</v>
      </c>
      <c r="AZ20" s="798">
        <f t="shared" si="30"/>
        <v>0.8125</v>
      </c>
      <c r="BA20" s="798">
        <f t="shared" si="9"/>
        <v>3</v>
      </c>
      <c r="BB20" s="799">
        <f t="shared" si="31"/>
        <v>0.11212123696301957</v>
      </c>
      <c r="BD20" s="909">
        <v>0.25</v>
      </c>
      <c r="BE20" s="800">
        <f t="shared" si="10"/>
        <v>10.375</v>
      </c>
      <c r="BF20" s="800">
        <f t="shared" si="32"/>
        <v>11.375</v>
      </c>
      <c r="BG20" s="800">
        <f t="shared" si="33"/>
        <v>11.550477710200349</v>
      </c>
      <c r="BH20" s="801">
        <f t="shared" si="34"/>
        <v>0.3125</v>
      </c>
      <c r="BI20" s="799">
        <f t="shared" si="35"/>
        <v>0.8125</v>
      </c>
      <c r="BJ20" s="800">
        <f t="shared" si="36"/>
        <v>0.90023885510017454</v>
      </c>
      <c r="BL20" s="800">
        <f t="shared" si="11"/>
        <v>10.7272413323125</v>
      </c>
      <c r="BM20" s="800">
        <f t="shared" si="12"/>
        <v>12.10362970675</v>
      </c>
      <c r="BN20" s="800">
        <f t="shared" si="37"/>
        <v>12.290347704644807</v>
      </c>
      <c r="BO20" s="802">
        <f t="shared" si="13"/>
        <v>0.48862066615625022</v>
      </c>
      <c r="BP20" s="802">
        <f t="shared" si="14"/>
        <v>1.1768148533750002</v>
      </c>
      <c r="BQ20" s="800">
        <f t="shared" si="15"/>
        <v>1.2701738523224035</v>
      </c>
      <c r="BR20" s="802">
        <f t="shared" si="16"/>
        <v>0.52363885837500002</v>
      </c>
      <c r="BS20" s="802">
        <f t="shared" si="17"/>
        <v>1.086138858375</v>
      </c>
      <c r="BT20" s="800">
        <f t="shared" si="18"/>
        <v>1.1690568972608797</v>
      </c>
    </row>
    <row r="21" spans="1:72" s="842" customFormat="1" ht="14.25" customHeight="1" x14ac:dyDescent="0.25">
      <c r="A21" s="803" t="s">
        <v>377</v>
      </c>
      <c r="B21" s="764">
        <v>11</v>
      </c>
      <c r="C21" s="760">
        <v>12</v>
      </c>
      <c r="D21" s="845">
        <v>11.75</v>
      </c>
      <c r="E21" s="762">
        <v>12.625</v>
      </c>
      <c r="F21" s="846">
        <v>0.25</v>
      </c>
      <c r="G21" s="764" t="s">
        <v>399</v>
      </c>
      <c r="H21" s="847">
        <v>0.75</v>
      </c>
      <c r="I21" s="770">
        <v>65</v>
      </c>
      <c r="J21" s="848">
        <f t="shared" si="38"/>
        <v>2.25</v>
      </c>
      <c r="K21" s="849">
        <f t="shared" si="20"/>
        <v>15.125</v>
      </c>
      <c r="L21" s="769" t="s">
        <v>400</v>
      </c>
      <c r="M21" s="770" t="s">
        <v>401</v>
      </c>
      <c r="N21" s="847">
        <f t="shared" si="0"/>
        <v>0.75</v>
      </c>
      <c r="O21" s="850">
        <f t="shared" si="0"/>
        <v>65</v>
      </c>
      <c r="P21" s="851">
        <v>15</v>
      </c>
      <c r="Q21" s="845">
        <v>24</v>
      </c>
      <c r="R21" s="848">
        <f t="shared" si="1"/>
        <v>10.5</v>
      </c>
      <c r="S21" s="848">
        <f t="shared" si="21"/>
        <v>1.5</v>
      </c>
      <c r="T21" s="852">
        <f t="shared" si="2"/>
        <v>1.5</v>
      </c>
      <c r="U21" s="853"/>
      <c r="V21" s="847"/>
      <c r="W21" s="854"/>
      <c r="X21" s="848"/>
      <c r="Y21" s="855"/>
      <c r="Z21" s="856">
        <v>12</v>
      </c>
      <c r="AA21" s="857">
        <v>4.5</v>
      </c>
      <c r="AB21" s="858">
        <v>3</v>
      </c>
      <c r="AC21" s="859" t="s">
        <v>6</v>
      </c>
      <c r="AD21" s="860">
        <v>1</v>
      </c>
      <c r="AE21" s="861">
        <f t="shared" si="22"/>
        <v>1.125</v>
      </c>
      <c r="AF21" s="862">
        <f t="shared" si="3"/>
        <v>3</v>
      </c>
      <c r="AG21" s="863" t="s">
        <v>179</v>
      </c>
      <c r="AH21" s="864" t="s">
        <v>180</v>
      </c>
      <c r="AI21" s="865" t="s">
        <v>180</v>
      </c>
      <c r="AJ21" s="866">
        <f t="shared" si="4"/>
        <v>5.75</v>
      </c>
      <c r="AK21" s="867">
        <f t="shared" si="5"/>
        <v>5</v>
      </c>
      <c r="AL21" s="868">
        <v>5</v>
      </c>
      <c r="AM21" s="869">
        <v>1</v>
      </c>
      <c r="AN21" s="870">
        <f t="shared" si="6"/>
        <v>9.625</v>
      </c>
      <c r="AO21" s="871" t="str">
        <f t="shared" si="7"/>
        <v>PL 3/4 x 24 x 25 7/8</v>
      </c>
      <c r="AP21" s="872">
        <f t="shared" si="23"/>
        <v>129.54956449917646</v>
      </c>
      <c r="AQ21" s="873">
        <f t="shared" si="24"/>
        <v>132.54144746979736</v>
      </c>
      <c r="AR21" s="838"/>
      <c r="AS21" s="839">
        <f t="shared" si="8"/>
        <v>25.875</v>
      </c>
      <c r="AT21" s="839">
        <f t="shared" si="25"/>
        <v>11.928234606598746</v>
      </c>
      <c r="AU21" s="839">
        <f t="shared" si="26"/>
        <v>21.205750411731103</v>
      </c>
      <c r="AV21" s="840">
        <f t="shared" si="19"/>
        <v>129.54956449917646</v>
      </c>
      <c r="AW21" s="840">
        <f t="shared" si="27"/>
        <v>125.03910138660127</v>
      </c>
      <c r="AX21" s="840">
        <f>2*V21*(W21*P21-J21^2*(2-PI()/2))*0.2836</f>
        <v>0</v>
      </c>
      <c r="AY21" s="840">
        <f t="shared" si="29"/>
        <v>0</v>
      </c>
      <c r="AZ21" s="840">
        <f t="shared" si="30"/>
        <v>0.75</v>
      </c>
      <c r="BA21" s="840">
        <f t="shared" si="9"/>
        <v>3</v>
      </c>
      <c r="BB21" s="841">
        <f t="shared" si="31"/>
        <v>9.5262490344437456E-2</v>
      </c>
      <c r="BD21" s="842">
        <v>0.1875</v>
      </c>
      <c r="BE21" s="842">
        <f t="shared" si="10"/>
        <v>11.25</v>
      </c>
      <c r="BF21" s="842">
        <f t="shared" si="32"/>
        <v>12.25</v>
      </c>
      <c r="BG21" s="842">
        <f t="shared" si="33"/>
        <v>12.438975995600376</v>
      </c>
      <c r="BH21" s="843">
        <f t="shared" si="34"/>
        <v>0.3125</v>
      </c>
      <c r="BI21" s="841">
        <f t="shared" si="35"/>
        <v>0.8125</v>
      </c>
      <c r="BJ21" s="842">
        <f t="shared" si="36"/>
        <v>0.90698799780018824</v>
      </c>
      <c r="BL21" s="842">
        <f t="shared" si="11"/>
        <v>11.81495457225</v>
      </c>
      <c r="BM21" s="842">
        <f t="shared" si="12"/>
        <v>13.191342946687501</v>
      </c>
      <c r="BN21" s="842">
        <f t="shared" si="37"/>
        <v>13.394840674577809</v>
      </c>
      <c r="BO21" s="844">
        <f t="shared" si="13"/>
        <v>0.59497728612500023</v>
      </c>
      <c r="BP21" s="844">
        <f t="shared" si="14"/>
        <v>1.2831714733437503</v>
      </c>
      <c r="BQ21" s="842">
        <f t="shared" si="15"/>
        <v>1.3849203372889045</v>
      </c>
      <c r="BR21" s="844">
        <f t="shared" si="16"/>
        <v>0.58225274421250006</v>
      </c>
      <c r="BS21" s="844">
        <f t="shared" si="17"/>
        <v>1.1447527442125001</v>
      </c>
      <c r="BT21" s="842">
        <f t="shared" si="18"/>
        <v>1.2344199257983934</v>
      </c>
    </row>
    <row r="22" spans="1:72" s="842" customFormat="1" ht="14.25" customHeight="1" x14ac:dyDescent="0.25">
      <c r="A22" s="803" t="s">
        <v>377</v>
      </c>
      <c r="B22" s="910">
        <v>11.25</v>
      </c>
      <c r="C22" s="911">
        <v>12.25</v>
      </c>
      <c r="D22" s="912">
        <v>12</v>
      </c>
      <c r="E22" s="913">
        <v>12.875</v>
      </c>
      <c r="F22" s="914">
        <v>0.375</v>
      </c>
      <c r="G22" s="910" t="s">
        <v>402</v>
      </c>
      <c r="H22" s="915">
        <v>0.75</v>
      </c>
      <c r="I22" s="916">
        <v>65</v>
      </c>
      <c r="J22" s="917">
        <f t="shared" si="38"/>
        <v>2.25</v>
      </c>
      <c r="K22" s="918">
        <f t="shared" si="20"/>
        <v>15.125</v>
      </c>
      <c r="L22" s="919" t="s">
        <v>403</v>
      </c>
      <c r="M22" s="916" t="s">
        <v>404</v>
      </c>
      <c r="N22" s="915">
        <f t="shared" si="0"/>
        <v>0.75</v>
      </c>
      <c r="O22" s="920">
        <f t="shared" si="0"/>
        <v>65</v>
      </c>
      <c r="P22" s="921">
        <v>15</v>
      </c>
      <c r="Q22" s="912">
        <v>24.5</v>
      </c>
      <c r="R22" s="917">
        <f t="shared" si="1"/>
        <v>10.5</v>
      </c>
      <c r="S22" s="917">
        <f t="shared" si="21"/>
        <v>1.75</v>
      </c>
      <c r="T22" s="922">
        <f t="shared" si="2"/>
        <v>1.75</v>
      </c>
      <c r="U22" s="923">
        <v>2</v>
      </c>
      <c r="V22" s="915">
        <f t="shared" ref="V22:V44" si="39">H22</f>
        <v>0.75</v>
      </c>
      <c r="W22" s="924">
        <v>2.5</v>
      </c>
      <c r="X22" s="917">
        <f t="shared" ref="X22" si="40">I22</f>
        <v>65</v>
      </c>
      <c r="Y22" s="925">
        <f t="shared" ref="Y22" si="41">E22+V22</f>
        <v>13.625</v>
      </c>
      <c r="Z22" s="926">
        <v>12</v>
      </c>
      <c r="AA22" s="927">
        <v>3.5</v>
      </c>
      <c r="AB22" s="928">
        <v>3.5</v>
      </c>
      <c r="AC22" s="929" t="s">
        <v>6</v>
      </c>
      <c r="AD22" s="930">
        <v>1.25</v>
      </c>
      <c r="AE22" s="931">
        <f t="shared" si="22"/>
        <v>1.375</v>
      </c>
      <c r="AF22" s="932">
        <f t="shared" si="3"/>
        <v>3.25</v>
      </c>
      <c r="AG22" s="933" t="s">
        <v>179</v>
      </c>
      <c r="AH22" s="934" t="s">
        <v>180</v>
      </c>
      <c r="AI22" s="935" t="s">
        <v>180</v>
      </c>
      <c r="AJ22" s="936">
        <f t="shared" si="4"/>
        <v>6.5</v>
      </c>
      <c r="AK22" s="937">
        <f t="shared" si="5"/>
        <v>5.5</v>
      </c>
      <c r="AL22" s="938">
        <v>5.5</v>
      </c>
      <c r="AM22" s="939">
        <v>1</v>
      </c>
      <c r="AN22" s="940">
        <f t="shared" si="6"/>
        <v>9.625</v>
      </c>
      <c r="AO22" s="941" t="str">
        <f t="shared" si="7"/>
        <v>PL 3/4 x 24 1/2 x 27 3/8</v>
      </c>
      <c r="AP22" s="942">
        <f t="shared" si="23"/>
        <v>153.89336166344808</v>
      </c>
      <c r="AQ22" s="943">
        <f t="shared" si="24"/>
        <v>159.6389104809667</v>
      </c>
      <c r="AR22" s="838"/>
      <c r="AS22" s="839">
        <f t="shared" si="8"/>
        <v>27.375</v>
      </c>
      <c r="AT22" s="839">
        <f t="shared" si="25"/>
        <v>17.81872083207961</v>
      </c>
      <c r="AU22" s="839">
        <f t="shared" si="26"/>
        <v>25.329090769567706</v>
      </c>
      <c r="AV22" s="840">
        <f t="shared" si="19"/>
        <v>138.86518932901666</v>
      </c>
      <c r="AW22" s="840">
        <f t="shared" si="27"/>
        <v>133.47769172232961</v>
      </c>
      <c r="AX22" s="840">
        <f t="shared" ref="AX22" si="42">2*V22*(W22*P22-J22^2*(2-PI()/2))*0.2836</f>
        <v>15.028172334431405</v>
      </c>
      <c r="AY22" s="840">
        <f t="shared" si="29"/>
        <v>17.125054014431406</v>
      </c>
      <c r="AZ22" s="840">
        <f t="shared" si="30"/>
        <v>0.75</v>
      </c>
      <c r="BA22" s="840">
        <f t="shared" si="9"/>
        <v>3</v>
      </c>
      <c r="BB22" s="841">
        <f t="shared" si="31"/>
        <v>9.5262490344437456E-2</v>
      </c>
      <c r="BD22" s="944">
        <v>0.3125</v>
      </c>
      <c r="BE22" s="842">
        <f t="shared" si="10"/>
        <v>11.25</v>
      </c>
      <c r="BF22" s="842">
        <f t="shared" si="32"/>
        <v>12.25</v>
      </c>
      <c r="BG22" s="842">
        <f t="shared" si="33"/>
        <v>12.438975995600376</v>
      </c>
      <c r="BH22" s="843">
        <f t="shared" si="34"/>
        <v>0.3125</v>
      </c>
      <c r="BI22" s="841">
        <f t="shared" si="35"/>
        <v>0.8125</v>
      </c>
      <c r="BJ22" s="842">
        <f t="shared" si="36"/>
        <v>0.90698799780018824</v>
      </c>
      <c r="BL22" s="842">
        <f t="shared" si="11"/>
        <v>11.660254033875001</v>
      </c>
      <c r="BM22" s="842">
        <f t="shared" si="12"/>
        <v>13.036642408312501</v>
      </c>
      <c r="BN22" s="842">
        <f t="shared" si="37"/>
        <v>13.237753631038782</v>
      </c>
      <c r="BO22" s="844">
        <f t="shared" si="13"/>
        <v>0.51762701693750035</v>
      </c>
      <c r="BP22" s="844">
        <f t="shared" si="14"/>
        <v>1.2058212041562504</v>
      </c>
      <c r="BQ22" s="842">
        <f t="shared" si="15"/>
        <v>1.3063768155193909</v>
      </c>
      <c r="BR22" s="844">
        <f t="shared" si="16"/>
        <v>0.58225274421250006</v>
      </c>
      <c r="BS22" s="844">
        <f t="shared" si="17"/>
        <v>1.1447527442125001</v>
      </c>
      <c r="BT22" s="842">
        <f t="shared" si="18"/>
        <v>1.2344199257983934</v>
      </c>
    </row>
    <row r="23" spans="1:72" s="800" customFormat="1" ht="14.25" customHeight="1" x14ac:dyDescent="0.25">
      <c r="A23" s="758"/>
      <c r="B23" s="945">
        <v>11.75</v>
      </c>
      <c r="C23" s="946">
        <v>12.75</v>
      </c>
      <c r="D23" s="947">
        <v>12.75</v>
      </c>
      <c r="E23" s="948">
        <v>13.625</v>
      </c>
      <c r="F23" s="949">
        <v>0.25</v>
      </c>
      <c r="G23" s="950" t="s">
        <v>405</v>
      </c>
      <c r="H23" s="951">
        <v>0.75</v>
      </c>
      <c r="I23" s="952">
        <v>65</v>
      </c>
      <c r="J23" s="953">
        <f t="shared" si="38"/>
        <v>2.25</v>
      </c>
      <c r="K23" s="954">
        <f t="shared" si="20"/>
        <v>16.125</v>
      </c>
      <c r="L23" s="955" t="s">
        <v>406</v>
      </c>
      <c r="M23" s="956" t="s">
        <v>407</v>
      </c>
      <c r="N23" s="957">
        <f t="shared" ref="N23:O57" si="43">H23</f>
        <v>0.75</v>
      </c>
      <c r="O23" s="958">
        <f t="shared" si="43"/>
        <v>65</v>
      </c>
      <c r="P23" s="959">
        <v>16</v>
      </c>
      <c r="Q23" s="960">
        <v>24</v>
      </c>
      <c r="R23" s="953">
        <f t="shared" si="1"/>
        <v>10.5</v>
      </c>
      <c r="S23" s="953">
        <f t="shared" si="21"/>
        <v>1.5</v>
      </c>
      <c r="T23" s="961">
        <f t="shared" si="2"/>
        <v>1.5</v>
      </c>
      <c r="U23" s="962">
        <v>2</v>
      </c>
      <c r="V23" s="957">
        <f t="shared" si="39"/>
        <v>0.75</v>
      </c>
      <c r="W23" s="963">
        <v>2.5</v>
      </c>
      <c r="X23" s="953">
        <v>65</v>
      </c>
      <c r="Y23" s="964">
        <f>FLOOR(E23+V23,0.25)</f>
        <v>14.25</v>
      </c>
      <c r="Z23" s="965">
        <v>12</v>
      </c>
      <c r="AA23" s="966">
        <v>4.5</v>
      </c>
      <c r="AB23" s="967">
        <v>3</v>
      </c>
      <c r="AC23" s="968" t="s">
        <v>6</v>
      </c>
      <c r="AD23" s="969">
        <v>1</v>
      </c>
      <c r="AE23" s="970">
        <f t="shared" si="22"/>
        <v>1.125</v>
      </c>
      <c r="AF23" s="971">
        <f t="shared" si="3"/>
        <v>3</v>
      </c>
      <c r="AG23" s="972" t="s">
        <v>179</v>
      </c>
      <c r="AH23" s="973" t="s">
        <v>180</v>
      </c>
      <c r="AI23" s="974" t="s">
        <v>180</v>
      </c>
      <c r="AJ23" s="975">
        <f t="shared" si="4"/>
        <v>6</v>
      </c>
      <c r="AK23" s="976">
        <f t="shared" si="5"/>
        <v>5.25</v>
      </c>
      <c r="AL23" s="977">
        <v>5.5</v>
      </c>
      <c r="AM23" s="978">
        <v>1</v>
      </c>
      <c r="AN23" s="979">
        <f t="shared" si="6"/>
        <v>10.625</v>
      </c>
      <c r="AO23" s="980" t="str">
        <f t="shared" si="7"/>
        <v>PL 3/4 x 24 x 27 3/8</v>
      </c>
      <c r="AP23" s="981">
        <f t="shared" si="23"/>
        <v>153.29843683360787</v>
      </c>
      <c r="AQ23" s="982">
        <f t="shared" si="24"/>
        <v>159.23375216133604</v>
      </c>
      <c r="AR23" s="796"/>
      <c r="AS23" s="797">
        <f t="shared" si="8"/>
        <v>27.375</v>
      </c>
      <c r="AT23" s="797">
        <f t="shared" si="25"/>
        <v>11.928234606598746</v>
      </c>
      <c r="AU23" s="797">
        <f t="shared" si="26"/>
        <v>25.329090769567706</v>
      </c>
      <c r="AV23" s="798">
        <f t="shared" si="19"/>
        <v>137.20676449917647</v>
      </c>
      <c r="AW23" s="798">
        <f t="shared" si="27"/>
        <v>131.8192668924894</v>
      </c>
      <c r="AX23" s="798">
        <f>2*V23*(W23*P23-J23^2*(2-PI()/2))*0.2836</f>
        <v>16.091672334431404</v>
      </c>
      <c r="AY23" s="798">
        <f t="shared" si="29"/>
        <v>18.401254014431405</v>
      </c>
      <c r="AZ23" s="798">
        <f t="shared" si="30"/>
        <v>0.75</v>
      </c>
      <c r="BA23" s="798">
        <f t="shared" si="9"/>
        <v>3</v>
      </c>
      <c r="BB23" s="799">
        <f t="shared" si="31"/>
        <v>9.5262490344437456E-2</v>
      </c>
      <c r="BD23" s="909">
        <v>0.1875</v>
      </c>
      <c r="BE23" s="800">
        <f t="shared" si="10"/>
        <v>12.25</v>
      </c>
      <c r="BF23" s="800">
        <f t="shared" si="32"/>
        <v>13.25</v>
      </c>
      <c r="BG23" s="800">
        <f t="shared" si="33"/>
        <v>13.454402607486122</v>
      </c>
      <c r="BH23" s="801">
        <f t="shared" si="34"/>
        <v>0.3125</v>
      </c>
      <c r="BI23" s="799">
        <f t="shared" si="35"/>
        <v>0.8125</v>
      </c>
      <c r="BJ23" s="800">
        <f t="shared" si="36"/>
        <v>0.91470130374306091</v>
      </c>
      <c r="BL23" s="800">
        <f t="shared" si="11"/>
        <v>12.680979975750001</v>
      </c>
      <c r="BM23" s="800">
        <f t="shared" si="12"/>
        <v>14.057368350187499</v>
      </c>
      <c r="BN23" s="800">
        <f t="shared" si="37"/>
        <v>14.274225915860796</v>
      </c>
      <c r="BO23" s="802">
        <f t="shared" si="13"/>
        <v>0.52798998787500029</v>
      </c>
      <c r="BP23" s="802">
        <f t="shared" si="14"/>
        <v>1.2161841750937494</v>
      </c>
      <c r="BQ23" s="800">
        <f t="shared" si="15"/>
        <v>1.3246129579303982</v>
      </c>
      <c r="BR23" s="802">
        <f t="shared" si="16"/>
        <v>0.52424004231249999</v>
      </c>
      <c r="BS23" s="802">
        <f t="shared" si="17"/>
        <v>1.0867400423125</v>
      </c>
      <c r="BT23" s="800">
        <f t="shared" si="18"/>
        <v>1.1821922033555472</v>
      </c>
    </row>
    <row r="24" spans="1:72" s="842" customFormat="1" ht="14.25" customHeight="1" x14ac:dyDescent="0.25">
      <c r="A24" s="803" t="s">
        <v>377</v>
      </c>
      <c r="B24" s="910">
        <v>12</v>
      </c>
      <c r="C24" s="911">
        <v>13</v>
      </c>
      <c r="D24" s="912">
        <v>13</v>
      </c>
      <c r="E24" s="913">
        <v>13.625</v>
      </c>
      <c r="F24" s="914">
        <v>0.375</v>
      </c>
      <c r="G24" s="910" t="s">
        <v>408</v>
      </c>
      <c r="H24" s="915">
        <v>1</v>
      </c>
      <c r="I24" s="916">
        <v>65</v>
      </c>
      <c r="J24" s="917">
        <f t="shared" si="38"/>
        <v>3</v>
      </c>
      <c r="K24" s="918">
        <f t="shared" si="20"/>
        <v>17.125</v>
      </c>
      <c r="L24" s="919" t="s">
        <v>409</v>
      </c>
      <c r="M24" s="916" t="s">
        <v>410</v>
      </c>
      <c r="N24" s="915">
        <f t="shared" si="43"/>
        <v>1</v>
      </c>
      <c r="O24" s="920">
        <f t="shared" si="43"/>
        <v>65</v>
      </c>
      <c r="P24" s="921">
        <v>17</v>
      </c>
      <c r="Q24" s="912">
        <v>24.5</v>
      </c>
      <c r="R24" s="917">
        <f t="shared" si="1"/>
        <v>10.5</v>
      </c>
      <c r="S24" s="917">
        <f t="shared" si="21"/>
        <v>1.75</v>
      </c>
      <c r="T24" s="922">
        <f t="shared" si="2"/>
        <v>1.75</v>
      </c>
      <c r="U24" s="923">
        <v>2</v>
      </c>
      <c r="V24" s="915">
        <f t="shared" si="39"/>
        <v>1</v>
      </c>
      <c r="W24" s="924">
        <v>3</v>
      </c>
      <c r="X24" s="917">
        <f t="shared" ref="X24:X44" si="44">I24</f>
        <v>65</v>
      </c>
      <c r="Y24" s="925">
        <f t="shared" ref="Y24:Y44" si="45">E24+V24</f>
        <v>14.625</v>
      </c>
      <c r="Z24" s="926">
        <v>12</v>
      </c>
      <c r="AA24" s="927">
        <v>3.5</v>
      </c>
      <c r="AB24" s="928">
        <v>3.5</v>
      </c>
      <c r="AC24" s="929" t="s">
        <v>6</v>
      </c>
      <c r="AD24" s="930">
        <v>1.25</v>
      </c>
      <c r="AE24" s="931">
        <f t="shared" si="22"/>
        <v>1.375</v>
      </c>
      <c r="AF24" s="932">
        <f t="shared" si="3"/>
        <v>3.75</v>
      </c>
      <c r="AG24" s="933" t="s">
        <v>179</v>
      </c>
      <c r="AH24" s="934" t="s">
        <v>180</v>
      </c>
      <c r="AI24" s="935" t="s">
        <v>180</v>
      </c>
      <c r="AJ24" s="936">
        <f t="shared" si="4"/>
        <v>7</v>
      </c>
      <c r="AK24" s="937">
        <f t="shared" si="5"/>
        <v>6.25</v>
      </c>
      <c r="AL24" s="938">
        <v>6</v>
      </c>
      <c r="AM24" s="939">
        <v>1</v>
      </c>
      <c r="AN24" s="940">
        <f t="shared" si="6"/>
        <v>10.625</v>
      </c>
      <c r="AO24" s="941" t="str">
        <f t="shared" si="7"/>
        <v>PL 1 x 24 1/2 x 30</v>
      </c>
      <c r="AP24" s="942">
        <f t="shared" si="23"/>
        <v>230.12881186104482</v>
      </c>
      <c r="AQ24" s="943">
        <f t="shared" si="24"/>
        <v>238.52944168416781</v>
      </c>
      <c r="AR24" s="838"/>
      <c r="AS24" s="839">
        <f t="shared" si="8"/>
        <v>30</v>
      </c>
      <c r="AT24" s="839">
        <f t="shared" si="25"/>
        <v>17.81872083207961</v>
      </c>
      <c r="AU24" s="839">
        <f t="shared" si="26"/>
        <v>29.845130209103033</v>
      </c>
      <c r="AV24" s="840">
        <f t="shared" si="19"/>
        <v>203.39261077202224</v>
      </c>
      <c r="AW24" s="840">
        <f t="shared" si="27"/>
        <v>194.92853184472062</v>
      </c>
      <c r="AX24" s="840">
        <f t="shared" ref="AX24:AX44" si="46">2*V24*(W24*P24-J24^2*(2-PI()/2))*0.2836</f>
        <v>26.73620108902259</v>
      </c>
      <c r="AY24" s="840">
        <f t="shared" si="29"/>
        <v>30.099243329022592</v>
      </c>
      <c r="AZ24" s="840">
        <f t="shared" si="30"/>
        <v>0.875</v>
      </c>
      <c r="BA24" s="840">
        <f t="shared" si="9"/>
        <v>4</v>
      </c>
      <c r="BB24" s="841">
        <f t="shared" si="31"/>
        <v>9.6876251001001279E-2</v>
      </c>
      <c r="BD24" s="944">
        <v>0.3125</v>
      </c>
      <c r="BE24" s="842">
        <f t="shared" si="10"/>
        <v>12.25</v>
      </c>
      <c r="BF24" s="842">
        <f t="shared" si="32"/>
        <v>13</v>
      </c>
      <c r="BG24" s="842">
        <f t="shared" si="33"/>
        <v>13.200545954514686</v>
      </c>
      <c r="BH24" s="843">
        <f t="shared" si="34"/>
        <v>0.3125</v>
      </c>
      <c r="BI24" s="841">
        <f t="shared" si="35"/>
        <v>0.6875</v>
      </c>
      <c r="BJ24" s="842">
        <f t="shared" si="36"/>
        <v>0.78777297725734297</v>
      </c>
      <c r="BL24" s="842">
        <f t="shared" si="11"/>
        <v>12.526279437375001</v>
      </c>
      <c r="BM24" s="842">
        <f t="shared" si="12"/>
        <v>13.902667811812499</v>
      </c>
      <c r="BN24" s="842">
        <f t="shared" si="37"/>
        <v>14.117138872321771</v>
      </c>
      <c r="BO24" s="844">
        <f t="shared" si="13"/>
        <v>0.45063971868750041</v>
      </c>
      <c r="BP24" s="844">
        <f t="shared" si="14"/>
        <v>1.1388339059062496</v>
      </c>
      <c r="BQ24" s="842">
        <f t="shared" si="15"/>
        <v>1.2460694361608855</v>
      </c>
      <c r="BR24" s="844">
        <f t="shared" si="16"/>
        <v>0.52424004231249999</v>
      </c>
      <c r="BS24" s="844">
        <f t="shared" si="17"/>
        <v>1.0867400423125</v>
      </c>
      <c r="BT24" s="842">
        <f t="shared" si="18"/>
        <v>1.1821922033555472</v>
      </c>
    </row>
    <row r="25" spans="1:72" s="800" customFormat="1" ht="14.25" customHeight="1" x14ac:dyDescent="0.25">
      <c r="A25" s="758"/>
      <c r="B25" s="950">
        <v>12.75</v>
      </c>
      <c r="C25" s="946">
        <v>13.75</v>
      </c>
      <c r="D25" s="960">
        <v>13.75</v>
      </c>
      <c r="E25" s="948">
        <v>14.375</v>
      </c>
      <c r="F25" s="983">
        <v>0.25</v>
      </c>
      <c r="G25" s="945" t="s">
        <v>34</v>
      </c>
      <c r="H25" s="984">
        <v>1</v>
      </c>
      <c r="I25" s="952">
        <v>65</v>
      </c>
      <c r="J25" s="953">
        <f t="shared" si="38"/>
        <v>3</v>
      </c>
      <c r="K25" s="954">
        <f t="shared" si="20"/>
        <v>18.125</v>
      </c>
      <c r="L25" s="985" t="s">
        <v>35</v>
      </c>
      <c r="M25" s="952" t="s">
        <v>36</v>
      </c>
      <c r="N25" s="984">
        <f t="shared" si="43"/>
        <v>1</v>
      </c>
      <c r="O25" s="958">
        <f t="shared" si="43"/>
        <v>65</v>
      </c>
      <c r="P25" s="959">
        <v>18</v>
      </c>
      <c r="Q25" s="947">
        <v>24.5</v>
      </c>
      <c r="R25" s="986">
        <f t="shared" si="1"/>
        <v>10.5</v>
      </c>
      <c r="S25" s="986">
        <f t="shared" si="21"/>
        <v>1.75</v>
      </c>
      <c r="T25" s="987">
        <f t="shared" si="2"/>
        <v>1.75</v>
      </c>
      <c r="U25" s="962">
        <v>2</v>
      </c>
      <c r="V25" s="957">
        <f t="shared" si="39"/>
        <v>1</v>
      </c>
      <c r="W25" s="988">
        <v>3</v>
      </c>
      <c r="X25" s="953">
        <f t="shared" si="44"/>
        <v>65</v>
      </c>
      <c r="Y25" s="964">
        <f t="shared" si="45"/>
        <v>15.375</v>
      </c>
      <c r="Z25" s="989">
        <v>12</v>
      </c>
      <c r="AA25" s="990">
        <v>3.5</v>
      </c>
      <c r="AB25" s="991">
        <v>3.5</v>
      </c>
      <c r="AC25" s="992" t="s">
        <v>6</v>
      </c>
      <c r="AD25" s="993">
        <v>1.25</v>
      </c>
      <c r="AE25" s="994">
        <f t="shared" si="22"/>
        <v>1.375</v>
      </c>
      <c r="AF25" s="995">
        <f t="shared" si="3"/>
        <v>3.75</v>
      </c>
      <c r="AG25" s="996" t="s">
        <v>179</v>
      </c>
      <c r="AH25" s="997" t="s">
        <v>180</v>
      </c>
      <c r="AI25" s="998" t="s">
        <v>180</v>
      </c>
      <c r="AJ25" s="999">
        <f t="shared" si="4"/>
        <v>7</v>
      </c>
      <c r="AK25" s="1000">
        <f t="shared" si="5"/>
        <v>6.25</v>
      </c>
      <c r="AL25" s="1001">
        <v>6</v>
      </c>
      <c r="AM25" s="1002">
        <v>1</v>
      </c>
      <c r="AN25" s="1003">
        <f t="shared" si="6"/>
        <v>11.625</v>
      </c>
      <c r="AO25" s="1004" t="str">
        <f t="shared" si="7"/>
        <v>PL 1 x 24 1/2 x 31</v>
      </c>
      <c r="AP25" s="1005">
        <f t="shared" si="23"/>
        <v>238.77861186104482</v>
      </c>
      <c r="AQ25" s="1006">
        <f t="shared" si="24"/>
        <v>247.99884568416778</v>
      </c>
      <c r="AR25" s="796"/>
      <c r="AS25" s="797">
        <f t="shared" si="8"/>
        <v>31</v>
      </c>
      <c r="AT25" s="797">
        <f t="shared" si="25"/>
        <v>17.81872083207961</v>
      </c>
      <c r="AU25" s="797">
        <f t="shared" si="26"/>
        <v>29.845130209103033</v>
      </c>
      <c r="AV25" s="798">
        <f t="shared" si="19"/>
        <v>210.34081077202222</v>
      </c>
      <c r="AW25" s="798">
        <f t="shared" si="27"/>
        <v>201.87673184472061</v>
      </c>
      <c r="AX25" s="798">
        <f t="shared" si="46"/>
        <v>28.437801089022592</v>
      </c>
      <c r="AY25" s="798">
        <f t="shared" si="29"/>
        <v>32.084443329022591</v>
      </c>
      <c r="AZ25" s="798">
        <f t="shared" si="30"/>
        <v>0.875</v>
      </c>
      <c r="BA25" s="798">
        <f t="shared" si="9"/>
        <v>4</v>
      </c>
      <c r="BB25" s="799">
        <f t="shared" si="31"/>
        <v>9.6876251001001279E-2</v>
      </c>
      <c r="BD25" s="909">
        <v>0.25</v>
      </c>
      <c r="BE25" s="800">
        <f t="shared" si="10"/>
        <v>13.25</v>
      </c>
      <c r="BF25" s="800">
        <f t="shared" si="32"/>
        <v>13.875</v>
      </c>
      <c r="BG25" s="800">
        <f t="shared" si="33"/>
        <v>14.089044239914712</v>
      </c>
      <c r="BH25" s="801">
        <f t="shared" si="34"/>
        <v>0.3125</v>
      </c>
      <c r="BI25" s="799">
        <f t="shared" si="35"/>
        <v>0.625</v>
      </c>
      <c r="BJ25" s="800">
        <f t="shared" si="36"/>
        <v>0.73202211995735578</v>
      </c>
      <c r="BL25" s="800">
        <f t="shared" si="11"/>
        <v>13.835680513749999</v>
      </c>
      <c r="BM25" s="800">
        <f t="shared" si="12"/>
        <v>14.990381051749999</v>
      </c>
      <c r="BN25" s="800">
        <f t="shared" si="37"/>
        <v>15.221631842254773</v>
      </c>
      <c r="BO25" s="802">
        <f t="shared" si="13"/>
        <v>0.60534025687499948</v>
      </c>
      <c r="BP25" s="802">
        <f t="shared" si="14"/>
        <v>1.1826905258749996</v>
      </c>
      <c r="BQ25" s="800">
        <f t="shared" si="15"/>
        <v>1.2983159211273865</v>
      </c>
      <c r="BR25" s="802">
        <f t="shared" si="16"/>
        <v>0.59122734041249991</v>
      </c>
      <c r="BS25" s="802">
        <f t="shared" si="17"/>
        <v>1.0912273404124999</v>
      </c>
      <c r="BT25" s="800">
        <f t="shared" si="18"/>
        <v>1.1934286441555608</v>
      </c>
    </row>
    <row r="26" spans="1:72" s="800" customFormat="1" ht="14.25" customHeight="1" x14ac:dyDescent="0.25">
      <c r="A26" s="758"/>
      <c r="B26" s="910">
        <v>12.75</v>
      </c>
      <c r="C26" s="1007">
        <v>13.75</v>
      </c>
      <c r="D26" s="1008">
        <v>13.75</v>
      </c>
      <c r="E26" s="913">
        <v>14.625</v>
      </c>
      <c r="F26" s="1009">
        <v>0.375</v>
      </c>
      <c r="G26" s="1010" t="s">
        <v>37</v>
      </c>
      <c r="H26" s="1011">
        <v>1</v>
      </c>
      <c r="I26" s="1012">
        <v>65</v>
      </c>
      <c r="J26" s="1013">
        <f t="shared" si="38"/>
        <v>3</v>
      </c>
      <c r="K26" s="1014">
        <f t="shared" si="20"/>
        <v>18.125</v>
      </c>
      <c r="L26" s="1015" t="s">
        <v>38</v>
      </c>
      <c r="M26" s="1012" t="s">
        <v>39</v>
      </c>
      <c r="N26" s="1016">
        <f t="shared" si="43"/>
        <v>1</v>
      </c>
      <c r="O26" s="1017">
        <f t="shared" si="43"/>
        <v>65</v>
      </c>
      <c r="P26" s="1018">
        <v>18</v>
      </c>
      <c r="Q26" s="1008">
        <v>24</v>
      </c>
      <c r="R26" s="1013">
        <f t="shared" si="1"/>
        <v>10</v>
      </c>
      <c r="S26" s="1013">
        <f t="shared" si="21"/>
        <v>2</v>
      </c>
      <c r="T26" s="1019">
        <f t="shared" si="2"/>
        <v>2</v>
      </c>
      <c r="U26" s="1020">
        <v>2</v>
      </c>
      <c r="V26" s="1016">
        <f t="shared" si="39"/>
        <v>1</v>
      </c>
      <c r="W26" s="1021">
        <v>3</v>
      </c>
      <c r="X26" s="1013">
        <f t="shared" si="44"/>
        <v>65</v>
      </c>
      <c r="Y26" s="925">
        <f t="shared" si="45"/>
        <v>15.625</v>
      </c>
      <c r="Z26" s="1022">
        <v>8</v>
      </c>
      <c r="AA26" s="1023">
        <v>6</v>
      </c>
      <c r="AB26" s="1024">
        <v>4</v>
      </c>
      <c r="AC26" s="1025" t="s">
        <v>6</v>
      </c>
      <c r="AD26" s="1026">
        <v>1.5</v>
      </c>
      <c r="AE26" s="1027">
        <f t="shared" si="22"/>
        <v>1.625</v>
      </c>
      <c r="AF26" s="1028">
        <f t="shared" si="3"/>
        <v>4</v>
      </c>
      <c r="AG26" s="1029" t="s">
        <v>179</v>
      </c>
      <c r="AH26" s="1030" t="s">
        <v>180</v>
      </c>
      <c r="AI26" s="1031" t="s">
        <v>180</v>
      </c>
      <c r="AJ26" s="1032">
        <f t="shared" si="4"/>
        <v>7.5</v>
      </c>
      <c r="AK26" s="1033">
        <f t="shared" si="5"/>
        <v>6.5</v>
      </c>
      <c r="AL26" s="1034">
        <v>6</v>
      </c>
      <c r="AM26" s="1035">
        <v>1</v>
      </c>
      <c r="AN26" s="1036">
        <f t="shared" si="6"/>
        <v>11.375</v>
      </c>
      <c r="AO26" s="1037" t="str">
        <f t="shared" si="7"/>
        <v>PL 1 x 24 x 32</v>
      </c>
      <c r="AP26" s="1038">
        <f t="shared" si="23"/>
        <v>241.53724142220034</v>
      </c>
      <c r="AQ26" s="1039">
        <f t="shared" si="24"/>
        <v>250.92299301899266</v>
      </c>
      <c r="AR26" s="796"/>
      <c r="AS26" s="797">
        <f t="shared" si="8"/>
        <v>32</v>
      </c>
      <c r="AT26" s="797">
        <f t="shared" si="25"/>
        <v>16.591536201771095</v>
      </c>
      <c r="AU26" s="797">
        <f t="shared" si="26"/>
        <v>29.845130209103033</v>
      </c>
      <c r="AV26" s="798">
        <f t="shared" si="19"/>
        <v>213.09944033317774</v>
      </c>
      <c r="AW26" s="798">
        <f t="shared" si="27"/>
        <v>204.63536140587613</v>
      </c>
      <c r="AX26" s="798">
        <f t="shared" si="46"/>
        <v>28.437801089022592</v>
      </c>
      <c r="AY26" s="798">
        <f t="shared" si="29"/>
        <v>32.084443329022591</v>
      </c>
      <c r="AZ26" s="798">
        <f t="shared" si="30"/>
        <v>0.875</v>
      </c>
      <c r="BA26" s="798">
        <f t="shared" si="9"/>
        <v>4</v>
      </c>
      <c r="BB26" s="799">
        <f t="shared" si="31"/>
        <v>9.6876251001001279E-2</v>
      </c>
      <c r="BD26" s="909">
        <v>0.3125</v>
      </c>
      <c r="BE26" s="800">
        <f t="shared" si="10"/>
        <v>13</v>
      </c>
      <c r="BF26" s="800">
        <f t="shared" si="32"/>
        <v>14</v>
      </c>
      <c r="BG26" s="800">
        <f t="shared" si="33"/>
        <v>14.215972566400429</v>
      </c>
      <c r="BH26" s="801">
        <f t="shared" si="34"/>
        <v>0.3125</v>
      </c>
      <c r="BI26" s="799">
        <f t="shared" si="35"/>
        <v>0.8125</v>
      </c>
      <c r="BJ26" s="800">
        <f t="shared" si="36"/>
        <v>0.92048628320021475</v>
      </c>
      <c r="BL26" s="800">
        <f t="shared" si="11"/>
        <v>13.392304840874999</v>
      </c>
      <c r="BM26" s="800">
        <f t="shared" si="12"/>
        <v>14.768693215312499</v>
      </c>
      <c r="BN26" s="800">
        <f t="shared" si="37"/>
        <v>14.99652411360476</v>
      </c>
      <c r="BO26" s="802">
        <f t="shared" si="13"/>
        <v>0.50865242043749959</v>
      </c>
      <c r="BP26" s="802">
        <f t="shared" si="14"/>
        <v>1.1968466076562496</v>
      </c>
      <c r="BQ26" s="800">
        <f t="shared" si="15"/>
        <v>1.3107620568023801</v>
      </c>
      <c r="BR26" s="802">
        <f t="shared" si="16"/>
        <v>0.57448051588750015</v>
      </c>
      <c r="BS26" s="802">
        <f t="shared" si="17"/>
        <v>1.1369805158875002</v>
      </c>
      <c r="BT26" s="800">
        <f t="shared" si="18"/>
        <v>1.2382176563877021</v>
      </c>
    </row>
    <row r="27" spans="1:72" s="842" customFormat="1" ht="14.25" customHeight="1" x14ac:dyDescent="0.25">
      <c r="A27" s="803" t="s">
        <v>377</v>
      </c>
      <c r="B27" s="950">
        <v>13.5</v>
      </c>
      <c r="C27" s="946">
        <v>14.5</v>
      </c>
      <c r="D27" s="947">
        <v>14.5</v>
      </c>
      <c r="E27" s="948">
        <v>15.375</v>
      </c>
      <c r="F27" s="983">
        <v>0.25</v>
      </c>
      <c r="G27" s="950" t="s">
        <v>411</v>
      </c>
      <c r="H27" s="984">
        <v>1</v>
      </c>
      <c r="I27" s="956">
        <v>65</v>
      </c>
      <c r="J27" s="986">
        <f t="shared" si="38"/>
        <v>3</v>
      </c>
      <c r="K27" s="1040">
        <f t="shared" si="20"/>
        <v>19.125</v>
      </c>
      <c r="L27" s="955" t="s">
        <v>412</v>
      </c>
      <c r="M27" s="956" t="s">
        <v>413</v>
      </c>
      <c r="N27" s="984">
        <f t="shared" si="43"/>
        <v>1</v>
      </c>
      <c r="O27" s="1041">
        <f t="shared" si="43"/>
        <v>65</v>
      </c>
      <c r="P27" s="1042">
        <v>19</v>
      </c>
      <c r="Q27" s="947">
        <v>24</v>
      </c>
      <c r="R27" s="986">
        <f t="shared" si="1"/>
        <v>10</v>
      </c>
      <c r="S27" s="986">
        <f t="shared" si="21"/>
        <v>2</v>
      </c>
      <c r="T27" s="987">
        <f t="shared" si="2"/>
        <v>2</v>
      </c>
      <c r="U27" s="1043">
        <v>2</v>
      </c>
      <c r="V27" s="984">
        <f t="shared" si="39"/>
        <v>1</v>
      </c>
      <c r="W27" s="988">
        <v>3</v>
      </c>
      <c r="X27" s="986">
        <f t="shared" si="44"/>
        <v>65</v>
      </c>
      <c r="Y27" s="964">
        <f t="shared" si="45"/>
        <v>16.375</v>
      </c>
      <c r="Z27" s="1044">
        <v>8</v>
      </c>
      <c r="AA27" s="1045">
        <v>6</v>
      </c>
      <c r="AB27" s="1046">
        <v>4</v>
      </c>
      <c r="AC27" s="1047" t="s">
        <v>6</v>
      </c>
      <c r="AD27" s="1048">
        <v>1.5</v>
      </c>
      <c r="AE27" s="1049">
        <f t="shared" si="22"/>
        <v>1.625</v>
      </c>
      <c r="AF27" s="1050">
        <f t="shared" si="3"/>
        <v>4</v>
      </c>
      <c r="AG27" s="1051" t="s">
        <v>179</v>
      </c>
      <c r="AH27" s="1052" t="s">
        <v>180</v>
      </c>
      <c r="AI27" s="1053" t="s">
        <v>180</v>
      </c>
      <c r="AJ27" s="1054">
        <f t="shared" si="4"/>
        <v>7.5</v>
      </c>
      <c r="AK27" s="1055">
        <f t="shared" si="5"/>
        <v>6.5</v>
      </c>
      <c r="AL27" s="1056">
        <v>6.5</v>
      </c>
      <c r="AM27" s="1057">
        <v>1</v>
      </c>
      <c r="AN27" s="1058">
        <f t="shared" si="6"/>
        <v>12.375</v>
      </c>
      <c r="AO27" s="1059" t="str">
        <f t="shared" si="7"/>
        <v>PL 1 x 24 x 33</v>
      </c>
      <c r="AP27" s="1005">
        <f t="shared" si="23"/>
        <v>250.04524142220032</v>
      </c>
      <c r="AQ27" s="1060">
        <f t="shared" si="24"/>
        <v>258.76644367969334</v>
      </c>
      <c r="AR27" s="838"/>
      <c r="AS27" s="839">
        <f t="shared" si="8"/>
        <v>33</v>
      </c>
      <c r="AT27" s="839">
        <f t="shared" si="25"/>
        <v>16.591536201771095</v>
      </c>
      <c r="AU27" s="839">
        <f t="shared" si="26"/>
        <v>34.753868730337089</v>
      </c>
      <c r="AV27" s="840">
        <f t="shared" si="19"/>
        <v>219.90584033317774</v>
      </c>
      <c r="AW27" s="840">
        <f t="shared" si="27"/>
        <v>210.04964316125412</v>
      </c>
      <c r="AX27" s="840">
        <f t="shared" si="46"/>
        <v>30.139401089022591</v>
      </c>
      <c r="AY27" s="840">
        <f t="shared" si="29"/>
        <v>34.06964332902259</v>
      </c>
      <c r="AZ27" s="840">
        <f t="shared" si="30"/>
        <v>0.875</v>
      </c>
      <c r="BA27" s="840">
        <f t="shared" si="9"/>
        <v>4</v>
      </c>
      <c r="BB27" s="841">
        <f t="shared" si="31"/>
        <v>9.6876251001001279E-2</v>
      </c>
      <c r="BD27" s="944">
        <v>0.25</v>
      </c>
      <c r="BE27" s="842">
        <f t="shared" si="10"/>
        <v>14</v>
      </c>
      <c r="BF27" s="842">
        <f t="shared" si="32"/>
        <v>14.875</v>
      </c>
      <c r="BG27" s="842">
        <f t="shared" si="33"/>
        <v>15.104470851800457</v>
      </c>
      <c r="BH27" s="843">
        <f t="shared" si="34"/>
        <v>0.3125</v>
      </c>
      <c r="BI27" s="841">
        <f t="shared" si="35"/>
        <v>0.75</v>
      </c>
      <c r="BJ27" s="842">
        <f t="shared" si="36"/>
        <v>0.86473542590022845</v>
      </c>
      <c r="BL27" s="842">
        <f t="shared" si="11"/>
        <v>14.701705917249999</v>
      </c>
      <c r="BM27" s="842">
        <f t="shared" si="12"/>
        <v>15.856406455249999</v>
      </c>
      <c r="BN27" s="842">
        <f t="shared" si="37"/>
        <v>16.101017083537762</v>
      </c>
      <c r="BO27" s="844">
        <f t="shared" si="13"/>
        <v>0.66335295862499954</v>
      </c>
      <c r="BP27" s="844">
        <f t="shared" si="14"/>
        <v>1.2407032276249996</v>
      </c>
      <c r="BQ27" s="842">
        <f t="shared" si="15"/>
        <v>1.3630085417688811</v>
      </c>
      <c r="BR27" s="844">
        <f t="shared" si="16"/>
        <v>0.64146781398750008</v>
      </c>
      <c r="BS27" s="844">
        <f t="shared" si="17"/>
        <v>1.1414678139875001</v>
      </c>
      <c r="BT27" s="842">
        <f t="shared" si="18"/>
        <v>1.2494540971877148</v>
      </c>
    </row>
    <row r="28" spans="1:72" s="842" customFormat="1" ht="14.25" customHeight="1" x14ac:dyDescent="0.25">
      <c r="A28" s="803" t="s">
        <v>377</v>
      </c>
      <c r="B28" s="910">
        <v>13.5</v>
      </c>
      <c r="C28" s="911">
        <v>14.5</v>
      </c>
      <c r="D28" s="912">
        <v>14.75</v>
      </c>
      <c r="E28" s="913">
        <v>15.625</v>
      </c>
      <c r="F28" s="914">
        <v>0.375</v>
      </c>
      <c r="G28" s="910" t="s">
        <v>414</v>
      </c>
      <c r="H28" s="915">
        <v>1</v>
      </c>
      <c r="I28" s="916">
        <v>65</v>
      </c>
      <c r="J28" s="917">
        <f t="shared" si="38"/>
        <v>3</v>
      </c>
      <c r="K28" s="918">
        <f t="shared" si="20"/>
        <v>19.125</v>
      </c>
      <c r="L28" s="919" t="s">
        <v>415</v>
      </c>
      <c r="M28" s="916" t="s">
        <v>416</v>
      </c>
      <c r="N28" s="915">
        <f t="shared" si="43"/>
        <v>1</v>
      </c>
      <c r="O28" s="920">
        <f t="shared" si="43"/>
        <v>65</v>
      </c>
      <c r="P28" s="921">
        <v>19</v>
      </c>
      <c r="Q28" s="912">
        <v>28</v>
      </c>
      <c r="R28" s="917">
        <f t="shared" si="1"/>
        <v>12</v>
      </c>
      <c r="S28" s="917">
        <f t="shared" si="21"/>
        <v>2</v>
      </c>
      <c r="T28" s="922">
        <f t="shared" si="2"/>
        <v>2</v>
      </c>
      <c r="U28" s="923">
        <v>2</v>
      </c>
      <c r="V28" s="915">
        <f t="shared" si="39"/>
        <v>1</v>
      </c>
      <c r="W28" s="924">
        <v>3</v>
      </c>
      <c r="X28" s="917">
        <f t="shared" si="44"/>
        <v>65</v>
      </c>
      <c r="Y28" s="925">
        <f t="shared" si="45"/>
        <v>16.625</v>
      </c>
      <c r="Z28" s="1061">
        <v>12</v>
      </c>
      <c r="AA28" s="1062">
        <v>4</v>
      </c>
      <c r="AB28" s="1063">
        <v>4</v>
      </c>
      <c r="AC28" s="1064" t="s">
        <v>6</v>
      </c>
      <c r="AD28" s="1065">
        <v>1.5</v>
      </c>
      <c r="AE28" s="1066">
        <f t="shared" si="22"/>
        <v>1.625</v>
      </c>
      <c r="AF28" s="1067">
        <f t="shared" si="3"/>
        <v>4</v>
      </c>
      <c r="AG28" s="1068" t="s">
        <v>179</v>
      </c>
      <c r="AH28" s="1069" t="s">
        <v>180</v>
      </c>
      <c r="AI28" s="1070" t="s">
        <v>180</v>
      </c>
      <c r="AJ28" s="1071">
        <f t="shared" si="4"/>
        <v>7.5</v>
      </c>
      <c r="AK28" s="1072">
        <f t="shared" si="5"/>
        <v>6.5</v>
      </c>
      <c r="AL28" s="1073">
        <v>6.5</v>
      </c>
      <c r="AM28" s="1074">
        <v>1</v>
      </c>
      <c r="AN28" s="1075">
        <f t="shared" si="6"/>
        <v>12.375</v>
      </c>
      <c r="AO28" s="1076" t="str">
        <f t="shared" si="7"/>
        <v>PL 1 x 28 x 33</v>
      </c>
      <c r="AP28" s="942">
        <f t="shared" si="23"/>
        <v>285.12776158878921</v>
      </c>
      <c r="AQ28" s="1077">
        <f t="shared" si="24"/>
        <v>295.95391505627754</v>
      </c>
      <c r="AR28" s="838"/>
      <c r="AS28" s="839">
        <f t="shared" si="8"/>
        <v>33</v>
      </c>
      <c r="AT28" s="839">
        <f t="shared" si="25"/>
        <v>24.887304302656641</v>
      </c>
      <c r="AU28" s="839">
        <f t="shared" si="26"/>
        <v>34.753868730337089</v>
      </c>
      <c r="AV28" s="840">
        <f t="shared" si="19"/>
        <v>254.9883604997666</v>
      </c>
      <c r="AW28" s="840">
        <f t="shared" si="27"/>
        <v>245.13216332784299</v>
      </c>
      <c r="AX28" s="840">
        <f t="shared" si="46"/>
        <v>30.139401089022591</v>
      </c>
      <c r="AY28" s="840">
        <f t="shared" si="29"/>
        <v>34.06964332902259</v>
      </c>
      <c r="AZ28" s="840">
        <f t="shared" si="30"/>
        <v>0.875</v>
      </c>
      <c r="BA28" s="840">
        <f t="shared" si="9"/>
        <v>4</v>
      </c>
      <c r="BB28" s="841">
        <f t="shared" si="31"/>
        <v>9.6876251001001279E-2</v>
      </c>
      <c r="BD28" s="944">
        <v>0.3125</v>
      </c>
      <c r="BE28" s="842">
        <f t="shared" si="10"/>
        <v>14</v>
      </c>
      <c r="BF28" s="842">
        <f t="shared" si="32"/>
        <v>15</v>
      </c>
      <c r="BG28" s="842">
        <f t="shared" si="33"/>
        <v>15.231399178286175</v>
      </c>
      <c r="BH28" s="843">
        <f t="shared" si="34"/>
        <v>0.3125</v>
      </c>
      <c r="BI28" s="841">
        <f t="shared" si="35"/>
        <v>0.8125</v>
      </c>
      <c r="BJ28" s="842">
        <f t="shared" si="36"/>
        <v>0.92819958914308742</v>
      </c>
      <c r="BL28" s="842">
        <f t="shared" si="11"/>
        <v>14.258330244374999</v>
      </c>
      <c r="BM28" s="842">
        <f t="shared" si="12"/>
        <v>15.634718618812501</v>
      </c>
      <c r="BN28" s="842">
        <f t="shared" si="37"/>
        <v>15.875909354887753</v>
      </c>
      <c r="BO28" s="844">
        <f t="shared" si="13"/>
        <v>0.44166512218749965</v>
      </c>
      <c r="BP28" s="844">
        <f t="shared" si="14"/>
        <v>1.1298593094062506</v>
      </c>
      <c r="BQ28" s="842">
        <f t="shared" si="15"/>
        <v>1.2504546774438765</v>
      </c>
      <c r="BR28" s="844">
        <f t="shared" si="16"/>
        <v>0.51646781398750008</v>
      </c>
      <c r="BS28" s="844">
        <f t="shared" si="17"/>
        <v>1.0789678139875001</v>
      </c>
      <c r="BT28" s="842">
        <f t="shared" si="18"/>
        <v>1.1859899339448559</v>
      </c>
    </row>
    <row r="29" spans="1:72" s="842" customFormat="1" ht="14.25" customHeight="1" x14ac:dyDescent="0.25">
      <c r="A29" s="803" t="s">
        <v>377</v>
      </c>
      <c r="B29" s="950">
        <v>15</v>
      </c>
      <c r="C29" s="946">
        <v>16</v>
      </c>
      <c r="D29" s="947">
        <v>16</v>
      </c>
      <c r="E29" s="948">
        <v>17.375</v>
      </c>
      <c r="F29" s="983">
        <v>0.25</v>
      </c>
      <c r="G29" s="950" t="s">
        <v>417</v>
      </c>
      <c r="H29" s="984">
        <v>1</v>
      </c>
      <c r="I29" s="956">
        <v>65</v>
      </c>
      <c r="J29" s="986">
        <f t="shared" si="38"/>
        <v>3</v>
      </c>
      <c r="K29" s="1040">
        <f t="shared" si="20"/>
        <v>21.125</v>
      </c>
      <c r="L29" s="955" t="s">
        <v>418</v>
      </c>
      <c r="M29" s="956" t="s">
        <v>419</v>
      </c>
      <c r="N29" s="984">
        <f t="shared" si="43"/>
        <v>1</v>
      </c>
      <c r="O29" s="1041">
        <f t="shared" si="43"/>
        <v>65</v>
      </c>
      <c r="P29" s="1042">
        <v>21</v>
      </c>
      <c r="Q29" s="947">
        <v>24</v>
      </c>
      <c r="R29" s="986">
        <f t="shared" si="1"/>
        <v>10</v>
      </c>
      <c r="S29" s="986">
        <f t="shared" si="21"/>
        <v>2</v>
      </c>
      <c r="T29" s="987">
        <f t="shared" si="2"/>
        <v>2</v>
      </c>
      <c r="U29" s="1043">
        <v>2</v>
      </c>
      <c r="V29" s="984">
        <f t="shared" si="39"/>
        <v>1</v>
      </c>
      <c r="W29" s="988">
        <v>3</v>
      </c>
      <c r="X29" s="986">
        <f t="shared" si="44"/>
        <v>65</v>
      </c>
      <c r="Y29" s="964">
        <f t="shared" si="45"/>
        <v>18.375</v>
      </c>
      <c r="Z29" s="1078">
        <v>12</v>
      </c>
      <c r="AA29" s="1079">
        <v>2</v>
      </c>
      <c r="AB29" s="1080">
        <v>4</v>
      </c>
      <c r="AC29" s="1081" t="s">
        <v>6</v>
      </c>
      <c r="AD29" s="1082">
        <v>1.5</v>
      </c>
      <c r="AE29" s="1083">
        <f t="shared" si="22"/>
        <v>1.625</v>
      </c>
      <c r="AF29" s="1084">
        <f t="shared" si="3"/>
        <v>4</v>
      </c>
      <c r="AG29" s="1085" t="s">
        <v>179</v>
      </c>
      <c r="AH29" s="1086" t="s">
        <v>180</v>
      </c>
      <c r="AI29" s="1087" t="s">
        <v>180</v>
      </c>
      <c r="AJ29" s="1088">
        <f t="shared" si="4"/>
        <v>7.5</v>
      </c>
      <c r="AK29" s="1089">
        <f t="shared" si="5"/>
        <v>6.5</v>
      </c>
      <c r="AL29" s="1090">
        <v>7.5</v>
      </c>
      <c r="AM29" s="1091">
        <v>1</v>
      </c>
      <c r="AN29" s="979">
        <f t="shared" si="6"/>
        <v>13.875</v>
      </c>
      <c r="AO29" s="1092" t="str">
        <f t="shared" si="7"/>
        <v>PL 1 x 24 x 35</v>
      </c>
      <c r="AP29" s="1005">
        <f t="shared" si="23"/>
        <v>264.70856158878922</v>
      </c>
      <c r="AQ29" s="1093">
        <f t="shared" si="24"/>
        <v>271.60534949624713</v>
      </c>
      <c r="AR29" s="838"/>
      <c r="AS29" s="839">
        <f t="shared" si="8"/>
        <v>35</v>
      </c>
      <c r="AT29" s="839">
        <f t="shared" si="25"/>
        <v>24.887304302656641</v>
      </c>
      <c r="AU29" s="839">
        <f t="shared" si="26"/>
        <v>45.749443017901363</v>
      </c>
      <c r="AV29" s="840">
        <f t="shared" si="19"/>
        <v>231.16596049976661</v>
      </c>
      <c r="AW29" s="840">
        <f t="shared" si="27"/>
        <v>218.19141845988977</v>
      </c>
      <c r="AX29" s="840">
        <f t="shared" si="46"/>
        <v>33.54260108902259</v>
      </c>
      <c r="AY29" s="840">
        <f t="shared" si="29"/>
        <v>38.040043329022588</v>
      </c>
      <c r="AZ29" s="840">
        <f t="shared" si="30"/>
        <v>0.875</v>
      </c>
      <c r="BA29" s="840">
        <f t="shared" si="9"/>
        <v>4</v>
      </c>
      <c r="BB29" s="841">
        <f t="shared" si="31"/>
        <v>9.6876251001001279E-2</v>
      </c>
      <c r="BD29" s="944">
        <v>0.25</v>
      </c>
      <c r="BE29" s="842">
        <f t="shared" si="10"/>
        <v>15.5</v>
      </c>
      <c r="BF29" s="842">
        <f t="shared" si="32"/>
        <v>16.875</v>
      </c>
      <c r="BG29" s="842">
        <f t="shared" si="33"/>
        <v>17.135324075571948</v>
      </c>
      <c r="BH29" s="843">
        <f t="shared" si="34"/>
        <v>0.3125</v>
      </c>
      <c r="BI29" s="841">
        <f t="shared" si="35"/>
        <v>1</v>
      </c>
      <c r="BJ29" s="842">
        <f t="shared" si="36"/>
        <v>1.1301620377859738</v>
      </c>
      <c r="BL29" s="842">
        <f t="shared" si="11"/>
        <v>16.433756724249999</v>
      </c>
      <c r="BM29" s="842">
        <f t="shared" si="12"/>
        <v>17.58845726225</v>
      </c>
      <c r="BN29" s="842">
        <f t="shared" si="37"/>
        <v>17.859787566103744</v>
      </c>
      <c r="BO29" s="844">
        <f t="shared" si="13"/>
        <v>0.77937836212499967</v>
      </c>
      <c r="BP29" s="844">
        <f t="shared" si="14"/>
        <v>1.3567286311249998</v>
      </c>
      <c r="BQ29" s="842">
        <f t="shared" si="15"/>
        <v>1.4923937830518721</v>
      </c>
      <c r="BR29" s="844">
        <f t="shared" si="16"/>
        <v>0.74194876113749952</v>
      </c>
      <c r="BS29" s="844">
        <f t="shared" si="17"/>
        <v>1.2419487611374995</v>
      </c>
      <c r="BT29" s="842">
        <f t="shared" si="18"/>
        <v>1.3615050032520237</v>
      </c>
    </row>
    <row r="30" spans="1:72" s="842" customFormat="1" ht="14.25" customHeight="1" x14ac:dyDescent="0.25">
      <c r="A30" s="803" t="s">
        <v>377</v>
      </c>
      <c r="B30" s="910">
        <v>15.375</v>
      </c>
      <c r="C30" s="911">
        <v>16.375</v>
      </c>
      <c r="D30" s="912">
        <v>16.375</v>
      </c>
      <c r="E30" s="913">
        <v>17.625</v>
      </c>
      <c r="F30" s="914">
        <v>0.375</v>
      </c>
      <c r="G30" s="910" t="s">
        <v>420</v>
      </c>
      <c r="H30" s="915">
        <v>1</v>
      </c>
      <c r="I30" s="916">
        <v>65</v>
      </c>
      <c r="J30" s="917">
        <f t="shared" si="38"/>
        <v>3</v>
      </c>
      <c r="K30" s="918">
        <f t="shared" si="20"/>
        <v>21.125</v>
      </c>
      <c r="L30" s="919" t="s">
        <v>421</v>
      </c>
      <c r="M30" s="916" t="s">
        <v>422</v>
      </c>
      <c r="N30" s="915">
        <f t="shared" si="43"/>
        <v>1</v>
      </c>
      <c r="O30" s="920">
        <f t="shared" si="43"/>
        <v>65</v>
      </c>
      <c r="P30" s="921">
        <v>21</v>
      </c>
      <c r="Q30" s="912">
        <v>32</v>
      </c>
      <c r="R30" s="917">
        <f t="shared" si="1"/>
        <v>14</v>
      </c>
      <c r="S30" s="917">
        <f t="shared" si="21"/>
        <v>2</v>
      </c>
      <c r="T30" s="922">
        <f t="shared" si="2"/>
        <v>2</v>
      </c>
      <c r="U30" s="923">
        <v>2</v>
      </c>
      <c r="V30" s="915">
        <f t="shared" si="39"/>
        <v>1</v>
      </c>
      <c r="W30" s="924">
        <v>3</v>
      </c>
      <c r="X30" s="917">
        <f t="shared" si="44"/>
        <v>65</v>
      </c>
      <c r="Y30" s="925">
        <f t="shared" si="45"/>
        <v>18.625</v>
      </c>
      <c r="Z30" s="1094">
        <v>12</v>
      </c>
      <c r="AA30" s="1095">
        <v>6</v>
      </c>
      <c r="AB30" s="1096">
        <v>4</v>
      </c>
      <c r="AC30" s="1097" t="s">
        <v>6</v>
      </c>
      <c r="AD30" s="1098">
        <v>1.5</v>
      </c>
      <c r="AE30" s="1099">
        <f t="shared" si="22"/>
        <v>1.625</v>
      </c>
      <c r="AF30" s="1100">
        <f t="shared" si="3"/>
        <v>4</v>
      </c>
      <c r="AG30" s="1101" t="s">
        <v>179</v>
      </c>
      <c r="AH30" s="1102" t="s">
        <v>180</v>
      </c>
      <c r="AI30" s="1103" t="s">
        <v>180</v>
      </c>
      <c r="AJ30" s="1104">
        <f t="shared" si="4"/>
        <v>7.5</v>
      </c>
      <c r="AK30" s="1105">
        <f t="shared" si="5"/>
        <v>6.5</v>
      </c>
      <c r="AL30" s="1106">
        <v>7.5</v>
      </c>
      <c r="AM30" s="1107">
        <v>1</v>
      </c>
      <c r="AN30" s="1108">
        <f t="shared" si="6"/>
        <v>14</v>
      </c>
      <c r="AO30" s="1109" t="str">
        <f t="shared" si="7"/>
        <v>PL 1 x 32 x 35</v>
      </c>
      <c r="AP30" s="942">
        <f t="shared" si="23"/>
        <v>344.11656158878918</v>
      </c>
      <c r="AQ30" s="1110">
        <f t="shared" si="24"/>
        <v>355.77782949624708</v>
      </c>
      <c r="AR30" s="838"/>
      <c r="AS30" s="839">
        <f t="shared" si="8"/>
        <v>35</v>
      </c>
      <c r="AT30" s="839">
        <f t="shared" si="25"/>
        <v>24.887304302656641</v>
      </c>
      <c r="AU30" s="839">
        <f t="shared" si="26"/>
        <v>45.749443017901363</v>
      </c>
      <c r="AV30" s="840">
        <f t="shared" si="19"/>
        <v>310.5739604997666</v>
      </c>
      <c r="AW30" s="840">
        <f t="shared" si="27"/>
        <v>297.59941845988976</v>
      </c>
      <c r="AX30" s="840">
        <f t="shared" si="46"/>
        <v>33.54260108902259</v>
      </c>
      <c r="AY30" s="840">
        <f t="shared" si="29"/>
        <v>38.040043329022588</v>
      </c>
      <c r="AZ30" s="840">
        <f t="shared" si="30"/>
        <v>0.875</v>
      </c>
      <c r="BA30" s="840">
        <f t="shared" si="9"/>
        <v>4</v>
      </c>
      <c r="BB30" s="841">
        <f t="shared" si="31"/>
        <v>9.6876251001001279E-2</v>
      </c>
      <c r="BD30" s="944">
        <v>0.3125</v>
      </c>
      <c r="BE30" s="842">
        <f t="shared" si="10"/>
        <v>15.625</v>
      </c>
      <c r="BF30" s="842">
        <f t="shared" si="32"/>
        <v>17</v>
      </c>
      <c r="BG30" s="842">
        <f t="shared" si="33"/>
        <v>17.262252402057666</v>
      </c>
      <c r="BH30" s="843">
        <f t="shared" si="34"/>
        <v>0.3125</v>
      </c>
      <c r="BI30" s="841">
        <f t="shared" si="35"/>
        <v>1</v>
      </c>
      <c r="BJ30" s="842">
        <f t="shared" si="36"/>
        <v>1.1311262010288328</v>
      </c>
      <c r="BL30" s="842">
        <f t="shared" si="11"/>
        <v>16.423393753125001</v>
      </c>
      <c r="BM30" s="842">
        <f t="shared" si="12"/>
        <v>17.799782127562498</v>
      </c>
      <c r="BN30" s="842">
        <f t="shared" si="37"/>
        <v>18.074372458095226</v>
      </c>
      <c r="BO30" s="844">
        <f t="shared" si="13"/>
        <v>0.71169687656250069</v>
      </c>
      <c r="BP30" s="844">
        <f t="shared" si="14"/>
        <v>1.3998910637812489</v>
      </c>
      <c r="BQ30" s="842">
        <f t="shared" si="15"/>
        <v>1.537186229047613</v>
      </c>
      <c r="BR30" s="844">
        <f t="shared" si="16"/>
        <v>0.75032217339999985</v>
      </c>
      <c r="BS30" s="844">
        <f t="shared" si="17"/>
        <v>1.3128221733999998</v>
      </c>
      <c r="BT30" s="842">
        <f t="shared" si="18"/>
        <v>1.434306742000242</v>
      </c>
    </row>
    <row r="31" spans="1:72" s="800" customFormat="1" ht="14.25" customHeight="1" x14ac:dyDescent="0.25">
      <c r="A31" s="758"/>
      <c r="B31" s="945">
        <v>16.5</v>
      </c>
      <c r="C31" s="946">
        <v>17.5</v>
      </c>
      <c r="D31" s="947">
        <v>17.5</v>
      </c>
      <c r="E31" s="948">
        <v>18.375</v>
      </c>
      <c r="F31" s="949">
        <v>0.25</v>
      </c>
      <c r="G31" s="945" t="s">
        <v>46</v>
      </c>
      <c r="H31" s="951">
        <v>1</v>
      </c>
      <c r="I31" s="952">
        <v>65</v>
      </c>
      <c r="J31" s="953">
        <f t="shared" si="38"/>
        <v>3</v>
      </c>
      <c r="K31" s="954">
        <f t="shared" si="20"/>
        <v>22.125</v>
      </c>
      <c r="L31" s="985" t="s">
        <v>47</v>
      </c>
      <c r="M31" s="952" t="s">
        <v>48</v>
      </c>
      <c r="N31" s="957">
        <f t="shared" si="43"/>
        <v>1</v>
      </c>
      <c r="O31" s="958">
        <f t="shared" si="43"/>
        <v>65</v>
      </c>
      <c r="P31" s="959">
        <v>22</v>
      </c>
      <c r="Q31" s="960">
        <v>24</v>
      </c>
      <c r="R31" s="953">
        <f t="shared" si="1"/>
        <v>10</v>
      </c>
      <c r="S31" s="953">
        <f t="shared" si="21"/>
        <v>2</v>
      </c>
      <c r="T31" s="961">
        <f t="shared" si="2"/>
        <v>2</v>
      </c>
      <c r="U31" s="962">
        <v>2</v>
      </c>
      <c r="V31" s="957">
        <f t="shared" si="39"/>
        <v>1</v>
      </c>
      <c r="W31" s="963">
        <v>3</v>
      </c>
      <c r="X31" s="953">
        <f t="shared" si="44"/>
        <v>65</v>
      </c>
      <c r="Y31" s="964">
        <f t="shared" si="45"/>
        <v>19.375</v>
      </c>
      <c r="Z31" s="965">
        <v>12</v>
      </c>
      <c r="AA31" s="966">
        <v>2</v>
      </c>
      <c r="AB31" s="967">
        <v>4</v>
      </c>
      <c r="AC31" s="968" t="s">
        <v>6</v>
      </c>
      <c r="AD31" s="969">
        <v>1.5</v>
      </c>
      <c r="AE31" s="970">
        <f t="shared" si="22"/>
        <v>1.625</v>
      </c>
      <c r="AF31" s="971">
        <f t="shared" si="3"/>
        <v>4</v>
      </c>
      <c r="AG31" s="972" t="s">
        <v>179</v>
      </c>
      <c r="AH31" s="973" t="s">
        <v>180</v>
      </c>
      <c r="AI31" s="974" t="s">
        <v>180</v>
      </c>
      <c r="AJ31" s="975">
        <f t="shared" si="4"/>
        <v>7.5</v>
      </c>
      <c r="AK31" s="976">
        <f t="shared" si="5"/>
        <v>6.5</v>
      </c>
      <c r="AL31" s="977">
        <v>8</v>
      </c>
      <c r="AM31" s="978">
        <v>1</v>
      </c>
      <c r="AN31" s="979">
        <f t="shared" si="6"/>
        <v>15.375</v>
      </c>
      <c r="AO31" s="980" t="str">
        <f t="shared" si="7"/>
        <v>PL 1 x 24 x 36</v>
      </c>
      <c r="AP31" s="981">
        <f t="shared" si="23"/>
        <v>273.2165615887892</v>
      </c>
      <c r="AQ31" s="982">
        <f t="shared" si="24"/>
        <v>279.09464527551597</v>
      </c>
      <c r="AR31" s="796"/>
      <c r="AS31" s="797">
        <f t="shared" si="8"/>
        <v>36</v>
      </c>
      <c r="AT31" s="797">
        <f t="shared" si="25"/>
        <v>24.887304302656641</v>
      </c>
      <c r="AU31" s="797">
        <f t="shared" si="26"/>
        <v>51.836278784231588</v>
      </c>
      <c r="AV31" s="798">
        <f t="shared" si="19"/>
        <v>237.97236049976661</v>
      </c>
      <c r="AW31" s="798">
        <f t="shared" si="27"/>
        <v>223.27159183655851</v>
      </c>
      <c r="AX31" s="798">
        <f t="shared" si="46"/>
        <v>35.244201089022589</v>
      </c>
      <c r="AY31" s="798">
        <f t="shared" si="29"/>
        <v>40.025243329022587</v>
      </c>
      <c r="AZ31" s="798">
        <f t="shared" si="30"/>
        <v>0.875</v>
      </c>
      <c r="BA31" s="798">
        <f t="shared" si="9"/>
        <v>4</v>
      </c>
      <c r="BB31" s="799">
        <f t="shared" si="31"/>
        <v>9.6876251001001279E-2</v>
      </c>
      <c r="BD31" s="909">
        <v>0.25</v>
      </c>
      <c r="BE31" s="800">
        <f t="shared" si="10"/>
        <v>17</v>
      </c>
      <c r="BF31" s="800">
        <f t="shared" si="32"/>
        <v>17.875</v>
      </c>
      <c r="BG31" s="800">
        <f t="shared" si="33"/>
        <v>18.150750687457691</v>
      </c>
      <c r="BH31" s="801">
        <f t="shared" si="34"/>
        <v>0.3125</v>
      </c>
      <c r="BI31" s="799">
        <f t="shared" si="35"/>
        <v>0.75</v>
      </c>
      <c r="BJ31" s="800">
        <f t="shared" si="36"/>
        <v>0.88787534372884558</v>
      </c>
      <c r="BL31" s="800">
        <f t="shared" si="11"/>
        <v>18.16580753125</v>
      </c>
      <c r="BM31" s="800">
        <f t="shared" si="12"/>
        <v>19.32050806925</v>
      </c>
      <c r="BN31" s="800">
        <f t="shared" si="37"/>
        <v>19.618558048669726</v>
      </c>
      <c r="BO31" s="802">
        <f t="shared" si="13"/>
        <v>0.89540376562499979</v>
      </c>
      <c r="BP31" s="802">
        <f t="shared" si="14"/>
        <v>1.4727540346249999</v>
      </c>
      <c r="BQ31" s="800">
        <f t="shared" si="15"/>
        <v>1.6217790243348631</v>
      </c>
      <c r="BR31" s="802">
        <f t="shared" si="16"/>
        <v>0.84242970828749986</v>
      </c>
      <c r="BS31" s="802">
        <f t="shared" si="17"/>
        <v>1.3424297082874999</v>
      </c>
      <c r="BT31" s="800">
        <f t="shared" si="18"/>
        <v>1.4735559093163326</v>
      </c>
    </row>
    <row r="32" spans="1:72" s="800" customFormat="1" ht="14.25" customHeight="1" x14ac:dyDescent="0.25">
      <c r="A32" s="758"/>
      <c r="B32" s="1010">
        <v>16.75</v>
      </c>
      <c r="C32" s="911">
        <v>17.75</v>
      </c>
      <c r="D32" s="1008">
        <v>17.75</v>
      </c>
      <c r="E32" s="913">
        <v>18.625</v>
      </c>
      <c r="F32" s="1009">
        <v>0.375</v>
      </c>
      <c r="G32" s="1010" t="s">
        <v>49</v>
      </c>
      <c r="H32" s="1011">
        <v>1</v>
      </c>
      <c r="I32" s="1012">
        <v>65</v>
      </c>
      <c r="J32" s="1013">
        <f t="shared" si="38"/>
        <v>3</v>
      </c>
      <c r="K32" s="1014">
        <f t="shared" si="20"/>
        <v>22.125</v>
      </c>
      <c r="L32" s="1015" t="s">
        <v>50</v>
      </c>
      <c r="M32" s="1012" t="s">
        <v>51</v>
      </c>
      <c r="N32" s="1016">
        <f t="shared" si="43"/>
        <v>1</v>
      </c>
      <c r="O32" s="1017">
        <f t="shared" si="43"/>
        <v>65</v>
      </c>
      <c r="P32" s="1018">
        <v>22</v>
      </c>
      <c r="Q32" s="1008">
        <v>32</v>
      </c>
      <c r="R32" s="1013">
        <f t="shared" si="1"/>
        <v>14</v>
      </c>
      <c r="S32" s="1013">
        <f t="shared" si="21"/>
        <v>2</v>
      </c>
      <c r="T32" s="1019">
        <f t="shared" si="2"/>
        <v>2</v>
      </c>
      <c r="U32" s="1020">
        <v>2</v>
      </c>
      <c r="V32" s="1016">
        <f t="shared" si="39"/>
        <v>1</v>
      </c>
      <c r="W32" s="1021">
        <v>3</v>
      </c>
      <c r="X32" s="1013">
        <f t="shared" si="44"/>
        <v>65</v>
      </c>
      <c r="Y32" s="925">
        <f t="shared" si="45"/>
        <v>19.625</v>
      </c>
      <c r="Z32" s="1111">
        <v>12</v>
      </c>
      <c r="AA32" s="1112">
        <v>6</v>
      </c>
      <c r="AB32" s="1113">
        <v>4</v>
      </c>
      <c r="AC32" s="1114" t="s">
        <v>6</v>
      </c>
      <c r="AD32" s="1115">
        <v>1.5</v>
      </c>
      <c r="AE32" s="1116">
        <f t="shared" si="22"/>
        <v>1.625</v>
      </c>
      <c r="AF32" s="1117">
        <f t="shared" si="3"/>
        <v>4</v>
      </c>
      <c r="AG32" s="1118" t="s">
        <v>179</v>
      </c>
      <c r="AH32" s="1119" t="s">
        <v>180</v>
      </c>
      <c r="AI32" s="1120" t="s">
        <v>180</v>
      </c>
      <c r="AJ32" s="1121">
        <f t="shared" si="4"/>
        <v>7.5</v>
      </c>
      <c r="AK32" s="1122">
        <f t="shared" si="5"/>
        <v>6.5</v>
      </c>
      <c r="AL32" s="1123">
        <v>8</v>
      </c>
      <c r="AM32" s="1124">
        <v>1</v>
      </c>
      <c r="AN32" s="1125">
        <f t="shared" si="6"/>
        <v>15.375</v>
      </c>
      <c r="AO32" s="1126" t="str">
        <f t="shared" si="7"/>
        <v>PL 1 x 32 x 36</v>
      </c>
      <c r="AP32" s="1038">
        <f t="shared" si="23"/>
        <v>354.89336158878916</v>
      </c>
      <c r="AQ32" s="1127">
        <f t="shared" si="24"/>
        <v>365.67205327551596</v>
      </c>
      <c r="AR32" s="796"/>
      <c r="AS32" s="797">
        <f t="shared" si="8"/>
        <v>36</v>
      </c>
      <c r="AT32" s="797">
        <f t="shared" si="25"/>
        <v>24.887304302656641</v>
      </c>
      <c r="AU32" s="797">
        <f t="shared" si="26"/>
        <v>51.836278784231588</v>
      </c>
      <c r="AV32" s="798">
        <f t="shared" si="19"/>
        <v>319.64916049976659</v>
      </c>
      <c r="AW32" s="798">
        <f t="shared" si="27"/>
        <v>304.94839183655847</v>
      </c>
      <c r="AX32" s="798">
        <f t="shared" si="46"/>
        <v>35.244201089022589</v>
      </c>
      <c r="AY32" s="798">
        <f t="shared" si="29"/>
        <v>40.025243329022587</v>
      </c>
      <c r="AZ32" s="798">
        <f t="shared" si="30"/>
        <v>0.875</v>
      </c>
      <c r="BA32" s="798">
        <f t="shared" si="9"/>
        <v>4</v>
      </c>
      <c r="BB32" s="799">
        <f t="shared" si="31"/>
        <v>9.6876251001001279E-2</v>
      </c>
      <c r="BD32" s="909">
        <v>0.3125</v>
      </c>
      <c r="BE32" s="800">
        <f t="shared" si="10"/>
        <v>17</v>
      </c>
      <c r="BF32" s="800">
        <f t="shared" si="32"/>
        <v>18</v>
      </c>
      <c r="BG32" s="800">
        <f t="shared" si="33"/>
        <v>18.277679013943409</v>
      </c>
      <c r="BH32" s="801">
        <f t="shared" si="34"/>
        <v>0.3125</v>
      </c>
      <c r="BI32" s="799">
        <f t="shared" si="35"/>
        <v>0.8125</v>
      </c>
      <c r="BJ32" s="800">
        <f t="shared" si="36"/>
        <v>0.95133950697170455</v>
      </c>
      <c r="BL32" s="800">
        <f t="shared" si="11"/>
        <v>18.011106992875</v>
      </c>
      <c r="BM32" s="800">
        <f t="shared" si="12"/>
        <v>19.387495367312496</v>
      </c>
      <c r="BN32" s="800">
        <f t="shared" si="37"/>
        <v>19.686578733780706</v>
      </c>
      <c r="BO32" s="802">
        <f t="shared" si="13"/>
        <v>0.81805349643749992</v>
      </c>
      <c r="BP32" s="802">
        <f t="shared" si="14"/>
        <v>1.5062476836562482</v>
      </c>
      <c r="BQ32" s="800">
        <f t="shared" si="15"/>
        <v>1.6557893668903532</v>
      </c>
      <c r="BR32" s="802">
        <f t="shared" si="16"/>
        <v>0.84242970828749986</v>
      </c>
      <c r="BS32" s="802">
        <f t="shared" si="17"/>
        <v>1.4049297082874999</v>
      </c>
      <c r="BT32" s="800">
        <f t="shared" si="18"/>
        <v>1.5370200725591916</v>
      </c>
    </row>
    <row r="33" spans="1:72" s="800" customFormat="1" ht="14.25" customHeight="1" x14ac:dyDescent="0.25">
      <c r="A33" s="758"/>
      <c r="B33" s="950">
        <v>18</v>
      </c>
      <c r="C33" s="946">
        <v>19</v>
      </c>
      <c r="D33" s="947">
        <v>19</v>
      </c>
      <c r="E33" s="948">
        <v>20.375</v>
      </c>
      <c r="F33" s="949">
        <v>0.25</v>
      </c>
      <c r="G33" s="945" t="s">
        <v>52</v>
      </c>
      <c r="H33" s="951">
        <v>1</v>
      </c>
      <c r="I33" s="952">
        <v>65</v>
      </c>
      <c r="J33" s="953">
        <f t="shared" si="38"/>
        <v>3</v>
      </c>
      <c r="K33" s="954">
        <f t="shared" si="20"/>
        <v>24.125</v>
      </c>
      <c r="L33" s="985" t="s">
        <v>53</v>
      </c>
      <c r="M33" s="952" t="s">
        <v>54</v>
      </c>
      <c r="N33" s="957">
        <f t="shared" si="43"/>
        <v>1</v>
      </c>
      <c r="O33" s="958">
        <f t="shared" si="43"/>
        <v>65</v>
      </c>
      <c r="P33" s="959">
        <v>24</v>
      </c>
      <c r="Q33" s="960">
        <v>28</v>
      </c>
      <c r="R33" s="953">
        <f t="shared" si="1"/>
        <v>12</v>
      </c>
      <c r="S33" s="953">
        <f t="shared" si="21"/>
        <v>2</v>
      </c>
      <c r="T33" s="961">
        <f t="shared" si="2"/>
        <v>2</v>
      </c>
      <c r="U33" s="962">
        <v>2</v>
      </c>
      <c r="V33" s="957">
        <f t="shared" si="39"/>
        <v>1</v>
      </c>
      <c r="W33" s="963">
        <v>3</v>
      </c>
      <c r="X33" s="953">
        <f t="shared" si="44"/>
        <v>65</v>
      </c>
      <c r="Y33" s="964">
        <f t="shared" si="45"/>
        <v>21.375</v>
      </c>
      <c r="Z33" s="1128">
        <v>12</v>
      </c>
      <c r="AA33" s="1129">
        <v>4</v>
      </c>
      <c r="AB33" s="1130">
        <v>4</v>
      </c>
      <c r="AC33" s="1131" t="s">
        <v>6</v>
      </c>
      <c r="AD33" s="1132">
        <v>1.5</v>
      </c>
      <c r="AE33" s="1133">
        <f t="shared" si="22"/>
        <v>1.625</v>
      </c>
      <c r="AF33" s="1134">
        <f t="shared" si="3"/>
        <v>4</v>
      </c>
      <c r="AG33" s="1135" t="s">
        <v>179</v>
      </c>
      <c r="AH33" s="1136" t="s">
        <v>180</v>
      </c>
      <c r="AI33" s="1137" t="s">
        <v>180</v>
      </c>
      <c r="AJ33" s="1138">
        <f t="shared" si="4"/>
        <v>7.5</v>
      </c>
      <c r="AK33" s="1139">
        <f t="shared" si="5"/>
        <v>6.5</v>
      </c>
      <c r="AL33" s="1140">
        <v>9</v>
      </c>
      <c r="AM33" s="1141">
        <v>1.25</v>
      </c>
      <c r="AN33" s="1142">
        <f t="shared" si="6"/>
        <v>16.625</v>
      </c>
      <c r="AO33" s="1143" t="str">
        <f t="shared" si="7"/>
        <v>PL 1 x 28 x 38</v>
      </c>
      <c r="AP33" s="981">
        <f t="shared" si="23"/>
        <v>333.33976158878914</v>
      </c>
      <c r="AQ33" s="1144">
        <f t="shared" si="24"/>
        <v>339.14709779154799</v>
      </c>
      <c r="AR33" s="796"/>
      <c r="AS33" s="797">
        <f t="shared" si="8"/>
        <v>38</v>
      </c>
      <c r="AT33" s="797">
        <f t="shared" si="25"/>
        <v>24.887304302656641</v>
      </c>
      <c r="AU33" s="797">
        <f t="shared" si="26"/>
        <v>66.071620495810336</v>
      </c>
      <c r="AV33" s="798">
        <f t="shared" si="19"/>
        <v>294.69236049976655</v>
      </c>
      <c r="AW33" s="798">
        <f t="shared" si="27"/>
        <v>275.95444892715477</v>
      </c>
      <c r="AX33" s="798">
        <f t="shared" si="46"/>
        <v>38.647401089022587</v>
      </c>
      <c r="AY33" s="798">
        <f t="shared" si="29"/>
        <v>43.995643329022585</v>
      </c>
      <c r="AZ33" s="798">
        <f t="shared" si="30"/>
        <v>0.875</v>
      </c>
      <c r="BA33" s="798">
        <f t="shared" si="9"/>
        <v>4</v>
      </c>
      <c r="BB33" s="799">
        <f t="shared" si="31"/>
        <v>9.6876251001001279E-2</v>
      </c>
      <c r="BD33" s="909">
        <v>0.25</v>
      </c>
      <c r="BE33" s="800">
        <f t="shared" si="10"/>
        <v>18.5</v>
      </c>
      <c r="BF33" s="800">
        <f t="shared" si="32"/>
        <v>19.875</v>
      </c>
      <c r="BG33" s="800">
        <f t="shared" si="33"/>
        <v>20.181603911229182</v>
      </c>
      <c r="BH33" s="801">
        <f t="shared" si="34"/>
        <v>0.3125</v>
      </c>
      <c r="BI33" s="799">
        <f t="shared" si="35"/>
        <v>1</v>
      </c>
      <c r="BJ33" s="800">
        <f t="shared" si="36"/>
        <v>1.1533019556145909</v>
      </c>
      <c r="BL33" s="800">
        <f t="shared" si="11"/>
        <v>19.89785833825</v>
      </c>
      <c r="BM33" s="800">
        <f t="shared" si="12"/>
        <v>21.05255887625</v>
      </c>
      <c r="BN33" s="800">
        <f t="shared" si="37"/>
        <v>21.377328531235705</v>
      </c>
      <c r="BO33" s="802">
        <f t="shared" si="13"/>
        <v>1.0114291691249999</v>
      </c>
      <c r="BP33" s="802">
        <f t="shared" si="14"/>
        <v>1.588779438125</v>
      </c>
      <c r="BQ33" s="800">
        <f t="shared" si="15"/>
        <v>1.7511642656178523</v>
      </c>
      <c r="BR33" s="802">
        <f t="shared" si="16"/>
        <v>0.92616383091249954</v>
      </c>
      <c r="BS33" s="802">
        <f t="shared" si="17"/>
        <v>1.4261638309124995</v>
      </c>
      <c r="BT33" s="800">
        <f t="shared" si="18"/>
        <v>1.5688599908556418</v>
      </c>
    </row>
    <row r="34" spans="1:72" s="800" customFormat="1" ht="14.25" customHeight="1" x14ac:dyDescent="0.25">
      <c r="A34" s="758"/>
      <c r="B34" s="910">
        <v>18</v>
      </c>
      <c r="C34" s="911">
        <v>19</v>
      </c>
      <c r="D34" s="912">
        <v>19</v>
      </c>
      <c r="E34" s="913">
        <v>20.625</v>
      </c>
      <c r="F34" s="1009">
        <v>0.375</v>
      </c>
      <c r="G34" s="1010" t="s">
        <v>55</v>
      </c>
      <c r="H34" s="1011">
        <v>1</v>
      </c>
      <c r="I34" s="1012">
        <v>65</v>
      </c>
      <c r="J34" s="1013">
        <f t="shared" si="38"/>
        <v>3</v>
      </c>
      <c r="K34" s="1014">
        <f t="shared" si="20"/>
        <v>24.125</v>
      </c>
      <c r="L34" s="1015" t="s">
        <v>56</v>
      </c>
      <c r="M34" s="1012" t="s">
        <v>57</v>
      </c>
      <c r="N34" s="1016">
        <f t="shared" si="43"/>
        <v>1</v>
      </c>
      <c r="O34" s="1017">
        <f t="shared" si="43"/>
        <v>65</v>
      </c>
      <c r="P34" s="1018">
        <v>24</v>
      </c>
      <c r="Q34" s="1008">
        <v>36</v>
      </c>
      <c r="R34" s="1013">
        <f t="shared" si="1"/>
        <v>16</v>
      </c>
      <c r="S34" s="1013">
        <f t="shared" si="21"/>
        <v>2</v>
      </c>
      <c r="T34" s="1019">
        <f t="shared" si="2"/>
        <v>2</v>
      </c>
      <c r="U34" s="1020">
        <v>2</v>
      </c>
      <c r="V34" s="1016">
        <f t="shared" si="39"/>
        <v>1</v>
      </c>
      <c r="W34" s="1021">
        <v>3.25</v>
      </c>
      <c r="X34" s="1013">
        <f t="shared" si="44"/>
        <v>65</v>
      </c>
      <c r="Y34" s="925">
        <f t="shared" si="45"/>
        <v>21.625</v>
      </c>
      <c r="Z34" s="1145">
        <v>16</v>
      </c>
      <c r="AA34" s="1146">
        <v>4</v>
      </c>
      <c r="AB34" s="1147">
        <v>4</v>
      </c>
      <c r="AC34" s="1148" t="s">
        <v>6</v>
      </c>
      <c r="AD34" s="1149">
        <v>1.5</v>
      </c>
      <c r="AE34" s="1150">
        <f t="shared" si="22"/>
        <v>1.625</v>
      </c>
      <c r="AF34" s="1151">
        <f t="shared" si="3"/>
        <v>4</v>
      </c>
      <c r="AG34" s="1152" t="s">
        <v>179</v>
      </c>
      <c r="AH34" s="1153" t="s">
        <v>180</v>
      </c>
      <c r="AI34" s="1154" t="s">
        <v>180</v>
      </c>
      <c r="AJ34" s="1155">
        <f t="shared" si="4"/>
        <v>7.75</v>
      </c>
      <c r="AK34" s="1156">
        <f t="shared" si="5"/>
        <v>6.75</v>
      </c>
      <c r="AL34" s="1157">
        <v>9</v>
      </c>
      <c r="AM34" s="1158">
        <v>1.25</v>
      </c>
      <c r="AN34" s="1159">
        <f t="shared" si="6"/>
        <v>16.375</v>
      </c>
      <c r="AO34" s="1160" t="str">
        <f t="shared" si="7"/>
        <v>PL 1 x 36 x 38 1/2</v>
      </c>
      <c r="AP34" s="1038">
        <f t="shared" si="23"/>
        <v>425.70948175537802</v>
      </c>
      <c r="AQ34" s="1161">
        <f t="shared" si="24"/>
        <v>437.05900116813228</v>
      </c>
      <c r="AR34" s="796"/>
      <c r="AS34" s="797">
        <f t="shared" si="8"/>
        <v>38.5</v>
      </c>
      <c r="AT34" s="797">
        <f t="shared" si="25"/>
        <v>33.183072403542191</v>
      </c>
      <c r="AU34" s="797">
        <f t="shared" si="26"/>
        <v>66.071620495810336</v>
      </c>
      <c r="AV34" s="798">
        <f t="shared" si="19"/>
        <v>383.65888066635546</v>
      </c>
      <c r="AW34" s="798">
        <f t="shared" si="27"/>
        <v>364.92096909374368</v>
      </c>
      <c r="AX34" s="798">
        <f t="shared" si="46"/>
        <v>42.050601089022585</v>
      </c>
      <c r="AY34" s="798">
        <f t="shared" si="29"/>
        <v>47.398843329022583</v>
      </c>
      <c r="AZ34" s="798">
        <f t="shared" si="30"/>
        <v>0.875</v>
      </c>
      <c r="BA34" s="798">
        <f t="shared" si="9"/>
        <v>4</v>
      </c>
      <c r="BB34" s="799">
        <f t="shared" si="31"/>
        <v>9.6876251001001279E-2</v>
      </c>
      <c r="BD34" s="909">
        <v>0.3125</v>
      </c>
      <c r="BE34" s="800">
        <f t="shared" si="10"/>
        <v>18.25</v>
      </c>
      <c r="BF34" s="800">
        <f t="shared" si="32"/>
        <v>20</v>
      </c>
      <c r="BG34" s="800">
        <f t="shared" si="33"/>
        <v>20.3085322377149</v>
      </c>
      <c r="BH34" s="801">
        <f t="shared" si="34"/>
        <v>0.3125</v>
      </c>
      <c r="BI34" s="799">
        <f t="shared" si="35"/>
        <v>1.1875</v>
      </c>
      <c r="BJ34" s="800">
        <f t="shared" si="36"/>
        <v>1.3417661188574499</v>
      </c>
      <c r="BL34" s="800">
        <f t="shared" si="11"/>
        <v>19.454482665375</v>
      </c>
      <c r="BM34" s="800">
        <f t="shared" si="12"/>
        <v>20.830871039812497</v>
      </c>
      <c r="BN34" s="800">
        <f t="shared" si="37"/>
        <v>21.152220802585688</v>
      </c>
      <c r="BO34" s="802">
        <f t="shared" si="13"/>
        <v>0.91474133268750002</v>
      </c>
      <c r="BP34" s="802">
        <f t="shared" si="14"/>
        <v>1.6029355199062483</v>
      </c>
      <c r="BQ34" s="800">
        <f t="shared" si="15"/>
        <v>1.7636104012928442</v>
      </c>
      <c r="BR34" s="802">
        <f t="shared" si="16"/>
        <v>0.90941700638749978</v>
      </c>
      <c r="BS34" s="802">
        <f t="shared" si="17"/>
        <v>1.4719170063874998</v>
      </c>
      <c r="BT34" s="800">
        <f t="shared" si="18"/>
        <v>1.613649003087783</v>
      </c>
    </row>
    <row r="35" spans="1:72" s="800" customFormat="1" ht="14.25" customHeight="1" x14ac:dyDescent="0.25">
      <c r="A35" s="1162"/>
      <c r="B35" s="945"/>
      <c r="C35" s="1163"/>
      <c r="D35" s="947">
        <v>21</v>
      </c>
      <c r="E35" s="948">
        <v>22.375</v>
      </c>
      <c r="F35" s="949">
        <v>0.25</v>
      </c>
      <c r="G35" s="945" t="s">
        <v>58</v>
      </c>
      <c r="H35" s="951">
        <v>1</v>
      </c>
      <c r="I35" s="952">
        <v>65</v>
      </c>
      <c r="J35" s="953">
        <f t="shared" si="38"/>
        <v>3</v>
      </c>
      <c r="K35" s="954">
        <f t="shared" si="20"/>
        <v>26.125</v>
      </c>
      <c r="L35" s="985" t="s">
        <v>59</v>
      </c>
      <c r="M35" s="952" t="s">
        <v>60</v>
      </c>
      <c r="N35" s="957">
        <f t="shared" si="43"/>
        <v>1</v>
      </c>
      <c r="O35" s="958">
        <f t="shared" si="43"/>
        <v>65</v>
      </c>
      <c r="P35" s="959">
        <v>26</v>
      </c>
      <c r="Q35" s="960">
        <v>32</v>
      </c>
      <c r="R35" s="953">
        <f t="shared" si="1"/>
        <v>14</v>
      </c>
      <c r="S35" s="953">
        <f t="shared" si="21"/>
        <v>2</v>
      </c>
      <c r="T35" s="961">
        <f t="shared" si="2"/>
        <v>2</v>
      </c>
      <c r="U35" s="962">
        <v>2</v>
      </c>
      <c r="V35" s="957">
        <f t="shared" si="39"/>
        <v>1</v>
      </c>
      <c r="W35" s="963">
        <v>3.25</v>
      </c>
      <c r="X35" s="953">
        <f t="shared" si="44"/>
        <v>65</v>
      </c>
      <c r="Y35" s="964">
        <f t="shared" si="45"/>
        <v>23.375</v>
      </c>
      <c r="Z35" s="1164">
        <v>12</v>
      </c>
      <c r="AA35" s="1165">
        <v>6</v>
      </c>
      <c r="AB35" s="1166">
        <v>4</v>
      </c>
      <c r="AC35" s="1167" t="s">
        <v>6</v>
      </c>
      <c r="AD35" s="1168">
        <v>1.5</v>
      </c>
      <c r="AE35" s="1169">
        <f t="shared" si="22"/>
        <v>1.625</v>
      </c>
      <c r="AF35" s="1170">
        <f t="shared" si="3"/>
        <v>4</v>
      </c>
      <c r="AG35" s="1171" t="s">
        <v>179</v>
      </c>
      <c r="AH35" s="1172" t="s">
        <v>180</v>
      </c>
      <c r="AI35" s="1173" t="s">
        <v>180</v>
      </c>
      <c r="AJ35" s="1174">
        <f t="shared" si="4"/>
        <v>7.75</v>
      </c>
      <c r="AK35" s="1175">
        <f t="shared" si="5"/>
        <v>6.75</v>
      </c>
      <c r="AL35" s="1176">
        <v>9.5</v>
      </c>
      <c r="AM35" s="1177">
        <v>1.25</v>
      </c>
      <c r="AN35" s="1178">
        <f t="shared" si="6"/>
        <v>18.625</v>
      </c>
      <c r="AO35" s="1179" t="str">
        <f t="shared" si="7"/>
        <v>PL 1 x 32 x 40 1/2</v>
      </c>
      <c r="AP35" s="981">
        <f t="shared" si="23"/>
        <v>406.22496158878914</v>
      </c>
      <c r="AQ35" s="1180">
        <f t="shared" si="24"/>
        <v>414.82268668938508</v>
      </c>
      <c r="AR35" s="796"/>
      <c r="AS35" s="797">
        <f t="shared" si="8"/>
        <v>40.5</v>
      </c>
      <c r="AT35" s="797">
        <f t="shared" si="25"/>
        <v>24.887304302656641</v>
      </c>
      <c r="AU35" s="797">
        <f t="shared" si="26"/>
        <v>73.336553507236729</v>
      </c>
      <c r="AV35" s="798">
        <f t="shared" si="19"/>
        <v>360.48756049976657</v>
      </c>
      <c r="AW35" s="798">
        <f t="shared" si="27"/>
        <v>339.68931392511428</v>
      </c>
      <c r="AX35" s="798">
        <f t="shared" si="46"/>
        <v>45.73740108902259</v>
      </c>
      <c r="AY35" s="798">
        <f t="shared" si="29"/>
        <v>51.652843329022588</v>
      </c>
      <c r="AZ35" s="798">
        <f t="shared" si="30"/>
        <v>0.875</v>
      </c>
      <c r="BA35" s="798">
        <f t="shared" si="9"/>
        <v>4</v>
      </c>
      <c r="BB35" s="799">
        <f t="shared" si="31"/>
        <v>9.6876251001001279E-2</v>
      </c>
      <c r="BD35" s="909">
        <v>0.25</v>
      </c>
      <c r="BE35" s="800">
        <f t="shared" si="10"/>
        <v>20.5</v>
      </c>
      <c r="BF35" s="800">
        <f t="shared" si="32"/>
        <v>21.875</v>
      </c>
      <c r="BG35" s="800">
        <f t="shared" si="33"/>
        <v>22.212457135000673</v>
      </c>
      <c r="BH35" s="801">
        <f t="shared" si="34"/>
        <v>0.3125</v>
      </c>
      <c r="BI35" s="799">
        <f t="shared" si="35"/>
        <v>1</v>
      </c>
      <c r="BJ35" s="800">
        <f t="shared" si="36"/>
        <v>1.1687285675003363</v>
      </c>
      <c r="BO35" s="802"/>
      <c r="BP35" s="802"/>
      <c r="BR35" s="802"/>
      <c r="BS35" s="802"/>
    </row>
    <row r="36" spans="1:72" s="842" customFormat="1" ht="14.25" customHeight="1" x14ac:dyDescent="0.25">
      <c r="A36" s="803" t="s">
        <v>377</v>
      </c>
      <c r="B36" s="910"/>
      <c r="C36" s="911"/>
      <c r="D36" s="912">
        <v>20.75</v>
      </c>
      <c r="E36" s="913">
        <v>21.375</v>
      </c>
      <c r="F36" s="914">
        <v>0.375</v>
      </c>
      <c r="G36" s="910" t="s">
        <v>423</v>
      </c>
      <c r="H36" s="915">
        <v>1</v>
      </c>
      <c r="I36" s="916">
        <v>65</v>
      </c>
      <c r="J36" s="917">
        <f t="shared" si="38"/>
        <v>3</v>
      </c>
      <c r="K36" s="918">
        <f t="shared" si="20"/>
        <v>25.125</v>
      </c>
      <c r="L36" s="919" t="s">
        <v>424</v>
      </c>
      <c r="M36" s="916" t="s">
        <v>425</v>
      </c>
      <c r="N36" s="915">
        <f t="shared" si="43"/>
        <v>1</v>
      </c>
      <c r="O36" s="920">
        <f t="shared" si="43"/>
        <v>65</v>
      </c>
      <c r="P36" s="921">
        <v>25</v>
      </c>
      <c r="Q36" s="912">
        <v>36</v>
      </c>
      <c r="R36" s="917">
        <f t="shared" si="1"/>
        <v>16</v>
      </c>
      <c r="S36" s="917">
        <f t="shared" si="21"/>
        <v>2</v>
      </c>
      <c r="T36" s="922">
        <f t="shared" si="2"/>
        <v>2</v>
      </c>
      <c r="U36" s="923">
        <v>2</v>
      </c>
      <c r="V36" s="915">
        <f t="shared" si="39"/>
        <v>1</v>
      </c>
      <c r="W36" s="924">
        <v>3.25</v>
      </c>
      <c r="X36" s="917">
        <f t="shared" si="44"/>
        <v>65</v>
      </c>
      <c r="Y36" s="925">
        <f t="shared" si="45"/>
        <v>22.375</v>
      </c>
      <c r="Z36" s="1181">
        <v>16</v>
      </c>
      <c r="AA36" s="1182">
        <v>4</v>
      </c>
      <c r="AB36" s="1183">
        <v>4</v>
      </c>
      <c r="AC36" s="1184" t="s">
        <v>6</v>
      </c>
      <c r="AD36" s="1185">
        <v>1.5</v>
      </c>
      <c r="AE36" s="1186">
        <f t="shared" si="22"/>
        <v>1.625</v>
      </c>
      <c r="AF36" s="1187">
        <f t="shared" si="3"/>
        <v>4</v>
      </c>
      <c r="AG36" s="1188" t="s">
        <v>179</v>
      </c>
      <c r="AH36" s="1189" t="s">
        <v>180</v>
      </c>
      <c r="AI36" s="1190" t="s">
        <v>180</v>
      </c>
      <c r="AJ36" s="1191">
        <f t="shared" si="4"/>
        <v>7.75</v>
      </c>
      <c r="AK36" s="1192">
        <f t="shared" si="5"/>
        <v>6.75</v>
      </c>
      <c r="AL36" s="1193">
        <v>9</v>
      </c>
      <c r="AM36" s="1194">
        <v>1.25</v>
      </c>
      <c r="AN36" s="1195">
        <f t="shared" si="6"/>
        <v>18.125</v>
      </c>
      <c r="AO36" s="1196" t="str">
        <f t="shared" si="7"/>
        <v>PL 1 x 36 x 39 1/2</v>
      </c>
      <c r="AP36" s="942">
        <f t="shared" si="23"/>
        <v>437.76248175537808</v>
      </c>
      <c r="AQ36" s="1197">
        <f t="shared" si="24"/>
        <v>450.13579716813223</v>
      </c>
      <c r="AR36" s="838"/>
      <c r="AS36" s="839">
        <f t="shared" si="8"/>
        <v>39.5</v>
      </c>
      <c r="AT36" s="839">
        <f t="shared" si="25"/>
        <v>33.183072403542191</v>
      </c>
      <c r="AU36" s="839">
        <f t="shared" si="26"/>
        <v>66.071620495810336</v>
      </c>
      <c r="AV36" s="840">
        <f t="shared" si="19"/>
        <v>393.86848066635548</v>
      </c>
      <c r="AW36" s="840">
        <f t="shared" si="27"/>
        <v>375.13056909374365</v>
      </c>
      <c r="AX36" s="840">
        <f t="shared" si="46"/>
        <v>43.894001089022588</v>
      </c>
      <c r="AY36" s="840">
        <f t="shared" si="29"/>
        <v>49.525843329022585</v>
      </c>
      <c r="AZ36" s="840">
        <f t="shared" si="30"/>
        <v>0.75</v>
      </c>
      <c r="BA36" s="840">
        <f t="shared" si="9"/>
        <v>4</v>
      </c>
      <c r="BB36" s="841">
        <f t="shared" si="31"/>
        <v>7.0941588624572116E-2</v>
      </c>
      <c r="BD36" s="944">
        <v>0.3125</v>
      </c>
      <c r="BE36" s="842">
        <f t="shared" si="10"/>
        <v>20</v>
      </c>
      <c r="BF36" s="842">
        <f t="shared" si="32"/>
        <v>20.75</v>
      </c>
      <c r="BG36" s="842">
        <f t="shared" si="33"/>
        <v>21.070102196629211</v>
      </c>
      <c r="BH36" s="843">
        <f t="shared" si="34"/>
        <v>0.3125</v>
      </c>
      <c r="BI36" s="841">
        <f t="shared" si="35"/>
        <v>0.6875</v>
      </c>
      <c r="BJ36" s="842">
        <f t="shared" si="36"/>
        <v>0.84755109831460551</v>
      </c>
    </row>
    <row r="37" spans="1:72" s="800" customFormat="1" ht="14.25" customHeight="1" x14ac:dyDescent="0.25">
      <c r="A37" s="758"/>
      <c r="B37" s="945"/>
      <c r="C37" s="1163"/>
      <c r="D37" s="947">
        <v>23</v>
      </c>
      <c r="E37" s="948">
        <v>24.375</v>
      </c>
      <c r="F37" s="949">
        <v>0.25</v>
      </c>
      <c r="G37" s="945" t="s">
        <v>65</v>
      </c>
      <c r="H37" s="951">
        <v>1</v>
      </c>
      <c r="I37" s="952">
        <v>65</v>
      </c>
      <c r="J37" s="953">
        <f t="shared" si="38"/>
        <v>3</v>
      </c>
      <c r="K37" s="954">
        <f t="shared" si="20"/>
        <v>28.125</v>
      </c>
      <c r="L37" s="985" t="s">
        <v>66</v>
      </c>
      <c r="M37" s="952" t="s">
        <v>67</v>
      </c>
      <c r="N37" s="957">
        <f t="shared" si="43"/>
        <v>1</v>
      </c>
      <c r="O37" s="958">
        <f t="shared" si="43"/>
        <v>65</v>
      </c>
      <c r="P37" s="959">
        <v>28</v>
      </c>
      <c r="Q37" s="960">
        <v>32</v>
      </c>
      <c r="R37" s="953">
        <f t="shared" si="1"/>
        <v>14</v>
      </c>
      <c r="S37" s="953">
        <f t="shared" si="21"/>
        <v>2</v>
      </c>
      <c r="T37" s="961">
        <f t="shared" si="2"/>
        <v>2</v>
      </c>
      <c r="U37" s="962">
        <v>2</v>
      </c>
      <c r="V37" s="957">
        <f t="shared" si="39"/>
        <v>1</v>
      </c>
      <c r="W37" s="963">
        <v>3.25</v>
      </c>
      <c r="X37" s="953">
        <f t="shared" si="44"/>
        <v>65</v>
      </c>
      <c r="Y37" s="964">
        <f t="shared" si="45"/>
        <v>25.375</v>
      </c>
      <c r="Z37" s="1198">
        <v>12</v>
      </c>
      <c r="AA37" s="1199">
        <v>6</v>
      </c>
      <c r="AB37" s="1200">
        <v>4</v>
      </c>
      <c r="AC37" s="1201" t="s">
        <v>6</v>
      </c>
      <c r="AD37" s="1202">
        <v>1.5</v>
      </c>
      <c r="AE37" s="1203">
        <f t="shared" si="22"/>
        <v>1.625</v>
      </c>
      <c r="AF37" s="1204">
        <f t="shared" si="3"/>
        <v>4</v>
      </c>
      <c r="AG37" s="1205" t="s">
        <v>179</v>
      </c>
      <c r="AH37" s="1206" t="s">
        <v>180</v>
      </c>
      <c r="AI37" s="1207" t="s">
        <v>180</v>
      </c>
      <c r="AJ37" s="1208">
        <f t="shared" si="4"/>
        <v>7.75</v>
      </c>
      <c r="AK37" s="1209">
        <f t="shared" si="5"/>
        <v>6.75</v>
      </c>
      <c r="AL37" s="1210">
        <v>10.5</v>
      </c>
      <c r="AM37" s="1211">
        <v>1.25</v>
      </c>
      <c r="AN37" s="1212">
        <f t="shared" si="6"/>
        <v>20.625</v>
      </c>
      <c r="AO37" s="1213" t="str">
        <f t="shared" si="7"/>
        <v>PL 1 x 32 x 42 1/2</v>
      </c>
      <c r="AP37" s="981">
        <f t="shared" si="23"/>
        <v>428.06216158878914</v>
      </c>
      <c r="AQ37" s="1214">
        <f t="shared" si="24"/>
        <v>433.84928560362727</v>
      </c>
      <c r="AR37" s="796"/>
      <c r="AS37" s="797">
        <f t="shared" si="8"/>
        <v>42.5</v>
      </c>
      <c r="AT37" s="797">
        <f t="shared" si="25"/>
        <v>24.887304302656641</v>
      </c>
      <c r="AU37" s="797">
        <f t="shared" si="26"/>
        <v>89.044516775185699</v>
      </c>
      <c r="AV37" s="798">
        <f t="shared" si="19"/>
        <v>378.63796049976656</v>
      </c>
      <c r="AW37" s="798">
        <f t="shared" si="27"/>
        <v>353.38493554232389</v>
      </c>
      <c r="AX37" s="798">
        <f t="shared" si="46"/>
        <v>49.424201089022588</v>
      </c>
      <c r="AY37" s="798">
        <f t="shared" si="29"/>
        <v>55.906843329022585</v>
      </c>
      <c r="AZ37" s="798">
        <f t="shared" si="30"/>
        <v>0.875</v>
      </c>
      <c r="BA37" s="798">
        <f t="shared" si="9"/>
        <v>4</v>
      </c>
      <c r="BB37" s="799">
        <f t="shared" si="31"/>
        <v>9.6876251001001279E-2</v>
      </c>
      <c r="BD37" s="909">
        <v>0.25</v>
      </c>
      <c r="BE37" s="800">
        <f t="shared" si="10"/>
        <v>22.5</v>
      </c>
      <c r="BF37" s="800">
        <f t="shared" si="32"/>
        <v>23.875</v>
      </c>
      <c r="BG37" s="800">
        <f t="shared" si="33"/>
        <v>24.243310358772163</v>
      </c>
      <c r="BH37" s="801">
        <f t="shared" si="34"/>
        <v>0.3125</v>
      </c>
      <c r="BI37" s="799">
        <f t="shared" si="35"/>
        <v>1</v>
      </c>
      <c r="BJ37" s="800">
        <f t="shared" si="36"/>
        <v>1.1841551793860816</v>
      </c>
    </row>
    <row r="38" spans="1:72" s="800" customFormat="1" ht="14.25" customHeight="1" x14ac:dyDescent="0.25">
      <c r="A38" s="758"/>
      <c r="B38" s="1010"/>
      <c r="C38" s="1007"/>
      <c r="D38" s="912">
        <v>22</v>
      </c>
      <c r="E38" s="913">
        <v>23.375</v>
      </c>
      <c r="F38" s="1009">
        <v>0.375</v>
      </c>
      <c r="G38" s="1010" t="s">
        <v>68</v>
      </c>
      <c r="H38" s="1011">
        <v>1.25</v>
      </c>
      <c r="I38" s="1012">
        <v>65</v>
      </c>
      <c r="J38" s="1013">
        <f t="shared" si="38"/>
        <v>3.75</v>
      </c>
      <c r="K38" s="1014">
        <f t="shared" si="20"/>
        <v>28.125</v>
      </c>
      <c r="L38" s="1015" t="s">
        <v>69</v>
      </c>
      <c r="M38" s="1012" t="s">
        <v>70</v>
      </c>
      <c r="N38" s="1016">
        <f t="shared" si="43"/>
        <v>1.25</v>
      </c>
      <c r="O38" s="1017">
        <f t="shared" si="43"/>
        <v>65</v>
      </c>
      <c r="P38" s="1018">
        <v>28</v>
      </c>
      <c r="Q38" s="1008">
        <v>33.5</v>
      </c>
      <c r="R38" s="1013">
        <f t="shared" si="1"/>
        <v>14.25</v>
      </c>
      <c r="S38" s="1013">
        <f t="shared" si="21"/>
        <v>2.5</v>
      </c>
      <c r="T38" s="1019">
        <f t="shared" si="2"/>
        <v>2.5</v>
      </c>
      <c r="U38" s="1020">
        <v>2</v>
      </c>
      <c r="V38" s="1016">
        <f t="shared" si="39"/>
        <v>1.25</v>
      </c>
      <c r="W38" s="1021">
        <v>3.75</v>
      </c>
      <c r="X38" s="1013">
        <f t="shared" si="44"/>
        <v>65</v>
      </c>
      <c r="Y38" s="925">
        <f t="shared" si="45"/>
        <v>24.625</v>
      </c>
      <c r="Z38" s="1215">
        <v>12</v>
      </c>
      <c r="AA38" s="1216">
        <v>4.75</v>
      </c>
      <c r="AB38" s="1217">
        <v>4.75</v>
      </c>
      <c r="AC38" s="1218" t="s">
        <v>181</v>
      </c>
      <c r="AD38" s="1219">
        <v>1.75</v>
      </c>
      <c r="AE38" s="1220">
        <f t="shared" si="22"/>
        <v>1.875</v>
      </c>
      <c r="AF38" s="1221">
        <f t="shared" si="3"/>
        <v>4.75</v>
      </c>
      <c r="AG38" s="1222" t="s">
        <v>179</v>
      </c>
      <c r="AH38" s="1223" t="s">
        <v>180</v>
      </c>
      <c r="AI38" s="1224" t="s">
        <v>180</v>
      </c>
      <c r="AJ38" s="1225">
        <f t="shared" si="4"/>
        <v>9.25</v>
      </c>
      <c r="AK38" s="1226">
        <f t="shared" si="5"/>
        <v>8</v>
      </c>
      <c r="AL38" s="1227">
        <v>10</v>
      </c>
      <c r="AM38" s="1228">
        <v>1.25</v>
      </c>
      <c r="AN38" s="1229">
        <f t="shared" si="6"/>
        <v>19.375</v>
      </c>
      <c r="AO38" s="1230" t="str">
        <f t="shared" si="7"/>
        <v>PL 1 1/4 x 33 1/2 x 45 1/4</v>
      </c>
      <c r="AP38" s="1038">
        <f t="shared" si="23"/>
        <v>595.79739506299927</v>
      </c>
      <c r="AQ38" s="1231">
        <f t="shared" si="24"/>
        <v>609.6995546117314</v>
      </c>
      <c r="AR38" s="796"/>
      <c r="AS38" s="797">
        <f t="shared" si="8"/>
        <v>45.25</v>
      </c>
      <c r="AT38" s="797">
        <f t="shared" si="25"/>
        <v>33.133985018329852</v>
      </c>
      <c r="AU38" s="797">
        <f t="shared" si="26"/>
        <v>80.99418560036186</v>
      </c>
      <c r="AV38" s="798">
        <f t="shared" si="19"/>
        <v>525.63168981100205</v>
      </c>
      <c r="AW38" s="798">
        <f t="shared" si="27"/>
        <v>496.91925101567381</v>
      </c>
      <c r="AX38" s="798">
        <f t="shared" si="46"/>
        <v>70.165705251997238</v>
      </c>
      <c r="AY38" s="798">
        <f t="shared" si="29"/>
        <v>78.269008051997233</v>
      </c>
      <c r="AZ38" s="798">
        <f t="shared" si="30"/>
        <v>1</v>
      </c>
      <c r="BA38" s="798">
        <f t="shared" si="9"/>
        <v>5</v>
      </c>
      <c r="BB38" s="799">
        <f t="shared" si="31"/>
        <v>0.10102051443364424</v>
      </c>
      <c r="BD38" s="909">
        <v>0.3125</v>
      </c>
      <c r="BE38" s="800">
        <f t="shared" si="10"/>
        <v>21.25</v>
      </c>
      <c r="BF38" s="800">
        <f t="shared" si="32"/>
        <v>22.75</v>
      </c>
      <c r="BG38" s="800">
        <f t="shared" si="33"/>
        <v>23.100955420400698</v>
      </c>
      <c r="BH38" s="801">
        <f t="shared" si="34"/>
        <v>0.3125</v>
      </c>
      <c r="BI38" s="799">
        <f t="shared" si="35"/>
        <v>1.0625</v>
      </c>
      <c r="BJ38" s="800">
        <f t="shared" si="36"/>
        <v>1.2379777102003491</v>
      </c>
    </row>
    <row r="39" spans="1:72" s="800" customFormat="1" ht="14.25" customHeight="1" x14ac:dyDescent="0.25">
      <c r="A39" s="758"/>
      <c r="B39" s="945"/>
      <c r="C39" s="1163"/>
      <c r="D39" s="960">
        <v>24.5</v>
      </c>
      <c r="E39" s="1232">
        <v>25.25</v>
      </c>
      <c r="F39" s="949">
        <v>0.3125</v>
      </c>
      <c r="G39" s="945" t="s">
        <v>71</v>
      </c>
      <c r="H39" s="951">
        <v>1.25</v>
      </c>
      <c r="I39" s="952">
        <v>65</v>
      </c>
      <c r="J39" s="953">
        <f t="shared" si="38"/>
        <v>3.75</v>
      </c>
      <c r="K39" s="954">
        <f t="shared" si="20"/>
        <v>30.125</v>
      </c>
      <c r="L39" s="985" t="s">
        <v>72</v>
      </c>
      <c r="M39" s="952" t="s">
        <v>73</v>
      </c>
      <c r="N39" s="957">
        <f t="shared" si="43"/>
        <v>1.25</v>
      </c>
      <c r="O39" s="958">
        <f t="shared" si="43"/>
        <v>65</v>
      </c>
      <c r="P39" s="959">
        <v>30</v>
      </c>
      <c r="Q39" s="960">
        <v>33.5</v>
      </c>
      <c r="R39" s="953">
        <f t="shared" si="1"/>
        <v>14.25</v>
      </c>
      <c r="S39" s="953">
        <f t="shared" si="21"/>
        <v>2.5</v>
      </c>
      <c r="T39" s="961">
        <f t="shared" si="2"/>
        <v>2.5</v>
      </c>
      <c r="U39" s="962">
        <v>2</v>
      </c>
      <c r="V39" s="957">
        <f t="shared" si="39"/>
        <v>1.25</v>
      </c>
      <c r="W39" s="963">
        <v>3.75</v>
      </c>
      <c r="X39" s="953">
        <f t="shared" si="44"/>
        <v>65</v>
      </c>
      <c r="Y39" s="1233">
        <f t="shared" si="45"/>
        <v>26.5</v>
      </c>
      <c r="Z39" s="1234">
        <v>12</v>
      </c>
      <c r="AA39" s="1235">
        <v>4.75</v>
      </c>
      <c r="AB39" s="1236">
        <v>4.75</v>
      </c>
      <c r="AC39" s="1237" t="s">
        <v>181</v>
      </c>
      <c r="AD39" s="1238">
        <v>1.75</v>
      </c>
      <c r="AE39" s="1239">
        <f t="shared" si="22"/>
        <v>1.875</v>
      </c>
      <c r="AF39" s="1240">
        <f t="shared" si="3"/>
        <v>4.75</v>
      </c>
      <c r="AG39" s="1241" t="s">
        <v>179</v>
      </c>
      <c r="AH39" s="1242" t="s">
        <v>180</v>
      </c>
      <c r="AI39" s="1243" t="s">
        <v>180</v>
      </c>
      <c r="AJ39" s="1244">
        <f t="shared" si="4"/>
        <v>9.25</v>
      </c>
      <c r="AK39" s="1245">
        <f t="shared" si="5"/>
        <v>8</v>
      </c>
      <c r="AL39" s="1246">
        <v>11</v>
      </c>
      <c r="AM39" s="1247">
        <v>1.25</v>
      </c>
      <c r="AN39" s="1248">
        <f t="shared" si="6"/>
        <v>22</v>
      </c>
      <c r="AO39" s="1249" t="str">
        <f t="shared" si="7"/>
        <v>PL 1 1/4 x 33 1/2 x 47 1/4</v>
      </c>
      <c r="AP39" s="981">
        <f t="shared" si="23"/>
        <v>624.86639506299923</v>
      </c>
      <c r="AQ39" s="1250">
        <f t="shared" si="24"/>
        <v>635.06652418667431</v>
      </c>
      <c r="AR39" s="796"/>
      <c r="AS39" s="797">
        <f t="shared" si="8"/>
        <v>47.25</v>
      </c>
      <c r="AT39" s="797">
        <f t="shared" si="25"/>
        <v>33.133985018329852</v>
      </c>
      <c r="AU39" s="797">
        <f t="shared" si="26"/>
        <v>97.487547031708274</v>
      </c>
      <c r="AV39" s="798">
        <f t="shared" si="19"/>
        <v>549.38318981100201</v>
      </c>
      <c r="AW39" s="798">
        <f t="shared" si="27"/>
        <v>514.82385438826157</v>
      </c>
      <c r="AX39" s="798">
        <f t="shared" si="46"/>
        <v>75.483205251997248</v>
      </c>
      <c r="AY39" s="798">
        <f t="shared" si="29"/>
        <v>84.295508051997231</v>
      </c>
      <c r="AZ39" s="798">
        <f t="shared" si="30"/>
        <v>1</v>
      </c>
      <c r="BA39" s="798">
        <f t="shared" si="9"/>
        <v>5</v>
      </c>
      <c r="BB39" s="799">
        <f t="shared" si="31"/>
        <v>0.10102051443364424</v>
      </c>
      <c r="BD39" s="909">
        <v>0.25</v>
      </c>
      <c r="BE39" s="800">
        <f t="shared" si="10"/>
        <v>23.875</v>
      </c>
      <c r="BF39" s="800">
        <f t="shared" si="32"/>
        <v>24.75</v>
      </c>
      <c r="BG39" s="800">
        <f t="shared" si="33"/>
        <v>25.131808644172189</v>
      </c>
      <c r="BH39" s="801">
        <f t="shared" si="34"/>
        <v>0.3125</v>
      </c>
      <c r="BI39" s="799">
        <f t="shared" si="35"/>
        <v>0.75</v>
      </c>
      <c r="BJ39" s="800">
        <f t="shared" si="36"/>
        <v>0.94090432208609442</v>
      </c>
    </row>
    <row r="40" spans="1:72" s="800" customFormat="1" ht="14.25" customHeight="1" x14ac:dyDescent="0.25">
      <c r="A40" s="758"/>
      <c r="B40" s="1010"/>
      <c r="C40" s="1007"/>
      <c r="D40" s="912">
        <v>24</v>
      </c>
      <c r="E40" s="1251">
        <v>25.5</v>
      </c>
      <c r="F40" s="1009">
        <v>0.4375</v>
      </c>
      <c r="G40" s="1010" t="s">
        <v>74</v>
      </c>
      <c r="H40" s="1011">
        <v>1.25</v>
      </c>
      <c r="I40" s="1012">
        <v>65</v>
      </c>
      <c r="J40" s="1013">
        <f t="shared" si="38"/>
        <v>3.75</v>
      </c>
      <c r="K40" s="1014">
        <f t="shared" si="20"/>
        <v>30.125</v>
      </c>
      <c r="L40" s="1015" t="s">
        <v>75</v>
      </c>
      <c r="M40" s="1012" t="s">
        <v>76</v>
      </c>
      <c r="N40" s="1016">
        <f t="shared" si="43"/>
        <v>1.25</v>
      </c>
      <c r="O40" s="1017">
        <f t="shared" si="43"/>
        <v>65</v>
      </c>
      <c r="P40" s="1018">
        <v>30</v>
      </c>
      <c r="Q40" s="1008">
        <v>38.25</v>
      </c>
      <c r="R40" s="1013">
        <f t="shared" si="1"/>
        <v>16.625</v>
      </c>
      <c r="S40" s="1013">
        <f t="shared" si="21"/>
        <v>2.5</v>
      </c>
      <c r="T40" s="1019">
        <f t="shared" si="2"/>
        <v>2.5</v>
      </c>
      <c r="U40" s="1020">
        <v>2</v>
      </c>
      <c r="V40" s="1016">
        <f t="shared" si="39"/>
        <v>1.25</v>
      </c>
      <c r="W40" s="1021">
        <v>4</v>
      </c>
      <c r="X40" s="1013">
        <f t="shared" si="44"/>
        <v>65</v>
      </c>
      <c r="Y40" s="1252">
        <f t="shared" si="45"/>
        <v>26.75</v>
      </c>
      <c r="Z40" s="1253">
        <v>16</v>
      </c>
      <c r="AA40" s="1254">
        <v>2.375</v>
      </c>
      <c r="AB40" s="1255">
        <v>4.75</v>
      </c>
      <c r="AC40" s="1256" t="s">
        <v>181</v>
      </c>
      <c r="AD40" s="1257">
        <v>1.75</v>
      </c>
      <c r="AE40" s="1258">
        <f t="shared" si="22"/>
        <v>1.875</v>
      </c>
      <c r="AF40" s="1259">
        <f t="shared" si="3"/>
        <v>4.75</v>
      </c>
      <c r="AG40" s="1260" t="s">
        <v>179</v>
      </c>
      <c r="AH40" s="1261" t="s">
        <v>180</v>
      </c>
      <c r="AI40" s="1262" t="s">
        <v>180</v>
      </c>
      <c r="AJ40" s="1263">
        <f t="shared" si="4"/>
        <v>9.5</v>
      </c>
      <c r="AK40" s="1264">
        <f t="shared" si="5"/>
        <v>8.25</v>
      </c>
      <c r="AL40" s="1265">
        <v>11</v>
      </c>
      <c r="AM40" s="1266">
        <v>1.25</v>
      </c>
      <c r="AN40" s="1267">
        <f t="shared" si="6"/>
        <v>21.25</v>
      </c>
      <c r="AO40" s="1268" t="str">
        <f t="shared" si="7"/>
        <v>PL 1 1/4 x 38 1/4 x 47 3/4</v>
      </c>
      <c r="AP40" s="1038">
        <f t="shared" si="23"/>
        <v>712.61146875000009</v>
      </c>
      <c r="AQ40" s="1269">
        <f t="shared" si="24"/>
        <v>728.07630229489496</v>
      </c>
      <c r="AR40" s="796"/>
      <c r="AS40" s="797">
        <f t="shared" si="8"/>
        <v>47.75</v>
      </c>
      <c r="AT40" s="797">
        <f t="shared" si="25"/>
        <v>44.178646691106465</v>
      </c>
      <c r="AU40" s="797">
        <f t="shared" si="26"/>
        <v>97.487547031708274</v>
      </c>
      <c r="AV40" s="798">
        <f t="shared" si="19"/>
        <v>631.81076349800287</v>
      </c>
      <c r="AW40" s="798">
        <f t="shared" si="27"/>
        <v>597.2514280752622</v>
      </c>
      <c r="AX40" s="798">
        <f t="shared" si="46"/>
        <v>80.800705251997243</v>
      </c>
      <c r="AY40" s="798">
        <f t="shared" si="29"/>
        <v>89.613008051997241</v>
      </c>
      <c r="AZ40" s="798">
        <f t="shared" si="30"/>
        <v>1</v>
      </c>
      <c r="BA40" s="798">
        <f t="shared" si="9"/>
        <v>5</v>
      </c>
      <c r="BB40" s="799">
        <f t="shared" si="31"/>
        <v>0.10102051443364424</v>
      </c>
      <c r="BD40" s="909">
        <v>0.375</v>
      </c>
      <c r="BE40" s="800">
        <f t="shared" si="10"/>
        <v>23.125</v>
      </c>
      <c r="BF40" s="800">
        <f t="shared" si="32"/>
        <v>24.75</v>
      </c>
      <c r="BG40" s="800">
        <f t="shared" si="33"/>
        <v>25.131808644172189</v>
      </c>
      <c r="BH40" s="801">
        <f t="shared" si="34"/>
        <v>0.3125</v>
      </c>
      <c r="BI40" s="799">
        <f t="shared" si="35"/>
        <v>1.125</v>
      </c>
      <c r="BJ40" s="800">
        <f t="shared" si="36"/>
        <v>1.3159043220860944</v>
      </c>
    </row>
    <row r="41" spans="1:72" s="800" customFormat="1" ht="14.25" customHeight="1" x14ac:dyDescent="0.25">
      <c r="A41" s="758"/>
      <c r="B41" s="1270"/>
      <c r="C41" s="1271"/>
      <c r="D41" s="1272">
        <v>26</v>
      </c>
      <c r="E41" s="1273">
        <v>27.25</v>
      </c>
      <c r="F41" s="1274">
        <v>0.3125</v>
      </c>
      <c r="G41" s="1275" t="s">
        <v>77</v>
      </c>
      <c r="H41" s="1276">
        <v>1.25</v>
      </c>
      <c r="I41" s="1277">
        <v>65</v>
      </c>
      <c r="J41" s="1278">
        <f t="shared" si="38"/>
        <v>3.75</v>
      </c>
      <c r="K41" s="1279">
        <f t="shared" si="20"/>
        <v>32.125</v>
      </c>
      <c r="L41" s="1280" t="s">
        <v>78</v>
      </c>
      <c r="M41" s="1281" t="s">
        <v>79</v>
      </c>
      <c r="N41" s="1282">
        <f t="shared" si="43"/>
        <v>1.25</v>
      </c>
      <c r="O41" s="1283">
        <f t="shared" si="43"/>
        <v>65</v>
      </c>
      <c r="P41" s="1284">
        <v>32</v>
      </c>
      <c r="Q41" s="1285">
        <v>38.25</v>
      </c>
      <c r="R41" s="1286">
        <f t="shared" si="1"/>
        <v>16.625</v>
      </c>
      <c r="S41" s="1287">
        <f t="shared" si="21"/>
        <v>2.5</v>
      </c>
      <c r="T41" s="1288">
        <f t="shared" si="2"/>
        <v>2.5</v>
      </c>
      <c r="U41" s="1289">
        <v>2</v>
      </c>
      <c r="V41" s="1282">
        <f t="shared" si="39"/>
        <v>1.25</v>
      </c>
      <c r="W41" s="1290">
        <v>4</v>
      </c>
      <c r="X41" s="1287">
        <f t="shared" si="44"/>
        <v>65</v>
      </c>
      <c r="Y41" s="1291">
        <f t="shared" si="45"/>
        <v>28.5</v>
      </c>
      <c r="Z41" s="1292">
        <v>12</v>
      </c>
      <c r="AA41" s="1293">
        <v>7.125</v>
      </c>
      <c r="AB41" s="1294">
        <v>4.75</v>
      </c>
      <c r="AC41" s="1295" t="s">
        <v>181</v>
      </c>
      <c r="AD41" s="1296">
        <v>1.75</v>
      </c>
      <c r="AE41" s="1297">
        <f t="shared" si="22"/>
        <v>1.875</v>
      </c>
      <c r="AF41" s="1298">
        <f t="shared" si="3"/>
        <v>4.75</v>
      </c>
      <c r="AG41" s="1299" t="s">
        <v>179</v>
      </c>
      <c r="AH41" s="1300" t="s">
        <v>180</v>
      </c>
      <c r="AI41" s="1301" t="s">
        <v>180</v>
      </c>
      <c r="AJ41" s="1302">
        <f t="shared" si="4"/>
        <v>9.5</v>
      </c>
      <c r="AK41" s="1303">
        <f t="shared" si="5"/>
        <v>8.25</v>
      </c>
      <c r="AL41" s="1304">
        <v>12</v>
      </c>
      <c r="AM41" s="1305">
        <v>1.5</v>
      </c>
      <c r="AN41" s="1306">
        <f t="shared" si="6"/>
        <v>23.25</v>
      </c>
      <c r="AO41" s="1307" t="str">
        <f t="shared" si="7"/>
        <v>PL 1 1/4 x 38 1/4 x 49 3/4</v>
      </c>
      <c r="AP41" s="981">
        <f t="shared" si="23"/>
        <v>749.31805131299927</v>
      </c>
      <c r="AQ41" s="1308">
        <f t="shared" si="24"/>
        <v>760.54304878259029</v>
      </c>
      <c r="AR41" s="796"/>
      <c r="AS41" s="797">
        <f t="shared" si="8"/>
        <v>49.75</v>
      </c>
      <c r="AT41" s="797">
        <f t="shared" si="25"/>
        <v>33.133985018329852</v>
      </c>
      <c r="AU41" s="797">
        <f t="shared" si="26"/>
        <v>116.63162726452107</v>
      </c>
      <c r="AV41" s="798">
        <f t="shared" si="19"/>
        <v>662.84534606100203</v>
      </c>
      <c r="AW41" s="798">
        <f t="shared" si="27"/>
        <v>621.49943419572935</v>
      </c>
      <c r="AX41" s="798">
        <f t="shared" si="46"/>
        <v>86.47270525199724</v>
      </c>
      <c r="AY41" s="798">
        <f t="shared" si="29"/>
        <v>95.994008051997255</v>
      </c>
      <c r="AZ41" s="798">
        <f t="shared" si="30"/>
        <v>1</v>
      </c>
      <c r="BA41" s="798">
        <f t="shared" si="9"/>
        <v>5</v>
      </c>
      <c r="BB41" s="799">
        <f t="shared" si="31"/>
        <v>0.10102051443364424</v>
      </c>
      <c r="BD41" s="909">
        <v>0.25</v>
      </c>
      <c r="BE41" s="800">
        <f t="shared" si="10"/>
        <v>25.375</v>
      </c>
      <c r="BF41" s="800">
        <f t="shared" si="32"/>
        <v>26.75</v>
      </c>
      <c r="BG41" s="800">
        <f t="shared" si="33"/>
        <v>27.16266186794368</v>
      </c>
      <c r="BH41" s="801">
        <f t="shared" si="34"/>
        <v>0.3125</v>
      </c>
      <c r="BI41" s="799">
        <f t="shared" si="35"/>
        <v>1</v>
      </c>
      <c r="BJ41" s="800">
        <f t="shared" si="36"/>
        <v>1.2063309339718398</v>
      </c>
    </row>
    <row r="42" spans="1:72" s="800" customFormat="1" ht="14.25" customHeight="1" x14ac:dyDescent="0.25">
      <c r="A42" s="758"/>
      <c r="B42" s="1309"/>
      <c r="C42" s="1310"/>
      <c r="D42" s="1311">
        <v>26</v>
      </c>
      <c r="E42" s="1312">
        <v>27.5</v>
      </c>
      <c r="F42" s="1313">
        <v>0.4375</v>
      </c>
      <c r="G42" s="1314" t="s">
        <v>80</v>
      </c>
      <c r="H42" s="1315">
        <v>1.25</v>
      </c>
      <c r="I42" s="1316">
        <v>65</v>
      </c>
      <c r="J42" s="1317">
        <f t="shared" si="38"/>
        <v>3.75</v>
      </c>
      <c r="K42" s="1318">
        <f t="shared" si="20"/>
        <v>32.125</v>
      </c>
      <c r="L42" s="1319" t="s">
        <v>81</v>
      </c>
      <c r="M42" s="1320" t="s">
        <v>82</v>
      </c>
      <c r="N42" s="1321">
        <f t="shared" si="43"/>
        <v>1.25</v>
      </c>
      <c r="O42" s="1322">
        <f t="shared" si="43"/>
        <v>65</v>
      </c>
      <c r="P42" s="1323">
        <v>32</v>
      </c>
      <c r="Q42" s="1324">
        <v>43</v>
      </c>
      <c r="R42" s="1325">
        <f t="shared" si="1"/>
        <v>19</v>
      </c>
      <c r="S42" s="1326">
        <f t="shared" si="21"/>
        <v>2.5</v>
      </c>
      <c r="T42" s="1327">
        <f t="shared" si="2"/>
        <v>2.5</v>
      </c>
      <c r="U42" s="1328">
        <v>2</v>
      </c>
      <c r="V42" s="1321">
        <f t="shared" si="39"/>
        <v>1.25</v>
      </c>
      <c r="W42" s="1329">
        <v>4.25</v>
      </c>
      <c r="X42" s="1326">
        <f t="shared" si="44"/>
        <v>65</v>
      </c>
      <c r="Y42" s="1330">
        <f t="shared" si="45"/>
        <v>28.75</v>
      </c>
      <c r="Z42" s="1111">
        <v>16</v>
      </c>
      <c r="AA42" s="1112">
        <v>4.75</v>
      </c>
      <c r="AB42" s="1331">
        <v>4.75</v>
      </c>
      <c r="AC42" s="1332" t="s">
        <v>181</v>
      </c>
      <c r="AD42" s="1333">
        <v>1.75</v>
      </c>
      <c r="AE42" s="1334">
        <f t="shared" si="22"/>
        <v>1.875</v>
      </c>
      <c r="AF42" s="1335">
        <f t="shared" si="3"/>
        <v>4.75</v>
      </c>
      <c r="AG42" s="1336" t="s">
        <v>179</v>
      </c>
      <c r="AH42" s="1337" t="s">
        <v>180</v>
      </c>
      <c r="AI42" s="1338" t="s">
        <v>180</v>
      </c>
      <c r="AJ42" s="1339">
        <f t="shared" si="4"/>
        <v>9.75</v>
      </c>
      <c r="AK42" s="1340">
        <f t="shared" si="5"/>
        <v>8.5</v>
      </c>
      <c r="AL42" s="1341">
        <v>12</v>
      </c>
      <c r="AM42" s="1342">
        <v>1.5</v>
      </c>
      <c r="AN42" s="1343">
        <f t="shared" si="6"/>
        <v>23</v>
      </c>
      <c r="AO42" s="1344" t="str">
        <f t="shared" si="7"/>
        <v>PL 1 1/4 x 43 x 50 1/4</v>
      </c>
      <c r="AP42" s="1038">
        <f t="shared" si="23"/>
        <v>842.46924999999999</v>
      </c>
      <c r="AQ42" s="1345">
        <f t="shared" si="24"/>
        <v>859.2833193908109</v>
      </c>
      <c r="AR42" s="796"/>
      <c r="AS42" s="797">
        <f t="shared" si="8"/>
        <v>50.25</v>
      </c>
      <c r="AT42" s="797">
        <f t="shared" si="25"/>
        <v>44.178646691106465</v>
      </c>
      <c r="AU42" s="797">
        <f t="shared" si="26"/>
        <v>116.63162726452107</v>
      </c>
      <c r="AV42" s="798">
        <f t="shared" si="19"/>
        <v>750.32454474800272</v>
      </c>
      <c r="AW42" s="798">
        <f t="shared" si="27"/>
        <v>708.97863288273004</v>
      </c>
      <c r="AX42" s="798">
        <f t="shared" si="46"/>
        <v>92.144705251997237</v>
      </c>
      <c r="AY42" s="798">
        <f t="shared" si="29"/>
        <v>101.66600805199725</v>
      </c>
      <c r="AZ42" s="798">
        <f t="shared" si="30"/>
        <v>1</v>
      </c>
      <c r="BA42" s="798">
        <f t="shared" si="9"/>
        <v>5</v>
      </c>
      <c r="BB42" s="799">
        <f t="shared" si="31"/>
        <v>0.10102051443364424</v>
      </c>
      <c r="BD42" s="909">
        <v>0.375</v>
      </c>
      <c r="BE42" s="800">
        <f t="shared" si="10"/>
        <v>25.125</v>
      </c>
      <c r="BF42" s="800">
        <f t="shared" si="32"/>
        <v>26.75</v>
      </c>
      <c r="BG42" s="800">
        <f t="shared" si="33"/>
        <v>27.16266186794368</v>
      </c>
      <c r="BH42" s="801">
        <f t="shared" si="34"/>
        <v>0.3125</v>
      </c>
      <c r="BI42" s="799">
        <f t="shared" si="35"/>
        <v>1.125</v>
      </c>
      <c r="BJ42" s="800">
        <f t="shared" si="36"/>
        <v>1.3313309339718398</v>
      </c>
    </row>
    <row r="43" spans="1:72" s="800" customFormat="1" ht="14.25" customHeight="1" x14ac:dyDescent="0.25">
      <c r="A43" s="758"/>
      <c r="B43" s="1346"/>
      <c r="C43" s="1347"/>
      <c r="D43" s="1348">
        <v>28</v>
      </c>
      <c r="E43" s="1349">
        <v>29.375</v>
      </c>
      <c r="F43" s="1350">
        <v>0.375</v>
      </c>
      <c r="G43" s="1351" t="s">
        <v>83</v>
      </c>
      <c r="H43" s="1352">
        <v>1.25</v>
      </c>
      <c r="I43" s="1353">
        <v>65</v>
      </c>
      <c r="J43" s="1354">
        <f t="shared" si="38"/>
        <v>3.75</v>
      </c>
      <c r="K43" s="1355">
        <f t="shared" si="20"/>
        <v>34.125</v>
      </c>
      <c r="L43" s="1356" t="s">
        <v>84</v>
      </c>
      <c r="M43" s="1357" t="s">
        <v>85</v>
      </c>
      <c r="N43" s="1358">
        <f t="shared" si="43"/>
        <v>1.25</v>
      </c>
      <c r="O43" s="1359">
        <f t="shared" si="43"/>
        <v>65</v>
      </c>
      <c r="P43" s="1360">
        <v>34</v>
      </c>
      <c r="Q43" s="1361">
        <v>43</v>
      </c>
      <c r="R43" s="1362">
        <f t="shared" si="1"/>
        <v>19</v>
      </c>
      <c r="S43" s="1363">
        <f t="shared" si="21"/>
        <v>2.5</v>
      </c>
      <c r="T43" s="1364">
        <f t="shared" si="2"/>
        <v>2.5</v>
      </c>
      <c r="U43" s="1365">
        <v>2</v>
      </c>
      <c r="V43" s="1358">
        <f t="shared" si="39"/>
        <v>1.25</v>
      </c>
      <c r="W43" s="1366">
        <v>4.25</v>
      </c>
      <c r="X43" s="1363">
        <f t="shared" si="44"/>
        <v>65</v>
      </c>
      <c r="Y43" s="1367">
        <f t="shared" si="45"/>
        <v>30.625</v>
      </c>
      <c r="Z43" s="1368">
        <v>16</v>
      </c>
      <c r="AA43" s="1369">
        <v>4.75</v>
      </c>
      <c r="AB43" s="1370">
        <v>4.75</v>
      </c>
      <c r="AC43" s="1371" t="s">
        <v>181</v>
      </c>
      <c r="AD43" s="1372">
        <v>1.75</v>
      </c>
      <c r="AE43" s="1373">
        <f t="shared" si="22"/>
        <v>1.875</v>
      </c>
      <c r="AF43" s="1374">
        <f t="shared" si="3"/>
        <v>4.75</v>
      </c>
      <c r="AG43" s="1375" t="s">
        <v>179</v>
      </c>
      <c r="AH43" s="1376" t="s">
        <v>180</v>
      </c>
      <c r="AI43" s="1377" t="s">
        <v>180</v>
      </c>
      <c r="AJ43" s="1378">
        <f t="shared" si="4"/>
        <v>9.75</v>
      </c>
      <c r="AK43" s="1379">
        <f t="shared" si="5"/>
        <v>8.5</v>
      </c>
      <c r="AL43" s="1380">
        <v>13</v>
      </c>
      <c r="AM43" s="1381">
        <v>1.5</v>
      </c>
      <c r="AN43" s="1382">
        <f t="shared" si="6"/>
        <v>25.125</v>
      </c>
      <c r="AO43" s="1383" t="str">
        <f t="shared" si="7"/>
        <v>PL 1 1/4 x 43 x 52 1/4</v>
      </c>
      <c r="AP43" s="1384">
        <f t="shared" si="23"/>
        <v>878.9827499999999</v>
      </c>
      <c r="AQ43" s="1385">
        <f t="shared" si="24"/>
        <v>891.36094269431442</v>
      </c>
      <c r="AR43" s="796"/>
      <c r="AS43" s="797">
        <f t="shared" si="8"/>
        <v>52.25</v>
      </c>
      <c r="AT43" s="797">
        <f t="shared" si="25"/>
        <v>44.178646691106465</v>
      </c>
      <c r="AU43" s="797">
        <f t="shared" si="26"/>
        <v>136.26658134945728</v>
      </c>
      <c r="AV43" s="798">
        <f t="shared" si="19"/>
        <v>780.81154474800269</v>
      </c>
      <c r="AW43" s="798">
        <f t="shared" si="27"/>
        <v>732.50504165962013</v>
      </c>
      <c r="AX43" s="798">
        <f t="shared" si="46"/>
        <v>98.17120525199725</v>
      </c>
      <c r="AY43" s="798">
        <f t="shared" si="29"/>
        <v>108.40150805199725</v>
      </c>
      <c r="AZ43" s="798">
        <f t="shared" si="30"/>
        <v>1</v>
      </c>
      <c r="BA43" s="798">
        <f t="shared" si="9"/>
        <v>5</v>
      </c>
      <c r="BB43" s="799">
        <f t="shared" si="31"/>
        <v>0.10102051443364424</v>
      </c>
      <c r="BD43" s="909">
        <v>0.3125</v>
      </c>
      <c r="BE43" s="800">
        <f t="shared" si="10"/>
        <v>27.25</v>
      </c>
      <c r="BF43" s="800">
        <f t="shared" si="32"/>
        <v>28.75</v>
      </c>
      <c r="BG43" s="800">
        <f t="shared" si="33"/>
        <v>29.19351509171517</v>
      </c>
      <c r="BH43" s="801">
        <f t="shared" si="34"/>
        <v>0.3125</v>
      </c>
      <c r="BI43" s="799">
        <f t="shared" si="35"/>
        <v>1.0625</v>
      </c>
      <c r="BJ43" s="800">
        <f t="shared" si="36"/>
        <v>1.2842575458575851</v>
      </c>
    </row>
    <row r="44" spans="1:72" s="800" customFormat="1" ht="14.25" customHeight="1" thickBot="1" x14ac:dyDescent="0.3">
      <c r="A44" s="758"/>
      <c r="B44" s="1386"/>
      <c r="C44" s="1387"/>
      <c r="D44" s="1388">
        <v>28</v>
      </c>
      <c r="E44" s="1389">
        <v>29.625</v>
      </c>
      <c r="F44" s="1390">
        <v>0.5</v>
      </c>
      <c r="G44" s="1391" t="s">
        <v>86</v>
      </c>
      <c r="H44" s="1392">
        <v>1.25</v>
      </c>
      <c r="I44" s="1393">
        <v>65</v>
      </c>
      <c r="J44" s="1394">
        <f t="shared" si="38"/>
        <v>3.75</v>
      </c>
      <c r="K44" s="1395">
        <f t="shared" si="20"/>
        <v>34.125</v>
      </c>
      <c r="L44" s="1396" t="s">
        <v>87</v>
      </c>
      <c r="M44" s="1397" t="s">
        <v>88</v>
      </c>
      <c r="N44" s="1398">
        <f t="shared" si="43"/>
        <v>1.25</v>
      </c>
      <c r="O44" s="1399">
        <f t="shared" si="43"/>
        <v>65</v>
      </c>
      <c r="P44" s="1400">
        <v>34</v>
      </c>
      <c r="Q44" s="1401">
        <v>47.75</v>
      </c>
      <c r="R44" s="1402">
        <f t="shared" si="1"/>
        <v>21.375</v>
      </c>
      <c r="S44" s="1403">
        <f t="shared" si="21"/>
        <v>2.5</v>
      </c>
      <c r="T44" s="1404">
        <f>CEILING(1.3*AD44,0.25)</f>
        <v>2.5</v>
      </c>
      <c r="U44" s="1405">
        <v>2</v>
      </c>
      <c r="V44" s="1398">
        <f t="shared" si="39"/>
        <v>1.25</v>
      </c>
      <c r="W44" s="1406">
        <v>4.5</v>
      </c>
      <c r="X44" s="1403">
        <f t="shared" si="44"/>
        <v>65</v>
      </c>
      <c r="Y44" s="1407">
        <f t="shared" si="45"/>
        <v>30.875</v>
      </c>
      <c r="Z44" s="1408">
        <v>20</v>
      </c>
      <c r="AA44" s="1409">
        <v>2.375</v>
      </c>
      <c r="AB44" s="1410">
        <v>4.75</v>
      </c>
      <c r="AC44" s="1411" t="s">
        <v>181</v>
      </c>
      <c r="AD44" s="1412">
        <v>1.75</v>
      </c>
      <c r="AE44" s="1413">
        <f t="shared" si="22"/>
        <v>1.875</v>
      </c>
      <c r="AF44" s="1414">
        <f t="shared" si="3"/>
        <v>4.75</v>
      </c>
      <c r="AG44" s="1415" t="s">
        <v>179</v>
      </c>
      <c r="AH44" s="1416" t="s">
        <v>180</v>
      </c>
      <c r="AI44" s="1417" t="s">
        <v>180</v>
      </c>
      <c r="AJ44" s="1418">
        <f t="shared" si="4"/>
        <v>10</v>
      </c>
      <c r="AK44" s="1419">
        <f t="shared" si="5"/>
        <v>8.75</v>
      </c>
      <c r="AL44" s="1420">
        <v>13</v>
      </c>
      <c r="AM44" s="1421">
        <v>1.5</v>
      </c>
      <c r="AN44" s="1422">
        <f t="shared" si="6"/>
        <v>24.875</v>
      </c>
      <c r="AO44" s="1423" t="str">
        <f t="shared" si="7"/>
        <v>PL 1 1/4 x 47 3/4 x 52 3/4</v>
      </c>
      <c r="AP44" s="1424">
        <f t="shared" si="23"/>
        <v>977.54007368700081</v>
      </c>
      <c r="AQ44" s="1425">
        <f t="shared" si="24"/>
        <v>995.83170580253534</v>
      </c>
      <c r="AR44" s="796"/>
      <c r="AS44" s="797">
        <f t="shared" si="8"/>
        <v>52.75</v>
      </c>
      <c r="AT44" s="797">
        <f t="shared" si="25"/>
        <v>55.223308363883085</v>
      </c>
      <c r="AU44" s="797">
        <f t="shared" si="26"/>
        <v>136.26658134945728</v>
      </c>
      <c r="AV44" s="798">
        <f t="shared" si="19"/>
        <v>873.34236843500355</v>
      </c>
      <c r="AW44" s="798">
        <f t="shared" si="27"/>
        <v>825.03586534662088</v>
      </c>
      <c r="AX44" s="798">
        <f t="shared" si="46"/>
        <v>104.19770525199725</v>
      </c>
      <c r="AY44" s="798">
        <f t="shared" si="29"/>
        <v>114.42800805199725</v>
      </c>
      <c r="AZ44" s="798">
        <f t="shared" si="30"/>
        <v>1</v>
      </c>
      <c r="BA44" s="798">
        <f t="shared" si="9"/>
        <v>5</v>
      </c>
      <c r="BB44" s="799">
        <f t="shared" si="31"/>
        <v>0.10102051443364424</v>
      </c>
      <c r="BD44" s="909">
        <v>0.4375</v>
      </c>
      <c r="BE44" s="800">
        <f t="shared" si="10"/>
        <v>27</v>
      </c>
      <c r="BF44" s="800">
        <f t="shared" si="32"/>
        <v>28.75</v>
      </c>
      <c r="BG44" s="800">
        <f t="shared" si="33"/>
        <v>29.19351509171517</v>
      </c>
      <c r="BH44" s="801">
        <f t="shared" si="34"/>
        <v>0.3125</v>
      </c>
      <c r="BI44" s="799">
        <f t="shared" si="35"/>
        <v>1.1875</v>
      </c>
      <c r="BJ44" s="800">
        <f t="shared" si="36"/>
        <v>1.4092575458575851</v>
      </c>
    </row>
    <row r="46" spans="1:72" ht="15.75" x14ac:dyDescent="0.25">
      <c r="B46" s="676" t="s">
        <v>324</v>
      </c>
    </row>
    <row r="47" spans="1:72" ht="32.25" customHeight="1" thickBot="1" x14ac:dyDescent="0.3">
      <c r="C47" s="680" t="s">
        <v>325</v>
      </c>
      <c r="D47" s="680"/>
      <c r="E47" s="680" t="s">
        <v>326</v>
      </c>
      <c r="F47" s="680"/>
      <c r="G47" s="680" t="s">
        <v>327</v>
      </c>
      <c r="H47" s="680"/>
    </row>
    <row r="48" spans="1:72" ht="15.75" thickTop="1" x14ac:dyDescent="0.25">
      <c r="C48" s="681" t="s">
        <v>328</v>
      </c>
      <c r="D48" s="681"/>
      <c r="E48" s="682" t="s">
        <v>329</v>
      </c>
      <c r="F48" s="681"/>
      <c r="G48" s="681" t="s">
        <v>330</v>
      </c>
      <c r="H48" s="681"/>
    </row>
    <row r="49" spans="3:8" x14ac:dyDescent="0.25">
      <c r="C49" s="678" t="s">
        <v>331</v>
      </c>
      <c r="D49" s="678"/>
      <c r="E49" s="679" t="s">
        <v>332</v>
      </c>
      <c r="F49" s="678"/>
      <c r="G49" s="678" t="s">
        <v>330</v>
      </c>
      <c r="H49" s="678"/>
    </row>
    <row r="50" spans="3:8" x14ac:dyDescent="0.25">
      <c r="C50" s="678" t="s">
        <v>333</v>
      </c>
      <c r="D50" s="678"/>
      <c r="E50" s="679" t="s">
        <v>334</v>
      </c>
      <c r="F50" s="678"/>
      <c r="G50" s="678" t="s">
        <v>330</v>
      </c>
      <c r="H50" s="678"/>
    </row>
    <row r="51" spans="3:8" x14ac:dyDescent="0.25">
      <c r="C51" s="678" t="s">
        <v>333</v>
      </c>
      <c r="D51" s="678"/>
      <c r="E51" s="679" t="s">
        <v>335</v>
      </c>
      <c r="F51" s="678"/>
      <c r="G51" s="678" t="s">
        <v>336</v>
      </c>
      <c r="H51" s="678"/>
    </row>
    <row r="52" spans="3:8" x14ac:dyDescent="0.25">
      <c r="C52" s="678" t="s">
        <v>337</v>
      </c>
      <c r="D52" s="678"/>
      <c r="E52" s="679" t="s">
        <v>338</v>
      </c>
      <c r="F52" s="678"/>
      <c r="G52" s="678" t="s">
        <v>339</v>
      </c>
      <c r="H52" s="678"/>
    </row>
  </sheetData>
  <mergeCells count="63">
    <mergeCell ref="C51:D51"/>
    <mergeCell ref="E51:F51"/>
    <mergeCell ref="G51:H51"/>
    <mergeCell ref="C52:D52"/>
    <mergeCell ref="E52:F52"/>
    <mergeCell ref="G52:H52"/>
    <mergeCell ref="C49:D49"/>
    <mergeCell ref="E49:F49"/>
    <mergeCell ref="G49:H49"/>
    <mergeCell ref="C50:D50"/>
    <mergeCell ref="E50:F50"/>
    <mergeCell ref="G50:H50"/>
    <mergeCell ref="C47:D47"/>
    <mergeCell ref="E47:F47"/>
    <mergeCell ref="G47:H47"/>
    <mergeCell ref="C48:D48"/>
    <mergeCell ref="E48:F48"/>
    <mergeCell ref="G48:H48"/>
    <mergeCell ref="AK5:AK6"/>
    <mergeCell ref="AL5:AL6"/>
    <mergeCell ref="AM5:AN5"/>
    <mergeCell ref="AO5:AO6"/>
    <mergeCell ref="AP5:AP6"/>
    <mergeCell ref="AQ5:AQ6"/>
    <mergeCell ref="AB5:AB6"/>
    <mergeCell ref="AC5:AC6"/>
    <mergeCell ref="AD5:AD6"/>
    <mergeCell ref="AE5:AE6"/>
    <mergeCell ref="AF5:AI5"/>
    <mergeCell ref="AJ5:AJ6"/>
    <mergeCell ref="V5:V6"/>
    <mergeCell ref="W5:W6"/>
    <mergeCell ref="X5:X6"/>
    <mergeCell ref="Y5:Y6"/>
    <mergeCell ref="Z5:Z6"/>
    <mergeCell ref="AA5:AA6"/>
    <mergeCell ref="P5:P6"/>
    <mergeCell ref="Q5:Q6"/>
    <mergeCell ref="R5:R6"/>
    <mergeCell ref="S5:S6"/>
    <mergeCell ref="T5:T6"/>
    <mergeCell ref="U5:U6"/>
    <mergeCell ref="J5:J6"/>
    <mergeCell ref="K5:K6"/>
    <mergeCell ref="L5:L6"/>
    <mergeCell ref="M5:M6"/>
    <mergeCell ref="N5:N6"/>
    <mergeCell ref="O5:O6"/>
    <mergeCell ref="B5:C5"/>
    <mergeCell ref="D5:E5"/>
    <mergeCell ref="F5:F6"/>
    <mergeCell ref="G5:G6"/>
    <mergeCell ref="H5:H6"/>
    <mergeCell ref="I5:I6"/>
    <mergeCell ref="G2:H2"/>
    <mergeCell ref="BE3:BJ3"/>
    <mergeCell ref="B4:F4"/>
    <mergeCell ref="G4:K4"/>
    <mergeCell ref="L4:P4"/>
    <mergeCell ref="Q4:T4"/>
    <mergeCell ref="U4:Y4"/>
    <mergeCell ref="Z4:AI4"/>
    <mergeCell ref="AJ4:AQ4"/>
  </mergeCells>
  <conditionalFormatting sqref="BB20 BB25:BB30 BB33:BB44">
    <cfRule type="cellIs" dxfId="18" priority="19" operator="greaterThan">
      <formula>$BB$5</formula>
    </cfRule>
  </conditionalFormatting>
  <conditionalFormatting sqref="BB10">
    <cfRule type="cellIs" dxfId="17" priority="14" operator="greaterThan">
      <formula>$BB$5</formula>
    </cfRule>
  </conditionalFormatting>
  <conditionalFormatting sqref="BB13">
    <cfRule type="cellIs" dxfId="16" priority="11" operator="greaterThan">
      <formula>$BB$5</formula>
    </cfRule>
  </conditionalFormatting>
  <conditionalFormatting sqref="BB15">
    <cfRule type="cellIs" dxfId="15" priority="9" operator="greaterThan">
      <formula>$BB$5</formula>
    </cfRule>
  </conditionalFormatting>
  <conditionalFormatting sqref="BB11">
    <cfRule type="cellIs" dxfId="14" priority="13" operator="greaterThan">
      <formula>$BB$5</formula>
    </cfRule>
  </conditionalFormatting>
  <conditionalFormatting sqref="BB16">
    <cfRule type="cellIs" dxfId="13" priority="8" operator="greaterThan">
      <formula>$BB$5</formula>
    </cfRule>
  </conditionalFormatting>
  <conditionalFormatting sqref="BB31:BB32">
    <cfRule type="cellIs" dxfId="12" priority="18" operator="greaterThan">
      <formula>$BB$5</formula>
    </cfRule>
  </conditionalFormatting>
  <conditionalFormatting sqref="BB9">
    <cfRule type="cellIs" dxfId="11" priority="17" operator="greaterThan">
      <formula>$BB$5</formula>
    </cfRule>
  </conditionalFormatting>
  <conditionalFormatting sqref="BB19">
    <cfRule type="cellIs" dxfId="10" priority="5" operator="greaterThan">
      <formula>$BB$5</formula>
    </cfRule>
  </conditionalFormatting>
  <conditionalFormatting sqref="BB14">
    <cfRule type="cellIs" dxfId="9" priority="10" operator="greaterThan">
      <formula>$BB$5</formula>
    </cfRule>
  </conditionalFormatting>
  <conditionalFormatting sqref="BB17">
    <cfRule type="cellIs" dxfId="8" priority="7" operator="greaterThan">
      <formula>$BB$5</formula>
    </cfRule>
  </conditionalFormatting>
  <conditionalFormatting sqref="BB21">
    <cfRule type="cellIs" dxfId="7" priority="1" operator="greaterThan">
      <formula>$BB$5</formula>
    </cfRule>
  </conditionalFormatting>
  <conditionalFormatting sqref="BB22">
    <cfRule type="cellIs" dxfId="6" priority="4" operator="greaterThan">
      <formula>$BB$5</formula>
    </cfRule>
  </conditionalFormatting>
  <conditionalFormatting sqref="BB8">
    <cfRule type="cellIs" dxfId="5" priority="16" operator="greaterThan">
      <formula>$BB$5</formula>
    </cfRule>
  </conditionalFormatting>
  <conditionalFormatting sqref="BB7">
    <cfRule type="cellIs" dxfId="4" priority="15" operator="greaterThan">
      <formula>$BB$5</formula>
    </cfRule>
  </conditionalFormatting>
  <conditionalFormatting sqref="BB12">
    <cfRule type="cellIs" dxfId="3" priority="12" operator="greaterThan">
      <formula>$BB$5</formula>
    </cfRule>
  </conditionalFormatting>
  <conditionalFormatting sqref="BB18">
    <cfRule type="cellIs" dxfId="2" priority="6" operator="greaterThan">
      <formula>$BB$5</formula>
    </cfRule>
  </conditionalFormatting>
  <conditionalFormatting sqref="BB23">
    <cfRule type="cellIs" dxfId="1" priority="3" operator="greaterThan">
      <formula>$BB$5</formula>
    </cfRule>
  </conditionalFormatting>
  <conditionalFormatting sqref="BB24">
    <cfRule type="cellIs" dxfId="0" priority="2" operator="greaterThan">
      <formula>$BB$5</formula>
    </cfRule>
  </conditionalFormatting>
  <pageMargins left="0.4" right="0.15" top="1" bottom="0.65" header="0.4" footer="0.4"/>
  <pageSetup paperSize="119" scale="6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3"/>
  <sheetViews>
    <sheetView topLeftCell="H1" workbookViewId="0">
      <selection activeCell="L22" sqref="L22"/>
    </sheetView>
  </sheetViews>
  <sheetFormatPr defaultRowHeight="15" x14ac:dyDescent="0.25"/>
  <sheetData>
    <row r="1" spans="1:27" s="3" customFormat="1" ht="45" x14ac:dyDescent="0.25">
      <c r="A1" s="3" t="s">
        <v>92</v>
      </c>
      <c r="B1" s="3" t="s">
        <v>93</v>
      </c>
      <c r="C1" s="3" t="s">
        <v>110</v>
      </c>
      <c r="D1" s="3" t="s">
        <v>94</v>
      </c>
      <c r="E1" s="3" t="s">
        <v>90</v>
      </c>
      <c r="F1" s="3" t="s">
        <v>95</v>
      </c>
      <c r="G1" s="3" t="s">
        <v>109</v>
      </c>
      <c r="H1" s="3" t="s">
        <v>108</v>
      </c>
      <c r="I1" s="3" t="s">
        <v>97</v>
      </c>
      <c r="J1" s="3" t="s">
        <v>98</v>
      </c>
      <c r="K1" s="3" t="s">
        <v>99</v>
      </c>
      <c r="L1" s="3" t="s">
        <v>0</v>
      </c>
      <c r="M1" s="3" t="s">
        <v>89</v>
      </c>
      <c r="N1" s="3" t="s">
        <v>100</v>
      </c>
      <c r="O1" s="3" t="s">
        <v>101</v>
      </c>
      <c r="P1" s="3" t="s">
        <v>102</v>
      </c>
      <c r="Q1" s="3" t="s">
        <v>103</v>
      </c>
      <c r="R1" s="3" t="s">
        <v>2</v>
      </c>
      <c r="S1" s="3" t="s">
        <v>259</v>
      </c>
      <c r="T1" s="3" t="s">
        <v>260</v>
      </c>
      <c r="U1" s="3" t="s">
        <v>104</v>
      </c>
      <c r="V1" s="3" t="s">
        <v>1</v>
      </c>
      <c r="W1" s="3" t="s">
        <v>105</v>
      </c>
      <c r="X1" s="3" t="s">
        <v>258</v>
      </c>
      <c r="Y1" s="3" t="s">
        <v>96</v>
      </c>
      <c r="Z1" s="3" t="s">
        <v>106</v>
      </c>
      <c r="AA1" s="3" t="s">
        <v>107</v>
      </c>
    </row>
    <row r="2" spans="1:27" s="6" customFormat="1" x14ac:dyDescent="0.25">
      <c r="A2" s="6">
        <f>B2-0.25</f>
        <v>5.75</v>
      </c>
      <c r="B2" s="6">
        <v>6</v>
      </c>
      <c r="C2" s="8" t="s">
        <v>244</v>
      </c>
      <c r="D2" s="6">
        <v>0.25</v>
      </c>
      <c r="E2" s="6" t="s">
        <v>256</v>
      </c>
      <c r="F2" s="6">
        <v>0.625</v>
      </c>
      <c r="G2" s="6">
        <v>9.125</v>
      </c>
      <c r="H2" s="6">
        <v>1.5</v>
      </c>
      <c r="I2" s="6" t="s">
        <v>114</v>
      </c>
      <c r="J2" s="6" t="s">
        <v>115</v>
      </c>
      <c r="K2" s="6">
        <v>0.625</v>
      </c>
      <c r="L2" s="6">
        <v>9</v>
      </c>
      <c r="M2" s="6">
        <v>11</v>
      </c>
      <c r="N2" s="6">
        <v>0</v>
      </c>
      <c r="O2" s="6">
        <v>0</v>
      </c>
      <c r="P2" s="6">
        <v>0</v>
      </c>
      <c r="Q2" s="6">
        <v>0</v>
      </c>
      <c r="R2" s="6">
        <v>4</v>
      </c>
      <c r="S2" s="6">
        <v>4</v>
      </c>
      <c r="T2" s="6">
        <v>0</v>
      </c>
      <c r="U2" s="6" t="s">
        <v>6</v>
      </c>
      <c r="V2" s="6">
        <v>1</v>
      </c>
      <c r="W2" s="6">
        <v>3</v>
      </c>
      <c r="X2" s="6">
        <v>5.5</v>
      </c>
      <c r="Y2" s="6">
        <v>4.625</v>
      </c>
      <c r="Z2" s="6">
        <f>AA2/1.06</f>
        <v>33.962264150943398</v>
      </c>
      <c r="AA2" s="6">
        <v>36</v>
      </c>
    </row>
    <row r="3" spans="1:27" s="6" customFormat="1" x14ac:dyDescent="0.25">
      <c r="A3" s="6">
        <f t="shared" ref="A3:A13" si="0">B3-0.25</f>
        <v>7.75</v>
      </c>
      <c r="B3" s="6">
        <v>8</v>
      </c>
      <c r="C3" s="8" t="s">
        <v>244</v>
      </c>
      <c r="D3" s="6">
        <v>0.25</v>
      </c>
      <c r="E3" s="6" t="s">
        <v>246</v>
      </c>
      <c r="F3" s="6">
        <v>0.625</v>
      </c>
      <c r="G3" s="6">
        <v>11.125</v>
      </c>
      <c r="H3" s="6">
        <v>1.5</v>
      </c>
      <c r="I3" s="6" t="s">
        <v>116</v>
      </c>
      <c r="J3" s="6" t="s">
        <v>117</v>
      </c>
      <c r="K3" s="6">
        <v>0.625</v>
      </c>
      <c r="L3" s="6">
        <v>11</v>
      </c>
      <c r="M3" s="6">
        <v>15</v>
      </c>
      <c r="N3" s="6">
        <v>0</v>
      </c>
      <c r="O3" s="6">
        <v>0</v>
      </c>
      <c r="P3" s="6">
        <v>0</v>
      </c>
      <c r="Q3" s="6">
        <v>0</v>
      </c>
      <c r="R3" s="6">
        <v>8</v>
      </c>
      <c r="S3" s="6">
        <v>3</v>
      </c>
      <c r="T3" s="6">
        <v>3</v>
      </c>
      <c r="U3" s="6" t="s">
        <v>6</v>
      </c>
      <c r="V3" s="6">
        <v>1</v>
      </c>
      <c r="W3" s="6">
        <v>3</v>
      </c>
      <c r="X3" s="6">
        <v>5.5</v>
      </c>
      <c r="Y3" s="6">
        <v>4.625</v>
      </c>
      <c r="Z3" s="6">
        <f t="shared" ref="Z3:Z12" si="1">AA3/1.06</f>
        <v>51.886792452830186</v>
      </c>
      <c r="AA3" s="6">
        <v>55</v>
      </c>
    </row>
    <row r="4" spans="1:27" s="6" customFormat="1" x14ac:dyDescent="0.25">
      <c r="A4" s="6">
        <f t="shared" si="0"/>
        <v>9.75</v>
      </c>
      <c r="B4" s="6">
        <v>10</v>
      </c>
      <c r="C4" s="8" t="s">
        <v>244</v>
      </c>
      <c r="D4" s="6">
        <v>0.3125</v>
      </c>
      <c r="E4" s="6" t="s">
        <v>247</v>
      </c>
      <c r="F4" s="6">
        <v>0.75</v>
      </c>
      <c r="G4" s="6">
        <v>13.125</v>
      </c>
      <c r="H4" s="6">
        <v>1.5</v>
      </c>
      <c r="I4" s="6" t="s">
        <v>112</v>
      </c>
      <c r="J4" s="6" t="s">
        <v>113</v>
      </c>
      <c r="K4" s="6">
        <v>0.75</v>
      </c>
      <c r="L4" s="6">
        <v>13</v>
      </c>
      <c r="M4" s="6">
        <v>17</v>
      </c>
      <c r="N4" s="6">
        <v>0</v>
      </c>
      <c r="O4" s="6">
        <v>0</v>
      </c>
      <c r="P4" s="6">
        <v>0</v>
      </c>
      <c r="Q4" s="6">
        <v>0</v>
      </c>
      <c r="R4" s="6">
        <v>8</v>
      </c>
      <c r="S4" s="6">
        <v>4</v>
      </c>
      <c r="T4" s="6">
        <v>3</v>
      </c>
      <c r="U4" s="6" t="s">
        <v>6</v>
      </c>
      <c r="V4" s="6">
        <v>1</v>
      </c>
      <c r="W4" s="6">
        <v>3.25</v>
      </c>
      <c r="X4" s="6">
        <v>5.75</v>
      </c>
      <c r="Y4" s="6">
        <v>5</v>
      </c>
      <c r="Z4" s="6">
        <f t="shared" si="1"/>
        <v>79.245283018867923</v>
      </c>
      <c r="AA4" s="6">
        <v>84</v>
      </c>
    </row>
    <row r="5" spans="1:27" s="6" customFormat="1" x14ac:dyDescent="0.25">
      <c r="A5" s="6">
        <f t="shared" si="0"/>
        <v>11.75</v>
      </c>
      <c r="B5" s="6">
        <v>12</v>
      </c>
      <c r="C5" s="8" t="s">
        <v>244</v>
      </c>
      <c r="D5" s="6">
        <v>0.3125</v>
      </c>
      <c r="E5" s="6" t="s">
        <v>248</v>
      </c>
      <c r="F5" s="6">
        <v>0.75</v>
      </c>
      <c r="G5" s="6">
        <v>15.125</v>
      </c>
      <c r="H5" s="6">
        <v>1.5</v>
      </c>
      <c r="I5" s="6" t="s">
        <v>118</v>
      </c>
      <c r="J5" s="6" t="s">
        <v>119</v>
      </c>
      <c r="K5" s="6">
        <v>0.75</v>
      </c>
      <c r="L5" s="6">
        <v>15</v>
      </c>
      <c r="M5" s="6">
        <v>21</v>
      </c>
      <c r="N5" s="6">
        <v>0</v>
      </c>
      <c r="O5" s="6">
        <v>0</v>
      </c>
      <c r="P5" s="6">
        <v>0</v>
      </c>
      <c r="Q5" s="6">
        <v>0</v>
      </c>
      <c r="R5" s="6">
        <v>12</v>
      </c>
      <c r="S5" s="6">
        <v>3</v>
      </c>
      <c r="T5" s="6">
        <v>3</v>
      </c>
      <c r="U5" s="6" t="s">
        <v>6</v>
      </c>
      <c r="V5" s="6">
        <v>1</v>
      </c>
      <c r="W5" s="6">
        <v>3.25</v>
      </c>
      <c r="X5" s="6">
        <v>5.75</v>
      </c>
      <c r="Y5" s="6">
        <v>5</v>
      </c>
      <c r="Z5" s="6">
        <f t="shared" si="1"/>
        <v>105.66037735849056</v>
      </c>
      <c r="AA5" s="6">
        <v>112</v>
      </c>
    </row>
    <row r="6" spans="1:27" s="6" customFormat="1" x14ac:dyDescent="0.25">
      <c r="A6" s="6">
        <f t="shared" si="0"/>
        <v>13.75</v>
      </c>
      <c r="B6" s="6">
        <v>14</v>
      </c>
      <c r="C6" s="8" t="s">
        <v>244</v>
      </c>
      <c r="D6" s="6">
        <v>0.3125</v>
      </c>
      <c r="E6" s="6" t="s">
        <v>249</v>
      </c>
      <c r="F6" s="6">
        <v>0.75</v>
      </c>
      <c r="G6" s="6">
        <v>17.125</v>
      </c>
      <c r="H6" s="6">
        <v>1.75</v>
      </c>
      <c r="I6" s="6" t="s">
        <v>120</v>
      </c>
      <c r="J6" s="6" t="s">
        <v>121</v>
      </c>
      <c r="K6" s="6">
        <v>0.75</v>
      </c>
      <c r="L6" s="6">
        <v>17</v>
      </c>
      <c r="M6" s="6">
        <v>27.5</v>
      </c>
      <c r="N6" s="6">
        <v>2</v>
      </c>
      <c r="O6" s="6">
        <v>0.75</v>
      </c>
      <c r="P6" s="6">
        <v>4.5</v>
      </c>
      <c r="Q6" s="6">
        <v>15.25</v>
      </c>
      <c r="R6" s="6">
        <v>12</v>
      </c>
      <c r="S6" s="6">
        <v>4</v>
      </c>
      <c r="T6" s="6">
        <v>4</v>
      </c>
      <c r="U6" s="6" t="s">
        <v>6</v>
      </c>
      <c r="V6" s="6">
        <v>1.25</v>
      </c>
      <c r="W6" s="6">
        <v>3.5</v>
      </c>
      <c r="X6" s="6">
        <v>6.25</v>
      </c>
      <c r="Y6" s="6">
        <v>5.25</v>
      </c>
      <c r="Z6" s="6">
        <f t="shared" si="1"/>
        <v>156.60377358490564</v>
      </c>
      <c r="AA6" s="6">
        <v>166</v>
      </c>
    </row>
    <row r="7" spans="1:27" s="6" customFormat="1" x14ac:dyDescent="0.25">
      <c r="A7" s="6">
        <f t="shared" si="0"/>
        <v>16.25</v>
      </c>
      <c r="B7" s="6">
        <v>16.5</v>
      </c>
      <c r="C7" s="8" t="s">
        <v>244</v>
      </c>
      <c r="D7" s="6">
        <v>0.375</v>
      </c>
      <c r="E7" s="6" t="s">
        <v>250</v>
      </c>
      <c r="F7" s="6">
        <v>0.75</v>
      </c>
      <c r="G7" s="6">
        <v>19.625</v>
      </c>
      <c r="H7" s="6">
        <v>1.75</v>
      </c>
      <c r="I7" s="6" t="s">
        <v>122</v>
      </c>
      <c r="J7" s="6" t="s">
        <v>123</v>
      </c>
      <c r="K7" s="6">
        <v>0.75</v>
      </c>
      <c r="L7" s="6">
        <v>19.5</v>
      </c>
      <c r="M7" s="6">
        <v>26</v>
      </c>
      <c r="N7" s="6">
        <v>2</v>
      </c>
      <c r="O7" s="6">
        <v>0.75</v>
      </c>
      <c r="P7" s="6">
        <v>4.5</v>
      </c>
      <c r="Q7" s="6">
        <v>17.75</v>
      </c>
      <c r="R7" s="6">
        <v>12</v>
      </c>
      <c r="S7" s="6">
        <v>3.75</v>
      </c>
      <c r="T7" s="6">
        <v>3.75</v>
      </c>
      <c r="U7" s="6" t="s">
        <v>6</v>
      </c>
      <c r="V7" s="6">
        <v>1.25</v>
      </c>
      <c r="W7" s="6">
        <v>3.5</v>
      </c>
      <c r="X7" s="6">
        <v>6.25</v>
      </c>
      <c r="Y7" s="6">
        <v>5.25</v>
      </c>
      <c r="Z7" s="6">
        <f t="shared" si="1"/>
        <v>159.43396226415095</v>
      </c>
      <c r="AA7" s="6">
        <v>169</v>
      </c>
    </row>
    <row r="8" spans="1:27" s="6" customFormat="1" x14ac:dyDescent="0.25">
      <c r="A8" s="6">
        <f t="shared" si="0"/>
        <v>16.25</v>
      </c>
      <c r="B8" s="6">
        <v>16.5</v>
      </c>
      <c r="C8" s="8" t="s">
        <v>244</v>
      </c>
      <c r="D8" s="6">
        <v>0.375</v>
      </c>
      <c r="E8" s="6" t="s">
        <v>251</v>
      </c>
      <c r="F8" s="6">
        <v>1</v>
      </c>
      <c r="G8" s="6">
        <v>20.625</v>
      </c>
      <c r="H8" s="6">
        <v>2</v>
      </c>
      <c r="I8" s="6" t="s">
        <v>124</v>
      </c>
      <c r="J8" s="6" t="s">
        <v>125</v>
      </c>
      <c r="K8" s="6">
        <v>0.75</v>
      </c>
      <c r="L8" s="6">
        <v>20.5</v>
      </c>
      <c r="M8" s="6">
        <v>29</v>
      </c>
      <c r="N8" s="6">
        <v>2</v>
      </c>
      <c r="O8" s="6">
        <v>1</v>
      </c>
      <c r="P8" s="6">
        <v>4.5</v>
      </c>
      <c r="Q8" s="6">
        <v>17.75</v>
      </c>
      <c r="R8" s="6">
        <v>12</v>
      </c>
      <c r="S8" s="6">
        <v>4.5</v>
      </c>
      <c r="T8" s="6">
        <v>4</v>
      </c>
      <c r="U8" s="7" t="s">
        <v>64</v>
      </c>
      <c r="V8" s="6">
        <v>1.5</v>
      </c>
      <c r="W8" s="6">
        <v>4</v>
      </c>
      <c r="X8" s="6">
        <v>7.5</v>
      </c>
      <c r="Y8" s="6">
        <v>6.5</v>
      </c>
      <c r="Z8" s="6">
        <f t="shared" si="1"/>
        <v>260.37735849056605</v>
      </c>
      <c r="AA8" s="6">
        <v>276</v>
      </c>
    </row>
    <row r="9" spans="1:27" s="6" customFormat="1" x14ac:dyDescent="0.25">
      <c r="A9" s="6">
        <f t="shared" si="0"/>
        <v>17.75</v>
      </c>
      <c r="B9" s="6">
        <v>18</v>
      </c>
      <c r="C9" s="8" t="s">
        <v>244</v>
      </c>
      <c r="D9" s="6">
        <v>0.375</v>
      </c>
      <c r="E9" s="6" t="s">
        <v>252</v>
      </c>
      <c r="F9" s="6">
        <v>1</v>
      </c>
      <c r="G9" s="6">
        <v>22.125</v>
      </c>
      <c r="H9" s="6">
        <v>1.75</v>
      </c>
      <c r="I9" s="6" t="s">
        <v>126</v>
      </c>
      <c r="J9" s="6" t="s">
        <v>127</v>
      </c>
      <c r="K9" s="6">
        <v>0.75</v>
      </c>
      <c r="L9" s="6">
        <v>22</v>
      </c>
      <c r="M9" s="6">
        <v>31.5</v>
      </c>
      <c r="N9" s="6">
        <v>2</v>
      </c>
      <c r="O9" s="6">
        <v>1</v>
      </c>
      <c r="P9" s="6">
        <v>4.5</v>
      </c>
      <c r="Q9" s="6">
        <v>19.25</v>
      </c>
      <c r="R9" s="6">
        <v>16</v>
      </c>
      <c r="S9" s="6">
        <v>3.5</v>
      </c>
      <c r="T9" s="6">
        <v>3.5</v>
      </c>
      <c r="U9" s="6" t="s">
        <v>6</v>
      </c>
      <c r="V9" s="6">
        <v>1.25</v>
      </c>
      <c r="W9" s="6">
        <v>4</v>
      </c>
      <c r="X9" s="6">
        <v>7</v>
      </c>
      <c r="Y9" s="6">
        <v>6.25</v>
      </c>
      <c r="Z9" s="6">
        <f t="shared" si="1"/>
        <v>288.67924528301887</v>
      </c>
      <c r="AA9" s="6">
        <v>306</v>
      </c>
    </row>
    <row r="10" spans="1:27" s="6" customFormat="1" x14ac:dyDescent="0.25">
      <c r="A10" s="6">
        <f t="shared" si="0"/>
        <v>23.25</v>
      </c>
      <c r="B10" s="6">
        <v>23.5</v>
      </c>
      <c r="C10" s="8" t="s">
        <v>244</v>
      </c>
      <c r="D10" s="6">
        <v>0.375</v>
      </c>
      <c r="E10" s="6" t="s">
        <v>253</v>
      </c>
      <c r="F10" s="6">
        <v>1</v>
      </c>
      <c r="G10" s="6">
        <v>27.625</v>
      </c>
      <c r="H10" s="6">
        <v>1.75</v>
      </c>
      <c r="I10" s="6" t="s">
        <v>128</v>
      </c>
      <c r="J10" s="6" t="s">
        <v>129</v>
      </c>
      <c r="K10" s="6">
        <v>0.75</v>
      </c>
      <c r="L10" s="6">
        <v>27.5</v>
      </c>
      <c r="M10" s="6">
        <v>38.5</v>
      </c>
      <c r="N10" s="6">
        <v>2</v>
      </c>
      <c r="O10" s="6">
        <v>1</v>
      </c>
      <c r="P10" s="6">
        <v>4.5</v>
      </c>
      <c r="Q10" s="6">
        <v>24.75</v>
      </c>
      <c r="R10" s="6">
        <v>20</v>
      </c>
      <c r="S10" s="6">
        <v>3.5</v>
      </c>
      <c r="T10" s="6">
        <v>3.5</v>
      </c>
      <c r="U10" s="6" t="s">
        <v>6</v>
      </c>
      <c r="V10" s="6">
        <v>1.25</v>
      </c>
      <c r="W10" s="6">
        <v>4</v>
      </c>
      <c r="X10" s="6">
        <v>7</v>
      </c>
      <c r="Y10" s="6">
        <v>6.25</v>
      </c>
      <c r="Z10" s="6">
        <f t="shared" si="1"/>
        <v>408.49056603773585</v>
      </c>
      <c r="AA10" s="6">
        <v>433</v>
      </c>
    </row>
    <row r="11" spans="1:27" s="6" customFormat="1" x14ac:dyDescent="0.25">
      <c r="A11" s="6">
        <f t="shared" si="0"/>
        <v>20.75</v>
      </c>
      <c r="B11" s="6">
        <v>21</v>
      </c>
      <c r="C11" s="8" t="s">
        <v>244</v>
      </c>
      <c r="D11" s="6">
        <v>0.375</v>
      </c>
      <c r="E11" s="6" t="s">
        <v>254</v>
      </c>
      <c r="F11" s="6">
        <v>1</v>
      </c>
      <c r="G11" s="6">
        <v>25.125</v>
      </c>
      <c r="H11" s="6">
        <v>2</v>
      </c>
      <c r="I11" s="6" t="s">
        <v>130</v>
      </c>
      <c r="J11" s="6" t="s">
        <v>131</v>
      </c>
      <c r="K11" s="6">
        <v>1</v>
      </c>
      <c r="L11" s="6">
        <v>25</v>
      </c>
      <c r="M11" s="6">
        <v>31</v>
      </c>
      <c r="N11" s="6">
        <v>2</v>
      </c>
      <c r="O11" s="6">
        <v>1</v>
      </c>
      <c r="P11" s="6">
        <v>4.5</v>
      </c>
      <c r="Q11" s="6">
        <v>22.25</v>
      </c>
      <c r="R11" s="6">
        <v>12</v>
      </c>
      <c r="S11" s="6">
        <v>4.5</v>
      </c>
      <c r="T11" s="6">
        <v>4.5</v>
      </c>
      <c r="U11" s="6" t="s">
        <v>6</v>
      </c>
      <c r="V11" s="6">
        <v>1.5</v>
      </c>
      <c r="W11" s="6">
        <v>4.5</v>
      </c>
      <c r="X11" s="6">
        <v>7.5</v>
      </c>
      <c r="Y11" s="6">
        <v>6.5</v>
      </c>
      <c r="Z11" s="6">
        <f t="shared" si="1"/>
        <v>316.98113207547169</v>
      </c>
      <c r="AA11" s="6">
        <v>336</v>
      </c>
    </row>
    <row r="12" spans="1:27" s="6" customFormat="1" x14ac:dyDescent="0.25">
      <c r="A12" s="6">
        <f t="shared" si="0"/>
        <v>6</v>
      </c>
      <c r="B12" s="6">
        <v>6.25</v>
      </c>
      <c r="C12" s="8" t="s">
        <v>245</v>
      </c>
      <c r="D12" s="6">
        <v>0.25</v>
      </c>
      <c r="E12" s="8" t="s">
        <v>257</v>
      </c>
      <c r="F12" s="6">
        <v>0.625</v>
      </c>
      <c r="G12" s="6">
        <v>9.125</v>
      </c>
      <c r="H12" s="6">
        <v>1.5</v>
      </c>
      <c r="I12" s="6" t="s">
        <v>132</v>
      </c>
      <c r="J12" s="6" t="s">
        <v>133</v>
      </c>
      <c r="K12" s="6">
        <v>0.625</v>
      </c>
      <c r="L12" s="6">
        <v>9</v>
      </c>
      <c r="M12" s="6">
        <v>16</v>
      </c>
      <c r="N12" s="6">
        <v>0</v>
      </c>
      <c r="O12" s="6">
        <v>0</v>
      </c>
      <c r="P12" s="6">
        <v>0</v>
      </c>
      <c r="Q12" s="6">
        <v>0</v>
      </c>
      <c r="R12" s="6">
        <v>8</v>
      </c>
      <c r="S12" s="6">
        <v>3.5</v>
      </c>
      <c r="T12" s="6">
        <v>3</v>
      </c>
      <c r="U12" s="6" t="s">
        <v>6</v>
      </c>
      <c r="V12" s="6">
        <v>1</v>
      </c>
      <c r="W12" s="6">
        <v>3</v>
      </c>
      <c r="X12" s="6">
        <v>5.5</v>
      </c>
      <c r="Y12" s="6">
        <v>4.625</v>
      </c>
      <c r="Z12" s="6">
        <f t="shared" si="1"/>
        <v>50</v>
      </c>
      <c r="AA12" s="6">
        <v>53</v>
      </c>
    </row>
    <row r="13" spans="1:27" s="6" customFormat="1" x14ac:dyDescent="0.25">
      <c r="A13" s="6">
        <f t="shared" si="0"/>
        <v>4.75</v>
      </c>
      <c r="B13" s="6">
        <v>5</v>
      </c>
      <c r="C13" s="8" t="s">
        <v>244</v>
      </c>
      <c r="D13" s="6">
        <v>0.25</v>
      </c>
      <c r="E13" s="8" t="s">
        <v>255</v>
      </c>
      <c r="F13" s="6">
        <v>0.625</v>
      </c>
      <c r="G13" s="6">
        <v>9.125</v>
      </c>
      <c r="H13" s="6">
        <v>1.5</v>
      </c>
      <c r="I13" s="6" t="s">
        <v>132</v>
      </c>
      <c r="J13" s="6" t="s">
        <v>133</v>
      </c>
      <c r="K13" s="6">
        <v>0.625</v>
      </c>
      <c r="L13" s="6">
        <v>9</v>
      </c>
      <c r="M13" s="6">
        <v>16</v>
      </c>
      <c r="N13" s="6">
        <v>0</v>
      </c>
      <c r="O13" s="6">
        <v>0</v>
      </c>
      <c r="P13" s="6">
        <v>0</v>
      </c>
      <c r="Q13" s="6">
        <v>0</v>
      </c>
      <c r="R13" s="6">
        <v>8</v>
      </c>
      <c r="S13" s="6">
        <v>3.5</v>
      </c>
      <c r="T13" s="6">
        <v>3</v>
      </c>
      <c r="U13" s="6" t="s">
        <v>6</v>
      </c>
      <c r="V13" s="6">
        <v>1</v>
      </c>
      <c r="W13" s="6">
        <v>3</v>
      </c>
      <c r="X13" s="6">
        <v>5.5</v>
      </c>
      <c r="Y13" s="6">
        <v>4.625</v>
      </c>
      <c r="Z13" s="6">
        <f t="shared" ref="Z13" si="2">AA13/1.06</f>
        <v>50</v>
      </c>
      <c r="AA13" s="6">
        <v>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728"/>
  <sheetViews>
    <sheetView topLeftCell="A4" workbookViewId="0">
      <selection activeCell="A2" sqref="A2"/>
    </sheetView>
  </sheetViews>
  <sheetFormatPr defaultRowHeight="15" x14ac:dyDescent="0.25"/>
  <cols>
    <col min="1" max="1" width="36" customWidth="1"/>
    <col min="2" max="2" width="19.5703125" style="672" customWidth="1"/>
    <col min="3" max="3" width="20.7109375" bestFit="1" customWidth="1"/>
    <col min="4" max="4" width="20.7109375" style="673" customWidth="1"/>
    <col min="5" max="5" width="12.7109375" style="672" bestFit="1" customWidth="1"/>
  </cols>
  <sheetData>
    <row r="1" spans="1:5" s="1" customFormat="1" x14ac:dyDescent="0.25">
      <c r="A1" s="1" t="s">
        <v>303</v>
      </c>
      <c r="B1" s="671" t="s">
        <v>304</v>
      </c>
      <c r="C1" s="1" t="s">
        <v>305</v>
      </c>
      <c r="D1" s="1" t="s">
        <v>372</v>
      </c>
      <c r="E1" s="671" t="s">
        <v>371</v>
      </c>
    </row>
    <row r="2" spans="1:5" x14ac:dyDescent="0.25">
      <c r="A2" s="670" t="s">
        <v>142</v>
      </c>
      <c r="B2" s="672" t="s">
        <v>275</v>
      </c>
      <c r="C2" t="s">
        <v>340</v>
      </c>
      <c r="D2" s="673">
        <f t="shared" ref="D2:D20" si="0">CODE($E2) - 64</f>
        <v>2</v>
      </c>
      <c r="E2" s="672" t="s">
        <v>345</v>
      </c>
    </row>
    <row r="3" spans="1:5" x14ac:dyDescent="0.25">
      <c r="A3" s="670" t="s">
        <v>143</v>
      </c>
      <c r="B3" s="672" t="s">
        <v>276</v>
      </c>
      <c r="C3" t="s">
        <v>341</v>
      </c>
      <c r="D3" s="673">
        <f t="shared" si="0"/>
        <v>3</v>
      </c>
      <c r="E3" s="672" t="s">
        <v>346</v>
      </c>
    </row>
    <row r="4" spans="1:5" x14ac:dyDescent="0.25">
      <c r="A4" s="670" t="s">
        <v>142</v>
      </c>
      <c r="B4" s="672" t="s">
        <v>275</v>
      </c>
      <c r="C4" t="s">
        <v>92</v>
      </c>
      <c r="D4" s="673">
        <f t="shared" si="0"/>
        <v>4</v>
      </c>
      <c r="E4" s="672" t="s">
        <v>347</v>
      </c>
    </row>
    <row r="5" spans="1:5" x14ac:dyDescent="0.25">
      <c r="A5" s="670" t="s">
        <v>143</v>
      </c>
      <c r="B5" s="672" t="s">
        <v>276</v>
      </c>
      <c r="C5" t="s">
        <v>93</v>
      </c>
      <c r="D5" s="673">
        <f t="shared" si="0"/>
        <v>5</v>
      </c>
      <c r="E5" s="672" t="s">
        <v>348</v>
      </c>
    </row>
    <row r="6" spans="1:5" x14ac:dyDescent="0.25">
      <c r="A6" s="670" t="s">
        <v>144</v>
      </c>
      <c r="B6" s="672" t="s">
        <v>277</v>
      </c>
      <c r="C6" t="s">
        <v>94</v>
      </c>
      <c r="D6" s="673">
        <f t="shared" si="0"/>
        <v>6</v>
      </c>
      <c r="E6" s="672" t="s">
        <v>349</v>
      </c>
    </row>
    <row r="7" spans="1:5" x14ac:dyDescent="0.25">
      <c r="A7" s="670" t="s">
        <v>145</v>
      </c>
      <c r="B7" s="672" t="s">
        <v>278</v>
      </c>
      <c r="C7" t="s">
        <v>90</v>
      </c>
      <c r="D7" s="673">
        <f t="shared" si="0"/>
        <v>7</v>
      </c>
      <c r="E7" s="672" t="s">
        <v>350</v>
      </c>
    </row>
    <row r="8" spans="1:5" x14ac:dyDescent="0.25">
      <c r="A8" s="670" t="s">
        <v>146</v>
      </c>
      <c r="B8" s="672" t="s">
        <v>279</v>
      </c>
      <c r="C8" t="s">
        <v>95</v>
      </c>
      <c r="D8" s="673">
        <f t="shared" si="0"/>
        <v>8</v>
      </c>
      <c r="E8" s="672" t="s">
        <v>351</v>
      </c>
    </row>
    <row r="9" spans="1:5" x14ac:dyDescent="0.25">
      <c r="A9" s="670" t="s">
        <v>149</v>
      </c>
      <c r="B9" s="672" t="s">
        <v>280</v>
      </c>
      <c r="C9" t="s">
        <v>109</v>
      </c>
      <c r="D9" s="673">
        <f t="shared" si="0"/>
        <v>11</v>
      </c>
      <c r="E9" s="672" t="s">
        <v>352</v>
      </c>
    </row>
    <row r="10" spans="1:5" x14ac:dyDescent="0.25">
      <c r="A10" s="670" t="s">
        <v>150</v>
      </c>
      <c r="B10" s="672" t="s">
        <v>281</v>
      </c>
      <c r="C10" t="s">
        <v>97</v>
      </c>
      <c r="D10" s="673">
        <f t="shared" si="0"/>
        <v>12</v>
      </c>
      <c r="E10" s="672" t="s">
        <v>353</v>
      </c>
    </row>
    <row r="11" spans="1:5" x14ac:dyDescent="0.25">
      <c r="A11" s="670" t="s">
        <v>151</v>
      </c>
      <c r="B11" s="672" t="s">
        <v>282</v>
      </c>
      <c r="C11" t="s">
        <v>98</v>
      </c>
      <c r="D11" s="673">
        <f t="shared" si="0"/>
        <v>13</v>
      </c>
      <c r="E11" s="672" t="s">
        <v>354</v>
      </c>
    </row>
    <row r="12" spans="1:5" x14ac:dyDescent="0.25">
      <c r="A12" s="670" t="s">
        <v>146</v>
      </c>
      <c r="B12" s="672" t="s">
        <v>283</v>
      </c>
      <c r="C12" t="s">
        <v>99</v>
      </c>
      <c r="D12" s="673">
        <f t="shared" si="0"/>
        <v>14</v>
      </c>
      <c r="E12" s="672" t="s">
        <v>355</v>
      </c>
    </row>
    <row r="13" spans="1:5" x14ac:dyDescent="0.25">
      <c r="A13" s="670" t="s">
        <v>152</v>
      </c>
      <c r="B13" s="672" t="s">
        <v>284</v>
      </c>
      <c r="C13" t="s">
        <v>0</v>
      </c>
      <c r="D13" s="673">
        <f t="shared" si="0"/>
        <v>16</v>
      </c>
      <c r="E13" s="672" t="s">
        <v>356</v>
      </c>
    </row>
    <row r="14" spans="1:5" x14ac:dyDescent="0.25">
      <c r="A14" s="670" t="s">
        <v>153</v>
      </c>
      <c r="B14" s="672" t="s">
        <v>285</v>
      </c>
      <c r="C14" t="s">
        <v>89</v>
      </c>
      <c r="D14" s="673">
        <f t="shared" si="0"/>
        <v>17</v>
      </c>
      <c r="E14" s="672" t="s">
        <v>357</v>
      </c>
    </row>
    <row r="15" spans="1:5" x14ac:dyDescent="0.25">
      <c r="A15" s="670" t="s">
        <v>155</v>
      </c>
      <c r="B15" s="672" t="s">
        <v>286</v>
      </c>
      <c r="C15" t="s">
        <v>108</v>
      </c>
      <c r="D15" s="673">
        <f t="shared" si="0"/>
        <v>20</v>
      </c>
      <c r="E15" s="672" t="s">
        <v>358</v>
      </c>
    </row>
    <row r="16" spans="1:5" x14ac:dyDescent="0.25">
      <c r="A16" s="670" t="s">
        <v>156</v>
      </c>
      <c r="B16" s="672" t="s">
        <v>287</v>
      </c>
      <c r="C16" t="s">
        <v>100</v>
      </c>
      <c r="D16" s="673">
        <f t="shared" si="0"/>
        <v>21</v>
      </c>
      <c r="E16" s="672" t="s">
        <v>359</v>
      </c>
    </row>
    <row r="17" spans="1:5" x14ac:dyDescent="0.25">
      <c r="A17" s="670" t="s">
        <v>146</v>
      </c>
      <c r="B17" s="672" t="s">
        <v>288</v>
      </c>
      <c r="C17" t="s">
        <v>101</v>
      </c>
      <c r="D17" s="673">
        <f t="shared" si="0"/>
        <v>22</v>
      </c>
      <c r="E17" s="672" t="s">
        <v>360</v>
      </c>
    </row>
    <row r="18" spans="1:5" x14ac:dyDescent="0.25">
      <c r="A18" s="670" t="s">
        <v>157</v>
      </c>
      <c r="B18" s="672" t="s">
        <v>289</v>
      </c>
      <c r="C18" t="s">
        <v>102</v>
      </c>
      <c r="D18" s="673">
        <f t="shared" si="0"/>
        <v>23</v>
      </c>
      <c r="E18" s="672" t="s">
        <v>361</v>
      </c>
    </row>
    <row r="19" spans="1:5" x14ac:dyDescent="0.25">
      <c r="A19" s="670" t="s">
        <v>158</v>
      </c>
      <c r="B19" s="672" t="s">
        <v>290</v>
      </c>
      <c r="C19" t="s">
        <v>103</v>
      </c>
      <c r="D19" s="673">
        <f t="shared" si="0"/>
        <v>25</v>
      </c>
      <c r="E19" s="672" t="s">
        <v>362</v>
      </c>
    </row>
    <row r="20" spans="1:5" x14ac:dyDescent="0.25">
      <c r="A20" s="670" t="s">
        <v>159</v>
      </c>
      <c r="B20" s="672" t="s">
        <v>291</v>
      </c>
      <c r="C20" t="s">
        <v>2</v>
      </c>
      <c r="D20" s="673">
        <f t="shared" si="0"/>
        <v>26</v>
      </c>
      <c r="E20" s="672" t="s">
        <v>363</v>
      </c>
    </row>
    <row r="21" spans="1:5" x14ac:dyDescent="0.25">
      <c r="A21" s="670" t="s">
        <v>160</v>
      </c>
      <c r="B21" s="672" t="s">
        <v>292</v>
      </c>
      <c r="C21" t="s">
        <v>293</v>
      </c>
      <c r="D21" s="673">
        <v>27</v>
      </c>
      <c r="E21" s="672" t="s">
        <v>364</v>
      </c>
    </row>
    <row r="22" spans="1:5" x14ac:dyDescent="0.25">
      <c r="A22" s="670" t="s">
        <v>161</v>
      </c>
      <c r="B22" s="672" t="s">
        <v>294</v>
      </c>
      <c r="C22" t="s">
        <v>260</v>
      </c>
      <c r="D22" s="673">
        <v>28</v>
      </c>
      <c r="E22" s="672" t="s">
        <v>365</v>
      </c>
    </row>
    <row r="23" spans="1:5" x14ac:dyDescent="0.25">
      <c r="A23" s="670" t="s">
        <v>162</v>
      </c>
      <c r="B23" s="672" t="s">
        <v>295</v>
      </c>
      <c r="C23" t="s">
        <v>104</v>
      </c>
      <c r="D23" s="673">
        <v>29</v>
      </c>
      <c r="E23" s="672" t="s">
        <v>366</v>
      </c>
    </row>
    <row r="24" spans="1:5" x14ac:dyDescent="0.25">
      <c r="A24" s="670" t="s">
        <v>163</v>
      </c>
      <c r="B24" s="672" t="s">
        <v>296</v>
      </c>
      <c r="C24" t="s">
        <v>1</v>
      </c>
      <c r="D24" s="673">
        <v>30</v>
      </c>
      <c r="E24" s="672" t="s">
        <v>367</v>
      </c>
    </row>
    <row r="25" spans="1:5" x14ac:dyDescent="0.25">
      <c r="A25" s="670" t="s">
        <v>297</v>
      </c>
      <c r="B25" s="672" t="s">
        <v>298</v>
      </c>
      <c r="C25" t="s">
        <v>105</v>
      </c>
      <c r="D25" s="673">
        <v>32</v>
      </c>
      <c r="E25" s="672" t="s">
        <v>368</v>
      </c>
    </row>
    <row r="26" spans="1:5" x14ac:dyDescent="0.25">
      <c r="A26" s="670" t="s">
        <v>166</v>
      </c>
      <c r="B26" s="672" t="s">
        <v>299</v>
      </c>
      <c r="C26" t="s">
        <v>258</v>
      </c>
      <c r="D26" s="673">
        <v>36</v>
      </c>
      <c r="E26" s="672" t="s">
        <v>369</v>
      </c>
    </row>
    <row r="27" spans="1:5" x14ac:dyDescent="0.25">
      <c r="A27" s="670" t="s">
        <v>167</v>
      </c>
      <c r="B27" s="672" t="s">
        <v>300</v>
      </c>
      <c r="C27" t="s">
        <v>96</v>
      </c>
      <c r="D27" s="673">
        <v>37</v>
      </c>
      <c r="E27" s="672" t="s">
        <v>370</v>
      </c>
    </row>
    <row r="28" spans="1:5" x14ac:dyDescent="0.25">
      <c r="A28" s="670" t="s">
        <v>169</v>
      </c>
      <c r="B28" s="672" t="s">
        <v>301</v>
      </c>
      <c r="C28" t="s">
        <v>342</v>
      </c>
      <c r="D28" s="673">
        <v>42</v>
      </c>
      <c r="E28" s="672" t="s">
        <v>343</v>
      </c>
    </row>
    <row r="29" spans="1:5" x14ac:dyDescent="0.25">
      <c r="A29" s="670" t="s">
        <v>170</v>
      </c>
      <c r="B29" s="672" t="s">
        <v>302</v>
      </c>
      <c r="C29" t="s">
        <v>107</v>
      </c>
      <c r="D29" s="673">
        <v>43</v>
      </c>
      <c r="E29" s="672" t="s">
        <v>344</v>
      </c>
    </row>
    <row r="30" spans="1:5" x14ac:dyDescent="0.25">
      <c r="A30" s="669"/>
    </row>
    <row r="31" spans="1:5" x14ac:dyDescent="0.25">
      <c r="A31" s="669"/>
    </row>
    <row r="32" spans="1:5" x14ac:dyDescent="0.25">
      <c r="A32" s="669"/>
    </row>
    <row r="33" spans="1:1" x14ac:dyDescent="0.25">
      <c r="A33" s="669"/>
    </row>
    <row r="34" spans="1:1" x14ac:dyDescent="0.25">
      <c r="A34" s="669"/>
    </row>
    <row r="35" spans="1:1" x14ac:dyDescent="0.25">
      <c r="A35" s="669"/>
    </row>
    <row r="36" spans="1:1" x14ac:dyDescent="0.25">
      <c r="A36" s="669"/>
    </row>
    <row r="37" spans="1:1" x14ac:dyDescent="0.25">
      <c r="A37" s="669"/>
    </row>
    <row r="38" spans="1:1" x14ac:dyDescent="0.25">
      <c r="A38" s="669"/>
    </row>
    <row r="39" spans="1:1" x14ac:dyDescent="0.25">
      <c r="A39" s="669"/>
    </row>
    <row r="40" spans="1:1" x14ac:dyDescent="0.25">
      <c r="A40" s="669"/>
    </row>
    <row r="41" spans="1:1" x14ac:dyDescent="0.25">
      <c r="A41" s="669"/>
    </row>
    <row r="43" spans="1:1" x14ac:dyDescent="0.25">
      <c r="A43" s="669"/>
    </row>
    <row r="45" spans="1:1" x14ac:dyDescent="0.25">
      <c r="A45" s="669"/>
    </row>
    <row r="47" spans="1:1" x14ac:dyDescent="0.25">
      <c r="A47" s="669"/>
    </row>
    <row r="48" spans="1:1" x14ac:dyDescent="0.25">
      <c r="A48" s="669"/>
    </row>
    <row r="50" spans="1:1" x14ac:dyDescent="0.25">
      <c r="A50" s="669"/>
    </row>
    <row r="51" spans="1:1" x14ac:dyDescent="0.25">
      <c r="A51" s="669"/>
    </row>
    <row r="52" spans="1:1" x14ac:dyDescent="0.25">
      <c r="A52" s="669"/>
    </row>
    <row r="56" spans="1:1" x14ac:dyDescent="0.25">
      <c r="A56" s="669"/>
    </row>
    <row r="57" spans="1:1" x14ac:dyDescent="0.25">
      <c r="A57" s="669"/>
    </row>
    <row r="58" spans="1:1" x14ac:dyDescent="0.25">
      <c r="A58" s="669"/>
    </row>
    <row r="59" spans="1:1" x14ac:dyDescent="0.25">
      <c r="A59" s="669"/>
    </row>
    <row r="60" spans="1:1" x14ac:dyDescent="0.25">
      <c r="A60" s="669"/>
    </row>
    <row r="61" spans="1:1" x14ac:dyDescent="0.25">
      <c r="A61" s="669"/>
    </row>
    <row r="62" spans="1:1" x14ac:dyDescent="0.25">
      <c r="A62" s="669"/>
    </row>
    <row r="63" spans="1:1" x14ac:dyDescent="0.25">
      <c r="A63" s="669"/>
    </row>
    <row r="64" spans="1:1" x14ac:dyDescent="0.25">
      <c r="A64" s="669"/>
    </row>
    <row r="65" spans="1:1" x14ac:dyDescent="0.25">
      <c r="A65" s="669"/>
    </row>
    <row r="66" spans="1:1" x14ac:dyDescent="0.25">
      <c r="A66" s="669"/>
    </row>
    <row r="67" spans="1:1" x14ac:dyDescent="0.25">
      <c r="A67" s="669"/>
    </row>
    <row r="69" spans="1:1" x14ac:dyDescent="0.25">
      <c r="A69" s="669"/>
    </row>
    <row r="71" spans="1:1" x14ac:dyDescent="0.25">
      <c r="A71" s="669"/>
    </row>
    <row r="73" spans="1:1" x14ac:dyDescent="0.25">
      <c r="A73" s="669"/>
    </row>
    <row r="74" spans="1:1" x14ac:dyDescent="0.25">
      <c r="A74" s="669"/>
    </row>
    <row r="76" spans="1:1" x14ac:dyDescent="0.25">
      <c r="A76" s="669"/>
    </row>
    <row r="77" spans="1:1" x14ac:dyDescent="0.25">
      <c r="A77" s="669"/>
    </row>
    <row r="78" spans="1:1" x14ac:dyDescent="0.25">
      <c r="A78" s="669"/>
    </row>
    <row r="82" spans="1:1" x14ac:dyDescent="0.25">
      <c r="A82" s="669"/>
    </row>
    <row r="83" spans="1:1" x14ac:dyDescent="0.25">
      <c r="A83" s="669"/>
    </row>
    <row r="84" spans="1:1" x14ac:dyDescent="0.25">
      <c r="A84" s="669"/>
    </row>
    <row r="85" spans="1:1" x14ac:dyDescent="0.25">
      <c r="A85" s="669"/>
    </row>
    <row r="86" spans="1:1" x14ac:dyDescent="0.25">
      <c r="A86" s="669"/>
    </row>
    <row r="87" spans="1:1" x14ac:dyDescent="0.25">
      <c r="A87" s="669"/>
    </row>
    <row r="88" spans="1:1" x14ac:dyDescent="0.25">
      <c r="A88" s="669"/>
    </row>
    <row r="89" spans="1:1" x14ac:dyDescent="0.25">
      <c r="A89" s="669"/>
    </row>
    <row r="90" spans="1:1" x14ac:dyDescent="0.25">
      <c r="A90" s="669"/>
    </row>
    <row r="91" spans="1:1" x14ac:dyDescent="0.25">
      <c r="A91" s="669"/>
    </row>
    <row r="92" spans="1:1" x14ac:dyDescent="0.25">
      <c r="A92" s="669"/>
    </row>
    <row r="93" spans="1:1" x14ac:dyDescent="0.25">
      <c r="A93" s="669"/>
    </row>
    <row r="95" spans="1:1" x14ac:dyDescent="0.25">
      <c r="A95" s="669"/>
    </row>
    <row r="97" spans="1:1" x14ac:dyDescent="0.25">
      <c r="A97" s="669"/>
    </row>
    <row r="99" spans="1:1" x14ac:dyDescent="0.25">
      <c r="A99" s="669"/>
    </row>
    <row r="100" spans="1:1" x14ac:dyDescent="0.25">
      <c r="A100" s="669"/>
    </row>
    <row r="102" spans="1:1" x14ac:dyDescent="0.25">
      <c r="A102" s="669"/>
    </row>
    <row r="103" spans="1:1" x14ac:dyDescent="0.25">
      <c r="A103" s="669"/>
    </row>
    <row r="104" spans="1:1" x14ac:dyDescent="0.25">
      <c r="A104" s="669"/>
    </row>
    <row r="108" spans="1:1" x14ac:dyDescent="0.25">
      <c r="A108" s="669"/>
    </row>
    <row r="109" spans="1:1" x14ac:dyDescent="0.25">
      <c r="A109" s="669"/>
    </row>
    <row r="110" spans="1:1" x14ac:dyDescent="0.25">
      <c r="A110" s="669"/>
    </row>
    <row r="111" spans="1:1" x14ac:dyDescent="0.25">
      <c r="A111" s="669"/>
    </row>
    <row r="112" spans="1:1" x14ac:dyDescent="0.25">
      <c r="A112" s="669"/>
    </row>
    <row r="113" spans="1:1" x14ac:dyDescent="0.25">
      <c r="A113" s="669"/>
    </row>
    <row r="114" spans="1:1" x14ac:dyDescent="0.25">
      <c r="A114" s="669"/>
    </row>
    <row r="115" spans="1:1" x14ac:dyDescent="0.25">
      <c r="A115" s="669"/>
    </row>
    <row r="116" spans="1:1" x14ac:dyDescent="0.25">
      <c r="A116" s="669"/>
    </row>
    <row r="117" spans="1:1" x14ac:dyDescent="0.25">
      <c r="A117" s="669"/>
    </row>
    <row r="118" spans="1:1" x14ac:dyDescent="0.25">
      <c r="A118" s="669"/>
    </row>
    <row r="119" spans="1:1" x14ac:dyDescent="0.25">
      <c r="A119" s="669"/>
    </row>
    <row r="121" spans="1:1" x14ac:dyDescent="0.25">
      <c r="A121" s="669"/>
    </row>
    <row r="123" spans="1:1" x14ac:dyDescent="0.25">
      <c r="A123" s="669"/>
    </row>
    <row r="125" spans="1:1" x14ac:dyDescent="0.25">
      <c r="A125" s="669"/>
    </row>
    <row r="126" spans="1:1" x14ac:dyDescent="0.25">
      <c r="A126" s="669"/>
    </row>
    <row r="128" spans="1:1" x14ac:dyDescent="0.25">
      <c r="A128" s="669"/>
    </row>
    <row r="129" spans="1:1" x14ac:dyDescent="0.25">
      <c r="A129" s="669"/>
    </row>
    <row r="130" spans="1:1" x14ac:dyDescent="0.25">
      <c r="A130" s="669"/>
    </row>
    <row r="134" spans="1:1" x14ac:dyDescent="0.25">
      <c r="A134" s="669"/>
    </row>
    <row r="135" spans="1:1" x14ac:dyDescent="0.25">
      <c r="A135" s="669"/>
    </row>
    <row r="136" spans="1:1" x14ac:dyDescent="0.25">
      <c r="A136" s="669"/>
    </row>
    <row r="137" spans="1:1" x14ac:dyDescent="0.25">
      <c r="A137" s="669"/>
    </row>
    <row r="138" spans="1:1" x14ac:dyDescent="0.25">
      <c r="A138" s="669"/>
    </row>
    <row r="139" spans="1:1" x14ac:dyDescent="0.25">
      <c r="A139" s="669"/>
    </row>
    <row r="140" spans="1:1" x14ac:dyDescent="0.25">
      <c r="A140" s="669"/>
    </row>
    <row r="141" spans="1:1" x14ac:dyDescent="0.25">
      <c r="A141" s="669"/>
    </row>
    <row r="142" spans="1:1" x14ac:dyDescent="0.25">
      <c r="A142" s="669"/>
    </row>
    <row r="143" spans="1:1" x14ac:dyDescent="0.25">
      <c r="A143" s="669"/>
    </row>
    <row r="144" spans="1:1" x14ac:dyDescent="0.25">
      <c r="A144" s="669"/>
    </row>
    <row r="145" spans="1:1" x14ac:dyDescent="0.25">
      <c r="A145" s="669"/>
    </row>
    <row r="147" spans="1:1" x14ac:dyDescent="0.25">
      <c r="A147" s="669"/>
    </row>
    <row r="149" spans="1:1" x14ac:dyDescent="0.25">
      <c r="A149" s="669"/>
    </row>
    <row r="151" spans="1:1" x14ac:dyDescent="0.25">
      <c r="A151" s="669"/>
    </row>
    <row r="152" spans="1:1" x14ac:dyDescent="0.25">
      <c r="A152" s="669"/>
    </row>
    <row r="154" spans="1:1" x14ac:dyDescent="0.25">
      <c r="A154" s="669"/>
    </row>
    <row r="155" spans="1:1" x14ac:dyDescent="0.25">
      <c r="A155" s="669"/>
    </row>
    <row r="156" spans="1:1" x14ac:dyDescent="0.25">
      <c r="A156" s="669"/>
    </row>
    <row r="160" spans="1:1" x14ac:dyDescent="0.25">
      <c r="A160" s="669"/>
    </row>
    <row r="161" spans="1:1" x14ac:dyDescent="0.25">
      <c r="A161" s="669"/>
    </row>
    <row r="162" spans="1:1" x14ac:dyDescent="0.25">
      <c r="A162" s="669"/>
    </row>
    <row r="163" spans="1:1" x14ac:dyDescent="0.25">
      <c r="A163" s="669"/>
    </row>
    <row r="164" spans="1:1" x14ac:dyDescent="0.25">
      <c r="A164" s="669"/>
    </row>
    <row r="165" spans="1:1" x14ac:dyDescent="0.25">
      <c r="A165" s="669"/>
    </row>
    <row r="166" spans="1:1" x14ac:dyDescent="0.25">
      <c r="A166" s="669"/>
    </row>
    <row r="167" spans="1:1" x14ac:dyDescent="0.25">
      <c r="A167" s="669"/>
    </row>
    <row r="168" spans="1:1" x14ac:dyDescent="0.25">
      <c r="A168" s="669"/>
    </row>
    <row r="169" spans="1:1" x14ac:dyDescent="0.25">
      <c r="A169" s="669"/>
    </row>
    <row r="170" spans="1:1" x14ac:dyDescent="0.25">
      <c r="A170" s="669"/>
    </row>
    <row r="171" spans="1:1" x14ac:dyDescent="0.25">
      <c r="A171" s="669"/>
    </row>
    <row r="173" spans="1:1" x14ac:dyDescent="0.25">
      <c r="A173" s="669"/>
    </row>
    <row r="175" spans="1:1" x14ac:dyDescent="0.25">
      <c r="A175" s="669"/>
    </row>
    <row r="177" spans="1:1" x14ac:dyDescent="0.25">
      <c r="A177" s="669"/>
    </row>
    <row r="178" spans="1:1" x14ac:dyDescent="0.25">
      <c r="A178" s="669"/>
    </row>
    <row r="180" spans="1:1" x14ac:dyDescent="0.25">
      <c r="A180" s="669"/>
    </row>
    <row r="181" spans="1:1" x14ac:dyDescent="0.25">
      <c r="A181" s="669"/>
    </row>
    <row r="182" spans="1:1" x14ac:dyDescent="0.25">
      <c r="A182" s="669"/>
    </row>
    <row r="186" spans="1:1" x14ac:dyDescent="0.25">
      <c r="A186" s="669"/>
    </row>
    <row r="187" spans="1:1" x14ac:dyDescent="0.25">
      <c r="A187" s="669"/>
    </row>
    <row r="188" spans="1:1" x14ac:dyDescent="0.25">
      <c r="A188" s="669"/>
    </row>
    <row r="189" spans="1:1" x14ac:dyDescent="0.25">
      <c r="A189" s="669"/>
    </row>
    <row r="190" spans="1:1" x14ac:dyDescent="0.25">
      <c r="A190" s="669"/>
    </row>
    <row r="191" spans="1:1" x14ac:dyDescent="0.25">
      <c r="A191" s="669"/>
    </row>
    <row r="192" spans="1:1" x14ac:dyDescent="0.25">
      <c r="A192" s="669"/>
    </row>
    <row r="193" spans="1:1" x14ac:dyDescent="0.25">
      <c r="A193" s="669"/>
    </row>
    <row r="194" spans="1:1" x14ac:dyDescent="0.25">
      <c r="A194" s="669"/>
    </row>
    <row r="195" spans="1:1" x14ac:dyDescent="0.25">
      <c r="A195" s="669"/>
    </row>
    <row r="196" spans="1:1" x14ac:dyDescent="0.25">
      <c r="A196" s="669"/>
    </row>
    <row r="197" spans="1:1" x14ac:dyDescent="0.25">
      <c r="A197" s="669"/>
    </row>
    <row r="199" spans="1:1" x14ac:dyDescent="0.25">
      <c r="A199" s="669"/>
    </row>
    <row r="201" spans="1:1" x14ac:dyDescent="0.25">
      <c r="A201" s="669"/>
    </row>
    <row r="203" spans="1:1" x14ac:dyDescent="0.25">
      <c r="A203" s="669"/>
    </row>
    <row r="204" spans="1:1" x14ac:dyDescent="0.25">
      <c r="A204" s="669"/>
    </row>
    <row r="206" spans="1:1" x14ac:dyDescent="0.25">
      <c r="A206" s="669"/>
    </row>
    <row r="207" spans="1:1" x14ac:dyDescent="0.25">
      <c r="A207" s="669"/>
    </row>
    <row r="208" spans="1:1" x14ac:dyDescent="0.25">
      <c r="A208" s="669"/>
    </row>
    <row r="212" spans="1:1" x14ac:dyDescent="0.25">
      <c r="A212" s="669"/>
    </row>
    <row r="213" spans="1:1" x14ac:dyDescent="0.25">
      <c r="A213" s="669"/>
    </row>
    <row r="214" spans="1:1" x14ac:dyDescent="0.25">
      <c r="A214" s="669"/>
    </row>
    <row r="215" spans="1:1" x14ac:dyDescent="0.25">
      <c r="A215" s="669"/>
    </row>
    <row r="216" spans="1:1" x14ac:dyDescent="0.25">
      <c r="A216" s="669"/>
    </row>
    <row r="217" spans="1:1" x14ac:dyDescent="0.25">
      <c r="A217" s="669"/>
    </row>
    <row r="218" spans="1:1" x14ac:dyDescent="0.25">
      <c r="A218" s="669"/>
    </row>
    <row r="219" spans="1:1" x14ac:dyDescent="0.25">
      <c r="A219" s="669"/>
    </row>
    <row r="220" spans="1:1" x14ac:dyDescent="0.25">
      <c r="A220" s="669"/>
    </row>
    <row r="221" spans="1:1" x14ac:dyDescent="0.25">
      <c r="A221" s="669"/>
    </row>
    <row r="222" spans="1:1" x14ac:dyDescent="0.25">
      <c r="A222" s="669"/>
    </row>
    <row r="223" spans="1:1" x14ac:dyDescent="0.25">
      <c r="A223" s="669"/>
    </row>
    <row r="225" spans="1:1" x14ac:dyDescent="0.25">
      <c r="A225" s="669"/>
    </row>
    <row r="227" spans="1:1" x14ac:dyDescent="0.25">
      <c r="A227" s="669"/>
    </row>
    <row r="229" spans="1:1" x14ac:dyDescent="0.25">
      <c r="A229" s="669"/>
    </row>
    <row r="230" spans="1:1" x14ac:dyDescent="0.25">
      <c r="A230" s="669"/>
    </row>
    <row r="232" spans="1:1" x14ac:dyDescent="0.25">
      <c r="A232" s="669"/>
    </row>
    <row r="233" spans="1:1" x14ac:dyDescent="0.25">
      <c r="A233" s="669"/>
    </row>
    <row r="234" spans="1:1" x14ac:dyDescent="0.25">
      <c r="A234" s="669"/>
    </row>
    <row r="238" spans="1:1" x14ac:dyDescent="0.25">
      <c r="A238" s="669"/>
    </row>
    <row r="239" spans="1:1" x14ac:dyDescent="0.25">
      <c r="A239" s="669"/>
    </row>
    <row r="240" spans="1:1" x14ac:dyDescent="0.25">
      <c r="A240" s="669"/>
    </row>
    <row r="241" spans="1:1" x14ac:dyDescent="0.25">
      <c r="A241" s="669"/>
    </row>
    <row r="242" spans="1:1" x14ac:dyDescent="0.25">
      <c r="A242" s="669"/>
    </row>
    <row r="243" spans="1:1" x14ac:dyDescent="0.25">
      <c r="A243" s="669"/>
    </row>
    <row r="244" spans="1:1" x14ac:dyDescent="0.25">
      <c r="A244" s="669"/>
    </row>
    <row r="245" spans="1:1" x14ac:dyDescent="0.25">
      <c r="A245" s="669"/>
    </row>
    <row r="246" spans="1:1" x14ac:dyDescent="0.25">
      <c r="A246" s="669"/>
    </row>
    <row r="247" spans="1:1" x14ac:dyDescent="0.25">
      <c r="A247" s="669"/>
    </row>
    <row r="248" spans="1:1" x14ac:dyDescent="0.25">
      <c r="A248" s="669"/>
    </row>
    <row r="249" spans="1:1" x14ac:dyDescent="0.25">
      <c r="A249" s="669"/>
    </row>
    <row r="251" spans="1:1" x14ac:dyDescent="0.25">
      <c r="A251" s="669"/>
    </row>
    <row r="253" spans="1:1" x14ac:dyDescent="0.25">
      <c r="A253" s="669"/>
    </row>
    <row r="255" spans="1:1" x14ac:dyDescent="0.25">
      <c r="A255" s="669"/>
    </row>
    <row r="256" spans="1:1" x14ac:dyDescent="0.25">
      <c r="A256" s="669"/>
    </row>
    <row r="258" spans="1:1" x14ac:dyDescent="0.25">
      <c r="A258" s="669"/>
    </row>
    <row r="259" spans="1:1" x14ac:dyDescent="0.25">
      <c r="A259" s="669"/>
    </row>
    <row r="260" spans="1:1" x14ac:dyDescent="0.25">
      <c r="A260" s="669"/>
    </row>
    <row r="264" spans="1:1" x14ac:dyDescent="0.25">
      <c r="A264" s="669"/>
    </row>
    <row r="265" spans="1:1" x14ac:dyDescent="0.25">
      <c r="A265" s="669"/>
    </row>
    <row r="266" spans="1:1" x14ac:dyDescent="0.25">
      <c r="A266" s="669"/>
    </row>
    <row r="267" spans="1:1" x14ac:dyDescent="0.25">
      <c r="A267" s="669"/>
    </row>
    <row r="268" spans="1:1" x14ac:dyDescent="0.25">
      <c r="A268" s="669"/>
    </row>
    <row r="269" spans="1:1" x14ac:dyDescent="0.25">
      <c r="A269" s="669"/>
    </row>
    <row r="270" spans="1:1" x14ac:dyDescent="0.25">
      <c r="A270" s="669"/>
    </row>
    <row r="271" spans="1:1" x14ac:dyDescent="0.25">
      <c r="A271" s="669"/>
    </row>
    <row r="272" spans="1:1" x14ac:dyDescent="0.25">
      <c r="A272" s="669"/>
    </row>
    <row r="273" spans="1:1" x14ac:dyDescent="0.25">
      <c r="A273" s="669"/>
    </row>
    <row r="274" spans="1:1" x14ac:dyDescent="0.25">
      <c r="A274" s="669"/>
    </row>
    <row r="275" spans="1:1" x14ac:dyDescent="0.25">
      <c r="A275" s="669"/>
    </row>
    <row r="277" spans="1:1" x14ac:dyDescent="0.25">
      <c r="A277" s="669"/>
    </row>
    <row r="279" spans="1:1" x14ac:dyDescent="0.25">
      <c r="A279" s="669"/>
    </row>
    <row r="281" spans="1:1" x14ac:dyDescent="0.25">
      <c r="A281" s="669"/>
    </row>
    <row r="282" spans="1:1" x14ac:dyDescent="0.25">
      <c r="A282" s="669"/>
    </row>
    <row r="284" spans="1:1" x14ac:dyDescent="0.25">
      <c r="A284" s="669"/>
    </row>
    <row r="285" spans="1:1" x14ac:dyDescent="0.25">
      <c r="A285" s="669"/>
    </row>
    <row r="286" spans="1:1" x14ac:dyDescent="0.25">
      <c r="A286" s="669"/>
    </row>
    <row r="290" spans="1:1" x14ac:dyDescent="0.25">
      <c r="A290" s="669"/>
    </row>
    <row r="291" spans="1:1" x14ac:dyDescent="0.25">
      <c r="A291" s="669"/>
    </row>
    <row r="292" spans="1:1" x14ac:dyDescent="0.25">
      <c r="A292" s="669"/>
    </row>
    <row r="293" spans="1:1" x14ac:dyDescent="0.25">
      <c r="A293" s="669"/>
    </row>
    <row r="294" spans="1:1" x14ac:dyDescent="0.25">
      <c r="A294" s="669"/>
    </row>
    <row r="295" spans="1:1" x14ac:dyDescent="0.25">
      <c r="A295" s="669"/>
    </row>
    <row r="296" spans="1:1" x14ac:dyDescent="0.25">
      <c r="A296" s="669"/>
    </row>
    <row r="297" spans="1:1" x14ac:dyDescent="0.25">
      <c r="A297" s="669"/>
    </row>
    <row r="298" spans="1:1" x14ac:dyDescent="0.25">
      <c r="A298" s="669"/>
    </row>
    <row r="299" spans="1:1" x14ac:dyDescent="0.25">
      <c r="A299" s="669"/>
    </row>
    <row r="300" spans="1:1" x14ac:dyDescent="0.25">
      <c r="A300" s="669"/>
    </row>
    <row r="301" spans="1:1" x14ac:dyDescent="0.25">
      <c r="A301" s="669"/>
    </row>
    <row r="303" spans="1:1" x14ac:dyDescent="0.25">
      <c r="A303" s="669"/>
    </row>
    <row r="305" spans="1:1" x14ac:dyDescent="0.25">
      <c r="A305" s="669"/>
    </row>
    <row r="307" spans="1:1" x14ac:dyDescent="0.25">
      <c r="A307" s="669"/>
    </row>
    <row r="308" spans="1:1" x14ac:dyDescent="0.25">
      <c r="A308" s="669"/>
    </row>
    <row r="310" spans="1:1" x14ac:dyDescent="0.25">
      <c r="A310" s="669"/>
    </row>
    <row r="311" spans="1:1" x14ac:dyDescent="0.25">
      <c r="A311" s="669"/>
    </row>
    <row r="312" spans="1:1" x14ac:dyDescent="0.25">
      <c r="A312" s="669"/>
    </row>
    <row r="316" spans="1:1" x14ac:dyDescent="0.25">
      <c r="A316" s="669"/>
    </row>
    <row r="317" spans="1:1" x14ac:dyDescent="0.25">
      <c r="A317" s="669"/>
    </row>
    <row r="318" spans="1:1" x14ac:dyDescent="0.25">
      <c r="A318" s="669"/>
    </row>
    <row r="319" spans="1:1" x14ac:dyDescent="0.25">
      <c r="A319" s="669"/>
    </row>
    <row r="320" spans="1:1" x14ac:dyDescent="0.25">
      <c r="A320" s="669"/>
    </row>
    <row r="321" spans="1:1" x14ac:dyDescent="0.25">
      <c r="A321" s="669"/>
    </row>
    <row r="322" spans="1:1" x14ac:dyDescent="0.25">
      <c r="A322" s="669"/>
    </row>
    <row r="323" spans="1:1" x14ac:dyDescent="0.25">
      <c r="A323" s="669"/>
    </row>
    <row r="324" spans="1:1" x14ac:dyDescent="0.25">
      <c r="A324" s="669"/>
    </row>
    <row r="325" spans="1:1" x14ac:dyDescent="0.25">
      <c r="A325" s="669"/>
    </row>
    <row r="326" spans="1:1" x14ac:dyDescent="0.25">
      <c r="A326" s="669"/>
    </row>
    <row r="327" spans="1:1" x14ac:dyDescent="0.25">
      <c r="A327" s="669"/>
    </row>
    <row r="329" spans="1:1" x14ac:dyDescent="0.25">
      <c r="A329" s="669"/>
    </row>
    <row r="331" spans="1:1" x14ac:dyDescent="0.25">
      <c r="A331" s="669"/>
    </row>
    <row r="333" spans="1:1" x14ac:dyDescent="0.25">
      <c r="A333" s="669"/>
    </row>
    <row r="334" spans="1:1" x14ac:dyDescent="0.25">
      <c r="A334" s="669"/>
    </row>
    <row r="336" spans="1:1" x14ac:dyDescent="0.25">
      <c r="A336" s="669"/>
    </row>
    <row r="337" spans="1:1" x14ac:dyDescent="0.25">
      <c r="A337" s="669"/>
    </row>
    <row r="338" spans="1:1" x14ac:dyDescent="0.25">
      <c r="A338" s="669"/>
    </row>
    <row r="342" spans="1:1" x14ac:dyDescent="0.25">
      <c r="A342" s="669"/>
    </row>
    <row r="343" spans="1:1" x14ac:dyDescent="0.25">
      <c r="A343" s="669"/>
    </row>
    <row r="344" spans="1:1" x14ac:dyDescent="0.25">
      <c r="A344" s="669"/>
    </row>
    <row r="345" spans="1:1" x14ac:dyDescent="0.25">
      <c r="A345" s="669"/>
    </row>
    <row r="346" spans="1:1" x14ac:dyDescent="0.25">
      <c r="A346" s="669"/>
    </row>
    <row r="347" spans="1:1" x14ac:dyDescent="0.25">
      <c r="A347" s="669"/>
    </row>
    <row r="348" spans="1:1" x14ac:dyDescent="0.25">
      <c r="A348" s="669"/>
    </row>
    <row r="349" spans="1:1" x14ac:dyDescent="0.25">
      <c r="A349" s="669"/>
    </row>
    <row r="350" spans="1:1" x14ac:dyDescent="0.25">
      <c r="A350" s="669"/>
    </row>
    <row r="351" spans="1:1" x14ac:dyDescent="0.25">
      <c r="A351" s="669"/>
    </row>
    <row r="352" spans="1:1" x14ac:dyDescent="0.25">
      <c r="A352" s="669"/>
    </row>
    <row r="353" spans="1:1" x14ac:dyDescent="0.25">
      <c r="A353" s="669"/>
    </row>
    <row r="355" spans="1:1" x14ac:dyDescent="0.25">
      <c r="A355" s="669"/>
    </row>
    <row r="357" spans="1:1" x14ac:dyDescent="0.25">
      <c r="A357" s="669"/>
    </row>
    <row r="359" spans="1:1" x14ac:dyDescent="0.25">
      <c r="A359" s="669"/>
    </row>
    <row r="360" spans="1:1" x14ac:dyDescent="0.25">
      <c r="A360" s="669"/>
    </row>
    <row r="362" spans="1:1" x14ac:dyDescent="0.25">
      <c r="A362" s="669"/>
    </row>
    <row r="363" spans="1:1" x14ac:dyDescent="0.25">
      <c r="A363" s="669"/>
    </row>
    <row r="364" spans="1:1" x14ac:dyDescent="0.25">
      <c r="A364" s="669"/>
    </row>
    <row r="368" spans="1:1" x14ac:dyDescent="0.25">
      <c r="A368" s="669"/>
    </row>
    <row r="369" spans="1:1" x14ac:dyDescent="0.25">
      <c r="A369" s="669"/>
    </row>
    <row r="370" spans="1:1" x14ac:dyDescent="0.25">
      <c r="A370" s="669"/>
    </row>
    <row r="371" spans="1:1" x14ac:dyDescent="0.25">
      <c r="A371" s="669"/>
    </row>
    <row r="372" spans="1:1" x14ac:dyDescent="0.25">
      <c r="A372" s="669"/>
    </row>
    <row r="373" spans="1:1" x14ac:dyDescent="0.25">
      <c r="A373" s="669"/>
    </row>
    <row r="374" spans="1:1" x14ac:dyDescent="0.25">
      <c r="A374" s="669"/>
    </row>
    <row r="375" spans="1:1" x14ac:dyDescent="0.25">
      <c r="A375" s="669"/>
    </row>
    <row r="376" spans="1:1" x14ac:dyDescent="0.25">
      <c r="A376" s="669"/>
    </row>
    <row r="377" spans="1:1" x14ac:dyDescent="0.25">
      <c r="A377" s="669"/>
    </row>
    <row r="378" spans="1:1" x14ac:dyDescent="0.25">
      <c r="A378" s="669"/>
    </row>
    <row r="379" spans="1:1" x14ac:dyDescent="0.25">
      <c r="A379" s="669"/>
    </row>
    <row r="381" spans="1:1" x14ac:dyDescent="0.25">
      <c r="A381" s="669"/>
    </row>
    <row r="383" spans="1:1" x14ac:dyDescent="0.25">
      <c r="A383" s="669"/>
    </row>
    <row r="385" spans="1:1" x14ac:dyDescent="0.25">
      <c r="A385" s="669"/>
    </row>
    <row r="386" spans="1:1" x14ac:dyDescent="0.25">
      <c r="A386" s="669"/>
    </row>
    <row r="388" spans="1:1" x14ac:dyDescent="0.25">
      <c r="A388" s="669"/>
    </row>
    <row r="389" spans="1:1" x14ac:dyDescent="0.25">
      <c r="A389" s="669"/>
    </row>
    <row r="390" spans="1:1" x14ac:dyDescent="0.25">
      <c r="A390" s="669"/>
    </row>
    <row r="394" spans="1:1" x14ac:dyDescent="0.25">
      <c r="A394" s="669"/>
    </row>
    <row r="395" spans="1:1" x14ac:dyDescent="0.25">
      <c r="A395" s="669"/>
    </row>
    <row r="396" spans="1:1" x14ac:dyDescent="0.25">
      <c r="A396" s="669"/>
    </row>
    <row r="397" spans="1:1" x14ac:dyDescent="0.25">
      <c r="A397" s="669"/>
    </row>
    <row r="398" spans="1:1" x14ac:dyDescent="0.25">
      <c r="A398" s="669"/>
    </row>
    <row r="399" spans="1:1" x14ac:dyDescent="0.25">
      <c r="A399" s="669"/>
    </row>
    <row r="400" spans="1:1" x14ac:dyDescent="0.25">
      <c r="A400" s="669"/>
    </row>
    <row r="401" spans="1:1" x14ac:dyDescent="0.25">
      <c r="A401" s="669"/>
    </row>
    <row r="402" spans="1:1" x14ac:dyDescent="0.25">
      <c r="A402" s="669"/>
    </row>
    <row r="403" spans="1:1" x14ac:dyDescent="0.25">
      <c r="A403" s="669"/>
    </row>
    <row r="404" spans="1:1" x14ac:dyDescent="0.25">
      <c r="A404" s="669"/>
    </row>
    <row r="405" spans="1:1" x14ac:dyDescent="0.25">
      <c r="A405" s="669"/>
    </row>
    <row r="407" spans="1:1" x14ac:dyDescent="0.25">
      <c r="A407" s="669"/>
    </row>
    <row r="409" spans="1:1" x14ac:dyDescent="0.25">
      <c r="A409" s="669"/>
    </row>
    <row r="411" spans="1:1" x14ac:dyDescent="0.25">
      <c r="A411" s="669"/>
    </row>
    <row r="412" spans="1:1" x14ac:dyDescent="0.25">
      <c r="A412" s="669"/>
    </row>
    <row r="414" spans="1:1" x14ac:dyDescent="0.25">
      <c r="A414" s="669"/>
    </row>
    <row r="415" spans="1:1" x14ac:dyDescent="0.25">
      <c r="A415" s="669"/>
    </row>
    <row r="416" spans="1:1" x14ac:dyDescent="0.25">
      <c r="A416" s="669"/>
    </row>
    <row r="420" spans="1:1" x14ac:dyDescent="0.25">
      <c r="A420" s="669"/>
    </row>
    <row r="421" spans="1:1" x14ac:dyDescent="0.25">
      <c r="A421" s="669"/>
    </row>
    <row r="422" spans="1:1" x14ac:dyDescent="0.25">
      <c r="A422" s="669"/>
    </row>
    <row r="423" spans="1:1" x14ac:dyDescent="0.25">
      <c r="A423" s="669"/>
    </row>
    <row r="424" spans="1:1" x14ac:dyDescent="0.25">
      <c r="A424" s="669"/>
    </row>
    <row r="425" spans="1:1" x14ac:dyDescent="0.25">
      <c r="A425" s="669"/>
    </row>
    <row r="426" spans="1:1" x14ac:dyDescent="0.25">
      <c r="A426" s="669"/>
    </row>
    <row r="427" spans="1:1" x14ac:dyDescent="0.25">
      <c r="A427" s="669"/>
    </row>
    <row r="428" spans="1:1" x14ac:dyDescent="0.25">
      <c r="A428" s="669"/>
    </row>
    <row r="429" spans="1:1" x14ac:dyDescent="0.25">
      <c r="A429" s="669"/>
    </row>
    <row r="430" spans="1:1" x14ac:dyDescent="0.25">
      <c r="A430" s="669"/>
    </row>
    <row r="431" spans="1:1" x14ac:dyDescent="0.25">
      <c r="A431" s="669"/>
    </row>
    <row r="433" spans="1:1" x14ac:dyDescent="0.25">
      <c r="A433" s="669"/>
    </row>
    <row r="435" spans="1:1" x14ac:dyDescent="0.25">
      <c r="A435" s="669"/>
    </row>
    <row r="437" spans="1:1" x14ac:dyDescent="0.25">
      <c r="A437" s="669"/>
    </row>
    <row r="438" spans="1:1" x14ac:dyDescent="0.25">
      <c r="A438" s="669"/>
    </row>
    <row r="440" spans="1:1" x14ac:dyDescent="0.25">
      <c r="A440" s="669"/>
    </row>
    <row r="441" spans="1:1" x14ac:dyDescent="0.25">
      <c r="A441" s="669"/>
    </row>
    <row r="442" spans="1:1" x14ac:dyDescent="0.25">
      <c r="A442" s="669"/>
    </row>
    <row r="446" spans="1:1" x14ac:dyDescent="0.25">
      <c r="A446" s="669"/>
    </row>
    <row r="447" spans="1:1" x14ac:dyDescent="0.25">
      <c r="A447" s="669"/>
    </row>
    <row r="448" spans="1:1" x14ac:dyDescent="0.25">
      <c r="A448" s="669"/>
    </row>
    <row r="449" spans="1:1" x14ac:dyDescent="0.25">
      <c r="A449" s="669"/>
    </row>
    <row r="450" spans="1:1" x14ac:dyDescent="0.25">
      <c r="A450" s="669"/>
    </row>
    <row r="451" spans="1:1" x14ac:dyDescent="0.25">
      <c r="A451" s="669"/>
    </row>
    <row r="452" spans="1:1" x14ac:dyDescent="0.25">
      <c r="A452" s="669"/>
    </row>
    <row r="453" spans="1:1" x14ac:dyDescent="0.25">
      <c r="A453" s="669"/>
    </row>
    <row r="454" spans="1:1" x14ac:dyDescent="0.25">
      <c r="A454" s="669"/>
    </row>
    <row r="455" spans="1:1" x14ac:dyDescent="0.25">
      <c r="A455" s="669"/>
    </row>
    <row r="456" spans="1:1" x14ac:dyDescent="0.25">
      <c r="A456" s="669"/>
    </row>
    <row r="457" spans="1:1" x14ac:dyDescent="0.25">
      <c r="A457" s="669"/>
    </row>
    <row r="459" spans="1:1" x14ac:dyDescent="0.25">
      <c r="A459" s="669"/>
    </row>
    <row r="461" spans="1:1" x14ac:dyDescent="0.25">
      <c r="A461" s="669"/>
    </row>
    <row r="463" spans="1:1" x14ac:dyDescent="0.25">
      <c r="A463" s="669"/>
    </row>
    <row r="464" spans="1:1" x14ac:dyDescent="0.25">
      <c r="A464" s="669"/>
    </row>
    <row r="466" spans="1:1" x14ac:dyDescent="0.25">
      <c r="A466" s="669"/>
    </row>
    <row r="467" spans="1:1" x14ac:dyDescent="0.25">
      <c r="A467" s="669"/>
    </row>
    <row r="468" spans="1:1" x14ac:dyDescent="0.25">
      <c r="A468" s="669"/>
    </row>
    <row r="472" spans="1:1" x14ac:dyDescent="0.25">
      <c r="A472" s="669"/>
    </row>
    <row r="473" spans="1:1" x14ac:dyDescent="0.25">
      <c r="A473" s="669"/>
    </row>
    <row r="474" spans="1:1" x14ac:dyDescent="0.25">
      <c r="A474" s="669"/>
    </row>
    <row r="475" spans="1:1" x14ac:dyDescent="0.25">
      <c r="A475" s="669"/>
    </row>
    <row r="476" spans="1:1" x14ac:dyDescent="0.25">
      <c r="A476" s="669"/>
    </row>
    <row r="477" spans="1:1" x14ac:dyDescent="0.25">
      <c r="A477" s="669"/>
    </row>
    <row r="478" spans="1:1" x14ac:dyDescent="0.25">
      <c r="A478" s="669"/>
    </row>
    <row r="479" spans="1:1" x14ac:dyDescent="0.25">
      <c r="A479" s="669"/>
    </row>
    <row r="480" spans="1:1" x14ac:dyDescent="0.25">
      <c r="A480" s="669"/>
    </row>
    <row r="481" spans="1:1" x14ac:dyDescent="0.25">
      <c r="A481" s="669"/>
    </row>
    <row r="482" spans="1:1" x14ac:dyDescent="0.25">
      <c r="A482" s="669"/>
    </row>
    <row r="483" spans="1:1" x14ac:dyDescent="0.25">
      <c r="A483" s="669"/>
    </row>
    <row r="485" spans="1:1" x14ac:dyDescent="0.25">
      <c r="A485" s="669"/>
    </row>
    <row r="487" spans="1:1" x14ac:dyDescent="0.25">
      <c r="A487" s="669"/>
    </row>
    <row r="489" spans="1:1" x14ac:dyDescent="0.25">
      <c r="A489" s="669"/>
    </row>
    <row r="490" spans="1:1" x14ac:dyDescent="0.25">
      <c r="A490" s="669"/>
    </row>
    <row r="492" spans="1:1" x14ac:dyDescent="0.25">
      <c r="A492" s="669"/>
    </row>
    <row r="493" spans="1:1" x14ac:dyDescent="0.25">
      <c r="A493" s="669"/>
    </row>
    <row r="494" spans="1:1" x14ac:dyDescent="0.25">
      <c r="A494" s="669"/>
    </row>
    <row r="498" spans="1:1" x14ac:dyDescent="0.25">
      <c r="A498" s="669"/>
    </row>
    <row r="499" spans="1:1" x14ac:dyDescent="0.25">
      <c r="A499" s="669"/>
    </row>
    <row r="500" spans="1:1" x14ac:dyDescent="0.25">
      <c r="A500" s="669"/>
    </row>
    <row r="501" spans="1:1" x14ac:dyDescent="0.25">
      <c r="A501" s="669"/>
    </row>
    <row r="502" spans="1:1" x14ac:dyDescent="0.25">
      <c r="A502" s="669"/>
    </row>
    <row r="503" spans="1:1" x14ac:dyDescent="0.25">
      <c r="A503" s="669"/>
    </row>
    <row r="504" spans="1:1" x14ac:dyDescent="0.25">
      <c r="A504" s="669"/>
    </row>
    <row r="505" spans="1:1" x14ac:dyDescent="0.25">
      <c r="A505" s="669"/>
    </row>
    <row r="506" spans="1:1" x14ac:dyDescent="0.25">
      <c r="A506" s="669"/>
    </row>
    <row r="507" spans="1:1" x14ac:dyDescent="0.25">
      <c r="A507" s="669"/>
    </row>
    <row r="508" spans="1:1" x14ac:dyDescent="0.25">
      <c r="A508" s="669"/>
    </row>
    <row r="509" spans="1:1" x14ac:dyDescent="0.25">
      <c r="A509" s="669"/>
    </row>
    <row r="511" spans="1:1" x14ac:dyDescent="0.25">
      <c r="A511" s="669"/>
    </row>
    <row r="513" spans="1:1" x14ac:dyDescent="0.25">
      <c r="A513" s="669"/>
    </row>
    <row r="515" spans="1:1" x14ac:dyDescent="0.25">
      <c r="A515" s="669"/>
    </row>
    <row r="516" spans="1:1" x14ac:dyDescent="0.25">
      <c r="A516" s="669"/>
    </row>
    <row r="518" spans="1:1" x14ac:dyDescent="0.25">
      <c r="A518" s="669"/>
    </row>
    <row r="519" spans="1:1" x14ac:dyDescent="0.25">
      <c r="A519" s="669"/>
    </row>
    <row r="520" spans="1:1" x14ac:dyDescent="0.25">
      <c r="A520" s="669"/>
    </row>
    <row r="524" spans="1:1" x14ac:dyDescent="0.25">
      <c r="A524" s="669"/>
    </row>
    <row r="525" spans="1:1" x14ac:dyDescent="0.25">
      <c r="A525" s="669"/>
    </row>
    <row r="526" spans="1:1" x14ac:dyDescent="0.25">
      <c r="A526" s="669"/>
    </row>
    <row r="527" spans="1:1" x14ac:dyDescent="0.25">
      <c r="A527" s="669"/>
    </row>
    <row r="528" spans="1:1" x14ac:dyDescent="0.25">
      <c r="A528" s="669"/>
    </row>
    <row r="529" spans="1:1" x14ac:dyDescent="0.25">
      <c r="A529" s="669"/>
    </row>
    <row r="530" spans="1:1" x14ac:dyDescent="0.25">
      <c r="A530" s="669"/>
    </row>
    <row r="531" spans="1:1" x14ac:dyDescent="0.25">
      <c r="A531" s="669"/>
    </row>
    <row r="532" spans="1:1" x14ac:dyDescent="0.25">
      <c r="A532" s="669"/>
    </row>
    <row r="533" spans="1:1" x14ac:dyDescent="0.25">
      <c r="A533" s="669"/>
    </row>
    <row r="534" spans="1:1" x14ac:dyDescent="0.25">
      <c r="A534" s="669"/>
    </row>
    <row r="535" spans="1:1" x14ac:dyDescent="0.25">
      <c r="A535" s="669"/>
    </row>
    <row r="537" spans="1:1" x14ac:dyDescent="0.25">
      <c r="A537" s="669"/>
    </row>
    <row r="539" spans="1:1" x14ac:dyDescent="0.25">
      <c r="A539" s="669"/>
    </row>
    <row r="541" spans="1:1" x14ac:dyDescent="0.25">
      <c r="A541" s="669"/>
    </row>
    <row r="542" spans="1:1" x14ac:dyDescent="0.25">
      <c r="A542" s="669"/>
    </row>
    <row r="544" spans="1:1" x14ac:dyDescent="0.25">
      <c r="A544" s="669"/>
    </row>
    <row r="545" spans="1:1" x14ac:dyDescent="0.25">
      <c r="A545" s="669"/>
    </row>
    <row r="546" spans="1:1" x14ac:dyDescent="0.25">
      <c r="A546" s="669"/>
    </row>
    <row r="550" spans="1:1" x14ac:dyDescent="0.25">
      <c r="A550" s="669"/>
    </row>
    <row r="551" spans="1:1" x14ac:dyDescent="0.25">
      <c r="A551" s="669"/>
    </row>
    <row r="552" spans="1:1" x14ac:dyDescent="0.25">
      <c r="A552" s="669"/>
    </row>
    <row r="553" spans="1:1" x14ac:dyDescent="0.25">
      <c r="A553" s="669"/>
    </row>
    <row r="554" spans="1:1" x14ac:dyDescent="0.25">
      <c r="A554" s="669"/>
    </row>
    <row r="555" spans="1:1" x14ac:dyDescent="0.25">
      <c r="A555" s="669"/>
    </row>
    <row r="556" spans="1:1" x14ac:dyDescent="0.25">
      <c r="A556" s="669"/>
    </row>
    <row r="557" spans="1:1" x14ac:dyDescent="0.25">
      <c r="A557" s="669"/>
    </row>
    <row r="558" spans="1:1" x14ac:dyDescent="0.25">
      <c r="A558" s="669"/>
    </row>
    <row r="559" spans="1:1" x14ac:dyDescent="0.25">
      <c r="A559" s="669"/>
    </row>
    <row r="560" spans="1:1" x14ac:dyDescent="0.25">
      <c r="A560" s="669"/>
    </row>
    <row r="561" spans="1:1" x14ac:dyDescent="0.25">
      <c r="A561" s="669"/>
    </row>
    <row r="563" spans="1:1" x14ac:dyDescent="0.25">
      <c r="A563" s="669"/>
    </row>
    <row r="565" spans="1:1" x14ac:dyDescent="0.25">
      <c r="A565" s="669"/>
    </row>
    <row r="567" spans="1:1" x14ac:dyDescent="0.25">
      <c r="A567" s="669"/>
    </row>
    <row r="568" spans="1:1" x14ac:dyDescent="0.25">
      <c r="A568" s="669"/>
    </row>
    <row r="570" spans="1:1" x14ac:dyDescent="0.25">
      <c r="A570" s="669"/>
    </row>
    <row r="571" spans="1:1" x14ac:dyDescent="0.25">
      <c r="A571" s="669"/>
    </row>
    <row r="572" spans="1:1" x14ac:dyDescent="0.25">
      <c r="A572" s="669"/>
    </row>
    <row r="576" spans="1:1" x14ac:dyDescent="0.25">
      <c r="A576" s="669"/>
    </row>
    <row r="577" spans="1:1" x14ac:dyDescent="0.25">
      <c r="A577" s="669"/>
    </row>
    <row r="578" spans="1:1" x14ac:dyDescent="0.25">
      <c r="A578" s="669"/>
    </row>
    <row r="579" spans="1:1" x14ac:dyDescent="0.25">
      <c r="A579" s="669"/>
    </row>
    <row r="580" spans="1:1" x14ac:dyDescent="0.25">
      <c r="A580" s="669"/>
    </row>
    <row r="581" spans="1:1" x14ac:dyDescent="0.25">
      <c r="A581" s="669"/>
    </row>
    <row r="582" spans="1:1" x14ac:dyDescent="0.25">
      <c r="A582" s="669"/>
    </row>
    <row r="583" spans="1:1" x14ac:dyDescent="0.25">
      <c r="A583" s="669"/>
    </row>
    <row r="584" spans="1:1" x14ac:dyDescent="0.25">
      <c r="A584" s="669"/>
    </row>
    <row r="585" spans="1:1" x14ac:dyDescent="0.25">
      <c r="A585" s="669"/>
    </row>
    <row r="586" spans="1:1" x14ac:dyDescent="0.25">
      <c r="A586" s="669"/>
    </row>
    <row r="587" spans="1:1" x14ac:dyDescent="0.25">
      <c r="A587" s="669"/>
    </row>
    <row r="589" spans="1:1" x14ac:dyDescent="0.25">
      <c r="A589" s="669"/>
    </row>
    <row r="591" spans="1:1" x14ac:dyDescent="0.25">
      <c r="A591" s="669"/>
    </row>
    <row r="593" spans="1:1" x14ac:dyDescent="0.25">
      <c r="A593" s="669"/>
    </row>
    <row r="594" spans="1:1" x14ac:dyDescent="0.25">
      <c r="A594" s="669"/>
    </row>
    <row r="596" spans="1:1" x14ac:dyDescent="0.25">
      <c r="A596" s="669"/>
    </row>
    <row r="597" spans="1:1" x14ac:dyDescent="0.25">
      <c r="A597" s="669"/>
    </row>
    <row r="598" spans="1:1" x14ac:dyDescent="0.25">
      <c r="A598" s="669"/>
    </row>
    <row r="602" spans="1:1" x14ac:dyDescent="0.25">
      <c r="A602" s="669"/>
    </row>
    <row r="603" spans="1:1" x14ac:dyDescent="0.25">
      <c r="A603" s="669"/>
    </row>
    <row r="604" spans="1:1" x14ac:dyDescent="0.25">
      <c r="A604" s="669"/>
    </row>
    <row r="605" spans="1:1" x14ac:dyDescent="0.25">
      <c r="A605" s="669"/>
    </row>
    <row r="606" spans="1:1" x14ac:dyDescent="0.25">
      <c r="A606" s="669"/>
    </row>
    <row r="607" spans="1:1" x14ac:dyDescent="0.25">
      <c r="A607" s="669"/>
    </row>
    <row r="608" spans="1:1" x14ac:dyDescent="0.25">
      <c r="A608" s="669"/>
    </row>
    <row r="609" spans="1:1" x14ac:dyDescent="0.25">
      <c r="A609" s="669"/>
    </row>
    <row r="610" spans="1:1" x14ac:dyDescent="0.25">
      <c r="A610" s="669"/>
    </row>
    <row r="611" spans="1:1" x14ac:dyDescent="0.25">
      <c r="A611" s="669"/>
    </row>
    <row r="612" spans="1:1" x14ac:dyDescent="0.25">
      <c r="A612" s="669"/>
    </row>
    <row r="613" spans="1:1" x14ac:dyDescent="0.25">
      <c r="A613" s="669"/>
    </row>
    <row r="615" spans="1:1" x14ac:dyDescent="0.25">
      <c r="A615" s="669"/>
    </row>
    <row r="617" spans="1:1" x14ac:dyDescent="0.25">
      <c r="A617" s="669"/>
    </row>
    <row r="619" spans="1:1" x14ac:dyDescent="0.25">
      <c r="A619" s="669"/>
    </row>
    <row r="620" spans="1:1" x14ac:dyDescent="0.25">
      <c r="A620" s="669"/>
    </row>
    <row r="622" spans="1:1" x14ac:dyDescent="0.25">
      <c r="A622" s="669"/>
    </row>
    <row r="623" spans="1:1" x14ac:dyDescent="0.25">
      <c r="A623" s="669"/>
    </row>
    <row r="624" spans="1:1" x14ac:dyDescent="0.25">
      <c r="A624" s="669"/>
    </row>
    <row r="628" spans="1:1" x14ac:dyDescent="0.25">
      <c r="A628" s="669"/>
    </row>
    <row r="629" spans="1:1" x14ac:dyDescent="0.25">
      <c r="A629" s="669"/>
    </row>
    <row r="630" spans="1:1" x14ac:dyDescent="0.25">
      <c r="A630" s="669"/>
    </row>
    <row r="631" spans="1:1" x14ac:dyDescent="0.25">
      <c r="A631" s="669"/>
    </row>
    <row r="632" spans="1:1" x14ac:dyDescent="0.25">
      <c r="A632" s="669"/>
    </row>
    <row r="633" spans="1:1" x14ac:dyDescent="0.25">
      <c r="A633" s="669"/>
    </row>
    <row r="634" spans="1:1" x14ac:dyDescent="0.25">
      <c r="A634" s="669"/>
    </row>
    <row r="635" spans="1:1" x14ac:dyDescent="0.25">
      <c r="A635" s="669"/>
    </row>
    <row r="636" spans="1:1" x14ac:dyDescent="0.25">
      <c r="A636" s="669"/>
    </row>
    <row r="637" spans="1:1" x14ac:dyDescent="0.25">
      <c r="A637" s="669"/>
    </row>
    <row r="638" spans="1:1" x14ac:dyDescent="0.25">
      <c r="A638" s="669"/>
    </row>
    <row r="639" spans="1:1" x14ac:dyDescent="0.25">
      <c r="A639" s="669"/>
    </row>
    <row r="641" spans="1:1" x14ac:dyDescent="0.25">
      <c r="A641" s="669"/>
    </row>
    <row r="643" spans="1:1" x14ac:dyDescent="0.25">
      <c r="A643" s="669"/>
    </row>
    <row r="645" spans="1:1" x14ac:dyDescent="0.25">
      <c r="A645" s="669"/>
    </row>
    <row r="646" spans="1:1" x14ac:dyDescent="0.25">
      <c r="A646" s="669"/>
    </row>
    <row r="648" spans="1:1" x14ac:dyDescent="0.25">
      <c r="A648" s="669"/>
    </row>
    <row r="649" spans="1:1" x14ac:dyDescent="0.25">
      <c r="A649" s="669"/>
    </row>
    <row r="650" spans="1:1" x14ac:dyDescent="0.25">
      <c r="A650" s="669"/>
    </row>
    <row r="654" spans="1:1" x14ac:dyDescent="0.25">
      <c r="A654" s="669"/>
    </row>
    <row r="655" spans="1:1" x14ac:dyDescent="0.25">
      <c r="A655" s="669"/>
    </row>
    <row r="656" spans="1:1" x14ac:dyDescent="0.25">
      <c r="A656" s="669"/>
    </row>
    <row r="657" spans="1:1" x14ac:dyDescent="0.25">
      <c r="A657" s="669"/>
    </row>
    <row r="658" spans="1:1" x14ac:dyDescent="0.25">
      <c r="A658" s="669"/>
    </row>
    <row r="659" spans="1:1" x14ac:dyDescent="0.25">
      <c r="A659" s="669"/>
    </row>
    <row r="660" spans="1:1" x14ac:dyDescent="0.25">
      <c r="A660" s="669"/>
    </row>
    <row r="661" spans="1:1" x14ac:dyDescent="0.25">
      <c r="A661" s="669"/>
    </row>
    <row r="662" spans="1:1" x14ac:dyDescent="0.25">
      <c r="A662" s="669"/>
    </row>
    <row r="663" spans="1:1" x14ac:dyDescent="0.25">
      <c r="A663" s="669"/>
    </row>
    <row r="664" spans="1:1" x14ac:dyDescent="0.25">
      <c r="A664" s="669"/>
    </row>
    <row r="665" spans="1:1" x14ac:dyDescent="0.25">
      <c r="A665" s="669"/>
    </row>
    <row r="667" spans="1:1" x14ac:dyDescent="0.25">
      <c r="A667" s="669"/>
    </row>
    <row r="669" spans="1:1" x14ac:dyDescent="0.25">
      <c r="A669" s="669"/>
    </row>
    <row r="671" spans="1:1" x14ac:dyDescent="0.25">
      <c r="A671" s="669"/>
    </row>
    <row r="672" spans="1:1" x14ac:dyDescent="0.25">
      <c r="A672" s="669"/>
    </row>
    <row r="674" spans="1:1" x14ac:dyDescent="0.25">
      <c r="A674" s="669"/>
    </row>
    <row r="675" spans="1:1" x14ac:dyDescent="0.25">
      <c r="A675" s="669"/>
    </row>
    <row r="676" spans="1:1" x14ac:dyDescent="0.25">
      <c r="A676" s="669"/>
    </row>
    <row r="680" spans="1:1" x14ac:dyDescent="0.25">
      <c r="A680" s="669"/>
    </row>
    <row r="681" spans="1:1" x14ac:dyDescent="0.25">
      <c r="A681" s="669"/>
    </row>
    <row r="682" spans="1:1" x14ac:dyDescent="0.25">
      <c r="A682" s="669"/>
    </row>
    <row r="683" spans="1:1" x14ac:dyDescent="0.25">
      <c r="A683" s="669"/>
    </row>
    <row r="684" spans="1:1" x14ac:dyDescent="0.25">
      <c r="A684" s="669"/>
    </row>
    <row r="685" spans="1:1" x14ac:dyDescent="0.25">
      <c r="A685" s="669"/>
    </row>
    <row r="686" spans="1:1" x14ac:dyDescent="0.25">
      <c r="A686" s="669"/>
    </row>
    <row r="687" spans="1:1" x14ac:dyDescent="0.25">
      <c r="A687" s="669"/>
    </row>
    <row r="688" spans="1:1" x14ac:dyDescent="0.25">
      <c r="A688" s="669"/>
    </row>
    <row r="689" spans="1:1" x14ac:dyDescent="0.25">
      <c r="A689" s="669"/>
    </row>
    <row r="690" spans="1:1" x14ac:dyDescent="0.25">
      <c r="A690" s="669"/>
    </row>
    <row r="691" spans="1:1" x14ac:dyDescent="0.25">
      <c r="A691" s="669"/>
    </row>
    <row r="693" spans="1:1" x14ac:dyDescent="0.25">
      <c r="A693" s="669"/>
    </row>
    <row r="695" spans="1:1" x14ac:dyDescent="0.25">
      <c r="A695" s="669"/>
    </row>
    <row r="697" spans="1:1" x14ac:dyDescent="0.25">
      <c r="A697" s="669"/>
    </row>
    <row r="698" spans="1:1" x14ac:dyDescent="0.25">
      <c r="A698" s="669"/>
    </row>
    <row r="700" spans="1:1" x14ac:dyDescent="0.25">
      <c r="A700" s="669"/>
    </row>
    <row r="701" spans="1:1" x14ac:dyDescent="0.25">
      <c r="A701" s="669"/>
    </row>
    <row r="702" spans="1:1" x14ac:dyDescent="0.25">
      <c r="A702" s="669"/>
    </row>
    <row r="706" spans="1:1" x14ac:dyDescent="0.25">
      <c r="A706" s="669"/>
    </row>
    <row r="707" spans="1:1" x14ac:dyDescent="0.25">
      <c r="A707" s="669"/>
    </row>
    <row r="708" spans="1:1" x14ac:dyDescent="0.25">
      <c r="A708" s="669"/>
    </row>
    <row r="709" spans="1:1" x14ac:dyDescent="0.25">
      <c r="A709" s="669"/>
    </row>
    <row r="710" spans="1:1" x14ac:dyDescent="0.25">
      <c r="A710" s="669"/>
    </row>
    <row r="711" spans="1:1" x14ac:dyDescent="0.25">
      <c r="A711" s="669"/>
    </row>
    <row r="712" spans="1:1" x14ac:dyDescent="0.25">
      <c r="A712" s="669"/>
    </row>
    <row r="713" spans="1:1" x14ac:dyDescent="0.25">
      <c r="A713" s="669"/>
    </row>
    <row r="714" spans="1:1" x14ac:dyDescent="0.25">
      <c r="A714" s="669"/>
    </row>
    <row r="715" spans="1:1" x14ac:dyDescent="0.25">
      <c r="A715" s="669"/>
    </row>
    <row r="716" spans="1:1" x14ac:dyDescent="0.25">
      <c r="A716" s="669"/>
    </row>
    <row r="717" spans="1:1" x14ac:dyDescent="0.25">
      <c r="A717" s="669"/>
    </row>
    <row r="719" spans="1:1" x14ac:dyDescent="0.25">
      <c r="A719" s="669"/>
    </row>
    <row r="721" spans="1:1" x14ac:dyDescent="0.25">
      <c r="A721" s="669"/>
    </row>
    <row r="723" spans="1:1" x14ac:dyDescent="0.25">
      <c r="A723" s="669"/>
    </row>
    <row r="724" spans="1:1" x14ac:dyDescent="0.25">
      <c r="A724" s="669"/>
    </row>
    <row r="726" spans="1:1" x14ac:dyDescent="0.25">
      <c r="A726" s="669"/>
    </row>
    <row r="727" spans="1:1" x14ac:dyDescent="0.25">
      <c r="A727" s="669"/>
    </row>
    <row r="728" spans="1:1" x14ac:dyDescent="0.25">
      <c r="A728" s="66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C17"/>
  <sheetViews>
    <sheetView topLeftCell="L1" zoomScaleNormal="100" workbookViewId="0">
      <selection activeCell="AB4" sqref="AB4"/>
    </sheetView>
  </sheetViews>
  <sheetFormatPr defaultRowHeight="12.75" x14ac:dyDescent="0.2"/>
  <cols>
    <col min="1" max="16384" width="9.140625" style="526"/>
  </cols>
  <sheetData>
    <row r="1" spans="1:29" ht="16.5" thickBot="1" x14ac:dyDescent="0.3">
      <c r="A1" s="523" t="s">
        <v>182</v>
      </c>
      <c r="B1" s="524"/>
      <c r="C1" s="525"/>
      <c r="D1" s="525"/>
      <c r="E1" s="525"/>
      <c r="F1" s="525"/>
      <c r="G1" s="525"/>
      <c r="H1" s="525"/>
      <c r="I1" s="525"/>
      <c r="J1" s="525"/>
      <c r="K1" s="525"/>
      <c r="L1" s="525"/>
      <c r="M1" s="525"/>
      <c r="N1" s="525"/>
      <c r="O1" s="525"/>
      <c r="P1" s="525"/>
      <c r="Q1" s="525"/>
      <c r="R1" s="525"/>
      <c r="S1" s="525"/>
      <c r="T1" s="525"/>
      <c r="U1" s="525"/>
      <c r="V1" s="525"/>
      <c r="W1" s="525"/>
      <c r="X1" s="525"/>
      <c r="Z1" s="527"/>
      <c r="AA1" s="527"/>
      <c r="AB1" s="527"/>
      <c r="AC1" s="527"/>
    </row>
    <row r="2" spans="1:29" ht="64.5" hidden="1" customHeight="1" thickBot="1" x14ac:dyDescent="0.3">
      <c r="A2" s="523"/>
      <c r="B2" s="524"/>
      <c r="C2" s="525"/>
      <c r="D2" s="525"/>
      <c r="E2" s="525"/>
      <c r="F2" s="525"/>
      <c r="G2" s="525"/>
      <c r="H2" s="525"/>
      <c r="I2" s="525"/>
      <c r="J2" s="525"/>
      <c r="K2" s="525"/>
      <c r="L2" s="525"/>
      <c r="M2" s="525"/>
      <c r="N2" s="525"/>
      <c r="O2" s="525"/>
      <c r="P2" s="525"/>
      <c r="Q2" s="525"/>
      <c r="R2" s="525"/>
      <c r="S2" s="525"/>
      <c r="T2" s="525"/>
      <c r="U2" s="525"/>
      <c r="V2" s="525"/>
      <c r="W2" s="525"/>
      <c r="X2" s="525"/>
      <c r="Z2" s="528"/>
      <c r="AA2" s="529"/>
      <c r="AB2" s="529"/>
      <c r="AC2" s="530"/>
    </row>
    <row r="3" spans="1:29" ht="13.5" thickBot="1" x14ac:dyDescent="0.25">
      <c r="A3" s="725" t="s">
        <v>183</v>
      </c>
      <c r="B3" s="726"/>
      <c r="C3" s="727" t="s">
        <v>184</v>
      </c>
      <c r="D3" s="728"/>
      <c r="E3" s="728"/>
      <c r="F3" s="728"/>
      <c r="G3" s="729"/>
      <c r="H3" s="727" t="s">
        <v>185</v>
      </c>
      <c r="I3" s="728"/>
      <c r="J3" s="728"/>
      <c r="K3" s="728"/>
      <c r="L3" s="728"/>
      <c r="M3" s="730"/>
      <c r="N3" s="731" t="s">
        <v>186</v>
      </c>
      <c r="O3" s="728"/>
      <c r="P3" s="730"/>
      <c r="Q3" s="723" t="s">
        <v>187</v>
      </c>
      <c r="R3" s="724"/>
      <c r="S3" s="724"/>
      <c r="T3" s="724"/>
      <c r="U3" s="724"/>
      <c r="V3" s="724"/>
      <c r="W3" s="724"/>
      <c r="X3" s="724"/>
      <c r="Y3" s="724"/>
      <c r="Z3" s="725" t="s">
        <v>188</v>
      </c>
      <c r="AA3" s="724"/>
      <c r="AB3" s="724"/>
      <c r="AC3" s="726"/>
    </row>
    <row r="4" spans="1:29" ht="78" thickTop="1" thickBot="1" x14ac:dyDescent="0.25">
      <c r="A4" s="531" t="s">
        <v>111</v>
      </c>
      <c r="B4" s="532" t="s">
        <v>189</v>
      </c>
      <c r="C4" s="533" t="s">
        <v>190</v>
      </c>
      <c r="D4" s="534" t="s">
        <v>191</v>
      </c>
      <c r="E4" s="535" t="s">
        <v>192</v>
      </c>
      <c r="F4" s="534" t="s">
        <v>193</v>
      </c>
      <c r="G4" s="536" t="s">
        <v>194</v>
      </c>
      <c r="H4" s="537" t="s">
        <v>195</v>
      </c>
      <c r="I4" s="538" t="s">
        <v>196</v>
      </c>
      <c r="J4" s="534" t="s">
        <v>191</v>
      </c>
      <c r="K4" s="535" t="s">
        <v>192</v>
      </c>
      <c r="L4" s="534" t="s">
        <v>193</v>
      </c>
      <c r="M4" s="539" t="s">
        <v>197</v>
      </c>
      <c r="N4" s="540" t="s">
        <v>198</v>
      </c>
      <c r="O4" s="534" t="s">
        <v>199</v>
      </c>
      <c r="P4" s="541" t="s">
        <v>200</v>
      </c>
      <c r="Q4" s="540" t="s">
        <v>201</v>
      </c>
      <c r="R4" s="534" t="s">
        <v>202</v>
      </c>
      <c r="S4" s="534" t="s">
        <v>203</v>
      </c>
      <c r="T4" s="534" t="s">
        <v>204</v>
      </c>
      <c r="U4" s="534" t="s">
        <v>205</v>
      </c>
      <c r="V4" s="534" t="s">
        <v>206</v>
      </c>
      <c r="W4" s="534" t="s">
        <v>207</v>
      </c>
      <c r="X4" s="534" t="s">
        <v>208</v>
      </c>
      <c r="Y4" s="542" t="s">
        <v>209</v>
      </c>
      <c r="Z4" s="533" t="s">
        <v>210</v>
      </c>
      <c r="AA4" s="534" t="s">
        <v>211</v>
      </c>
      <c r="AB4" s="534" t="s">
        <v>212</v>
      </c>
      <c r="AC4" s="543" t="s">
        <v>213</v>
      </c>
    </row>
    <row r="5" spans="1:29" ht="25.5" x14ac:dyDescent="0.2">
      <c r="A5" s="544" t="s">
        <v>214</v>
      </c>
      <c r="B5" s="545">
        <v>6</v>
      </c>
      <c r="C5" s="546" t="s">
        <v>215</v>
      </c>
      <c r="D5" s="547">
        <v>0.625</v>
      </c>
      <c r="E5" s="548" t="s">
        <v>216</v>
      </c>
      <c r="F5" s="547">
        <v>50</v>
      </c>
      <c r="G5" s="549">
        <v>2</v>
      </c>
      <c r="H5" s="550" t="s">
        <v>114</v>
      </c>
      <c r="I5" s="547" t="s">
        <v>115</v>
      </c>
      <c r="J5" s="551">
        <v>0.625</v>
      </c>
      <c r="K5" s="552" t="s">
        <v>216</v>
      </c>
      <c r="L5" s="551">
        <v>50</v>
      </c>
      <c r="M5" s="553">
        <v>9</v>
      </c>
      <c r="N5" s="554">
        <f t="shared" ref="N5:N15" si="0">P5*2+R5*2+S5*(Q5/4-1)*2</f>
        <v>11</v>
      </c>
      <c r="O5" s="555">
        <f t="shared" ref="O5:O14" si="1">N5/2-P5</f>
        <v>4</v>
      </c>
      <c r="P5" s="553">
        <v>1.5</v>
      </c>
      <c r="Q5" s="556">
        <v>4</v>
      </c>
      <c r="R5" s="551">
        <v>4</v>
      </c>
      <c r="S5" s="551">
        <v>0</v>
      </c>
      <c r="T5" s="551" t="s">
        <v>6</v>
      </c>
      <c r="U5" s="551">
        <v>1</v>
      </c>
      <c r="V5" s="551">
        <v>1.125</v>
      </c>
      <c r="W5" s="551">
        <v>3</v>
      </c>
      <c r="X5" s="551" t="s">
        <v>179</v>
      </c>
      <c r="Y5" s="557" t="s">
        <v>180</v>
      </c>
      <c r="Z5" s="558">
        <f t="shared" ref="Z5:Z15" si="2">2*P5+0.5+G5</f>
        <v>5.5</v>
      </c>
      <c r="AA5" s="551">
        <f t="shared" ref="AA5:AA15" si="3">Z5+0.375</f>
        <v>5.875</v>
      </c>
      <c r="AB5" s="551">
        <f t="shared" ref="AB5:AB15" si="4">Z5+D5-P5</f>
        <v>4.625</v>
      </c>
      <c r="AC5" s="559">
        <f t="shared" ref="AC5:AC17" si="5">AB5+0.1875</f>
        <v>4.8125</v>
      </c>
    </row>
    <row r="6" spans="1:29" ht="25.5" x14ac:dyDescent="0.2">
      <c r="A6" s="560" t="s">
        <v>217</v>
      </c>
      <c r="B6" s="561">
        <v>8</v>
      </c>
      <c r="C6" s="562" t="s">
        <v>218</v>
      </c>
      <c r="D6" s="563">
        <v>0.625</v>
      </c>
      <c r="E6" s="548" t="s">
        <v>219</v>
      </c>
      <c r="F6" s="563">
        <v>65</v>
      </c>
      <c r="G6" s="564">
        <v>2</v>
      </c>
      <c r="H6" s="565" t="s">
        <v>116</v>
      </c>
      <c r="I6" s="563" t="s">
        <v>117</v>
      </c>
      <c r="J6" s="566">
        <v>0.625</v>
      </c>
      <c r="K6" s="552" t="s">
        <v>216</v>
      </c>
      <c r="L6" s="566">
        <v>50</v>
      </c>
      <c r="M6" s="561">
        <v>11</v>
      </c>
      <c r="N6" s="554">
        <f t="shared" si="0"/>
        <v>15</v>
      </c>
      <c r="O6" s="555">
        <f t="shared" si="1"/>
        <v>6</v>
      </c>
      <c r="P6" s="561">
        <v>1.5</v>
      </c>
      <c r="Q6" s="567">
        <v>8</v>
      </c>
      <c r="R6" s="566">
        <v>3</v>
      </c>
      <c r="S6" s="566">
        <v>3</v>
      </c>
      <c r="T6" s="566" t="s">
        <v>6</v>
      </c>
      <c r="U6" s="566">
        <v>1</v>
      </c>
      <c r="V6" s="566">
        <v>1.125</v>
      </c>
      <c r="W6" s="566">
        <v>3</v>
      </c>
      <c r="X6" s="566" t="s">
        <v>179</v>
      </c>
      <c r="Y6" s="568" t="s">
        <v>180</v>
      </c>
      <c r="Z6" s="560">
        <f t="shared" si="2"/>
        <v>5.5</v>
      </c>
      <c r="AA6" s="566">
        <f t="shared" si="3"/>
        <v>5.875</v>
      </c>
      <c r="AB6" s="566">
        <f t="shared" si="4"/>
        <v>4.625</v>
      </c>
      <c r="AC6" s="569">
        <f t="shared" si="5"/>
        <v>4.8125</v>
      </c>
    </row>
    <row r="7" spans="1:29" ht="25.5" x14ac:dyDescent="0.2">
      <c r="A7" s="560" t="s">
        <v>220</v>
      </c>
      <c r="B7" s="561">
        <v>10</v>
      </c>
      <c r="C7" s="562" t="s">
        <v>221</v>
      </c>
      <c r="D7" s="563">
        <v>0.75</v>
      </c>
      <c r="E7" s="548" t="s">
        <v>219</v>
      </c>
      <c r="F7" s="563">
        <v>65</v>
      </c>
      <c r="G7" s="564">
        <v>2.25</v>
      </c>
      <c r="H7" s="565" t="s">
        <v>112</v>
      </c>
      <c r="I7" s="563" t="s">
        <v>113</v>
      </c>
      <c r="J7" s="566">
        <v>0.75</v>
      </c>
      <c r="K7" s="552" t="s">
        <v>216</v>
      </c>
      <c r="L7" s="566">
        <v>50</v>
      </c>
      <c r="M7" s="561">
        <v>13</v>
      </c>
      <c r="N7" s="554">
        <f t="shared" si="0"/>
        <v>17</v>
      </c>
      <c r="O7" s="555">
        <f t="shared" si="1"/>
        <v>7</v>
      </c>
      <c r="P7" s="561">
        <v>1.5</v>
      </c>
      <c r="Q7" s="567">
        <v>8</v>
      </c>
      <c r="R7" s="566">
        <v>4</v>
      </c>
      <c r="S7" s="566">
        <v>3</v>
      </c>
      <c r="T7" s="566" t="s">
        <v>6</v>
      </c>
      <c r="U7" s="566">
        <v>1</v>
      </c>
      <c r="V7" s="566">
        <v>1.125</v>
      </c>
      <c r="W7" s="566">
        <v>3.25</v>
      </c>
      <c r="X7" s="566" t="s">
        <v>179</v>
      </c>
      <c r="Y7" s="568" t="s">
        <v>180</v>
      </c>
      <c r="Z7" s="560">
        <f t="shared" si="2"/>
        <v>5.75</v>
      </c>
      <c r="AA7" s="566">
        <f t="shared" si="3"/>
        <v>6.125</v>
      </c>
      <c r="AB7" s="566">
        <f t="shared" si="4"/>
        <v>5</v>
      </c>
      <c r="AC7" s="569">
        <f t="shared" si="5"/>
        <v>5.1875</v>
      </c>
    </row>
    <row r="8" spans="1:29" ht="25.5" x14ac:dyDescent="0.2">
      <c r="A8" s="560" t="s">
        <v>222</v>
      </c>
      <c r="B8" s="561">
        <v>12</v>
      </c>
      <c r="C8" s="562" t="s">
        <v>223</v>
      </c>
      <c r="D8" s="563">
        <v>0.75</v>
      </c>
      <c r="E8" s="548" t="s">
        <v>219</v>
      </c>
      <c r="F8" s="563">
        <v>65</v>
      </c>
      <c r="G8" s="564">
        <v>2.25</v>
      </c>
      <c r="H8" s="565" t="s">
        <v>118</v>
      </c>
      <c r="I8" s="563" t="s">
        <v>119</v>
      </c>
      <c r="J8" s="566">
        <v>0.75</v>
      </c>
      <c r="K8" s="552" t="s">
        <v>216</v>
      </c>
      <c r="L8" s="566">
        <v>50</v>
      </c>
      <c r="M8" s="561">
        <v>15</v>
      </c>
      <c r="N8" s="554">
        <f t="shared" si="0"/>
        <v>21</v>
      </c>
      <c r="O8" s="555">
        <f t="shared" si="1"/>
        <v>9</v>
      </c>
      <c r="P8" s="561">
        <v>1.5</v>
      </c>
      <c r="Q8" s="567">
        <v>12</v>
      </c>
      <c r="R8" s="566">
        <v>3</v>
      </c>
      <c r="S8" s="566">
        <v>3</v>
      </c>
      <c r="T8" s="566" t="s">
        <v>6</v>
      </c>
      <c r="U8" s="566">
        <v>1</v>
      </c>
      <c r="V8" s="566">
        <v>1.125</v>
      </c>
      <c r="W8" s="566">
        <v>3.25</v>
      </c>
      <c r="X8" s="566" t="s">
        <v>179</v>
      </c>
      <c r="Y8" s="568" t="s">
        <v>180</v>
      </c>
      <c r="Z8" s="560">
        <f t="shared" si="2"/>
        <v>5.75</v>
      </c>
      <c r="AA8" s="566">
        <f t="shared" si="3"/>
        <v>6.125</v>
      </c>
      <c r="AB8" s="566">
        <f t="shared" si="4"/>
        <v>5</v>
      </c>
      <c r="AC8" s="569">
        <f t="shared" si="5"/>
        <v>5.1875</v>
      </c>
    </row>
    <row r="9" spans="1:29" ht="25.5" x14ac:dyDescent="0.2">
      <c r="A9" s="560" t="s">
        <v>224</v>
      </c>
      <c r="B9" s="561">
        <v>14</v>
      </c>
      <c r="C9" s="562" t="s">
        <v>225</v>
      </c>
      <c r="D9" s="563">
        <v>0.75</v>
      </c>
      <c r="E9" s="548" t="s">
        <v>219</v>
      </c>
      <c r="F9" s="563">
        <v>65</v>
      </c>
      <c r="G9" s="564">
        <v>2.25</v>
      </c>
      <c r="H9" s="565" t="s">
        <v>120</v>
      </c>
      <c r="I9" s="563" t="s">
        <v>121</v>
      </c>
      <c r="J9" s="566">
        <v>0.75</v>
      </c>
      <c r="K9" s="552" t="s">
        <v>216</v>
      </c>
      <c r="L9" s="566">
        <v>50</v>
      </c>
      <c r="M9" s="561">
        <v>17</v>
      </c>
      <c r="N9" s="554">
        <f t="shared" si="0"/>
        <v>27.5</v>
      </c>
      <c r="O9" s="555">
        <f t="shared" si="1"/>
        <v>12</v>
      </c>
      <c r="P9" s="561">
        <v>1.75</v>
      </c>
      <c r="Q9" s="567">
        <v>12</v>
      </c>
      <c r="R9" s="566">
        <v>4</v>
      </c>
      <c r="S9" s="566">
        <v>4</v>
      </c>
      <c r="T9" s="566" t="s">
        <v>6</v>
      </c>
      <c r="U9" s="566">
        <v>1.25</v>
      </c>
      <c r="V9" s="566">
        <v>1.375</v>
      </c>
      <c r="W9" s="566">
        <v>3.5</v>
      </c>
      <c r="X9" s="566" t="s">
        <v>179</v>
      </c>
      <c r="Y9" s="568" t="s">
        <v>180</v>
      </c>
      <c r="Z9" s="560">
        <f t="shared" si="2"/>
        <v>6.25</v>
      </c>
      <c r="AA9" s="566">
        <f t="shared" si="3"/>
        <v>6.625</v>
      </c>
      <c r="AB9" s="566">
        <f t="shared" si="4"/>
        <v>5.25</v>
      </c>
      <c r="AC9" s="569">
        <f t="shared" si="5"/>
        <v>5.4375</v>
      </c>
    </row>
    <row r="10" spans="1:29" ht="25.5" x14ac:dyDescent="0.2">
      <c r="A10" s="570" t="s">
        <v>226</v>
      </c>
      <c r="B10" s="564">
        <v>16.5</v>
      </c>
      <c r="C10" s="562" t="s">
        <v>227</v>
      </c>
      <c r="D10" s="563">
        <v>0.75</v>
      </c>
      <c r="E10" s="548" t="s">
        <v>219</v>
      </c>
      <c r="F10" s="563">
        <v>65</v>
      </c>
      <c r="G10" s="564">
        <v>2.25</v>
      </c>
      <c r="H10" s="565" t="s">
        <v>122</v>
      </c>
      <c r="I10" s="563" t="s">
        <v>123</v>
      </c>
      <c r="J10" s="563">
        <v>0.75</v>
      </c>
      <c r="K10" s="548" t="s">
        <v>219</v>
      </c>
      <c r="L10" s="563">
        <v>65</v>
      </c>
      <c r="M10" s="564">
        <v>19.5</v>
      </c>
      <c r="N10" s="554">
        <f t="shared" si="0"/>
        <v>26</v>
      </c>
      <c r="O10" s="555">
        <f t="shared" si="1"/>
        <v>11.25</v>
      </c>
      <c r="P10" s="564">
        <v>1.75</v>
      </c>
      <c r="Q10" s="565">
        <v>12</v>
      </c>
      <c r="R10" s="563">
        <v>3.75</v>
      </c>
      <c r="S10" s="563">
        <v>3.75</v>
      </c>
      <c r="T10" s="563" t="s">
        <v>6</v>
      </c>
      <c r="U10" s="563">
        <v>1.25</v>
      </c>
      <c r="V10" s="563">
        <v>1.375</v>
      </c>
      <c r="W10" s="563">
        <v>3.5</v>
      </c>
      <c r="X10" s="563" t="s">
        <v>179</v>
      </c>
      <c r="Y10" s="571" t="s">
        <v>180</v>
      </c>
      <c r="Z10" s="570">
        <f t="shared" si="2"/>
        <v>6.25</v>
      </c>
      <c r="AA10" s="563">
        <f t="shared" si="3"/>
        <v>6.625</v>
      </c>
      <c r="AB10" s="563">
        <f t="shared" si="4"/>
        <v>5.25</v>
      </c>
      <c r="AC10" s="572">
        <f t="shared" si="5"/>
        <v>5.4375</v>
      </c>
    </row>
    <row r="11" spans="1:29" ht="25.5" x14ac:dyDescent="0.2">
      <c r="A11" s="570" t="s">
        <v>228</v>
      </c>
      <c r="B11" s="564">
        <v>16.5</v>
      </c>
      <c r="C11" s="562" t="s">
        <v>229</v>
      </c>
      <c r="D11" s="563">
        <v>1</v>
      </c>
      <c r="E11" s="548" t="s">
        <v>219</v>
      </c>
      <c r="F11" s="563">
        <v>65</v>
      </c>
      <c r="G11" s="564">
        <v>3</v>
      </c>
      <c r="H11" s="565" t="s">
        <v>124</v>
      </c>
      <c r="I11" s="563" t="s">
        <v>125</v>
      </c>
      <c r="J11" s="563">
        <v>0.75</v>
      </c>
      <c r="K11" s="548" t="s">
        <v>219</v>
      </c>
      <c r="L11" s="563">
        <v>65</v>
      </c>
      <c r="M11" s="564">
        <v>20.5</v>
      </c>
      <c r="N11" s="554">
        <f t="shared" si="0"/>
        <v>29</v>
      </c>
      <c r="O11" s="555">
        <f t="shared" si="1"/>
        <v>12.5</v>
      </c>
      <c r="P11" s="564">
        <v>2</v>
      </c>
      <c r="Q11" s="565">
        <v>12</v>
      </c>
      <c r="R11" s="563">
        <v>4.5</v>
      </c>
      <c r="S11" s="563">
        <v>4</v>
      </c>
      <c r="T11" s="563" t="s">
        <v>6</v>
      </c>
      <c r="U11" s="563">
        <v>1.5</v>
      </c>
      <c r="V11" s="563">
        <v>1.625</v>
      </c>
      <c r="W11" s="563">
        <v>4</v>
      </c>
      <c r="X11" s="563" t="s">
        <v>179</v>
      </c>
      <c r="Y11" s="571" t="s">
        <v>180</v>
      </c>
      <c r="Z11" s="570">
        <f t="shared" si="2"/>
        <v>7.5</v>
      </c>
      <c r="AA11" s="563">
        <f t="shared" si="3"/>
        <v>7.875</v>
      </c>
      <c r="AB11" s="563">
        <f t="shared" si="4"/>
        <v>6.5</v>
      </c>
      <c r="AC11" s="572">
        <f t="shared" si="5"/>
        <v>6.6875</v>
      </c>
    </row>
    <row r="12" spans="1:29" ht="25.5" x14ac:dyDescent="0.2">
      <c r="A12" s="570" t="s">
        <v>230</v>
      </c>
      <c r="B12" s="564">
        <v>18</v>
      </c>
      <c r="C12" s="562" t="s">
        <v>231</v>
      </c>
      <c r="D12" s="563">
        <v>1</v>
      </c>
      <c r="E12" s="548" t="s">
        <v>219</v>
      </c>
      <c r="F12" s="563">
        <v>65</v>
      </c>
      <c r="G12" s="564">
        <v>3</v>
      </c>
      <c r="H12" s="565" t="s">
        <v>126</v>
      </c>
      <c r="I12" s="563" t="s">
        <v>127</v>
      </c>
      <c r="J12" s="563">
        <v>0.75</v>
      </c>
      <c r="K12" s="548" t="s">
        <v>219</v>
      </c>
      <c r="L12" s="563">
        <v>65</v>
      </c>
      <c r="M12" s="564">
        <v>22</v>
      </c>
      <c r="N12" s="554">
        <f t="shared" si="0"/>
        <v>31.5</v>
      </c>
      <c r="O12" s="555">
        <f t="shared" si="1"/>
        <v>14</v>
      </c>
      <c r="P12" s="564">
        <v>1.75</v>
      </c>
      <c r="Q12" s="565">
        <v>16</v>
      </c>
      <c r="R12" s="563">
        <v>3.5</v>
      </c>
      <c r="S12" s="563">
        <v>3.5</v>
      </c>
      <c r="T12" s="563" t="s">
        <v>6</v>
      </c>
      <c r="U12" s="563">
        <v>1.25</v>
      </c>
      <c r="V12" s="563">
        <v>1.375</v>
      </c>
      <c r="W12" s="563">
        <v>4</v>
      </c>
      <c r="X12" s="563" t="s">
        <v>179</v>
      </c>
      <c r="Y12" s="571" t="s">
        <v>180</v>
      </c>
      <c r="Z12" s="570">
        <f t="shared" si="2"/>
        <v>7</v>
      </c>
      <c r="AA12" s="563">
        <f t="shared" si="3"/>
        <v>7.375</v>
      </c>
      <c r="AB12" s="563">
        <f t="shared" si="4"/>
        <v>6.25</v>
      </c>
      <c r="AC12" s="572">
        <f t="shared" si="5"/>
        <v>6.4375</v>
      </c>
    </row>
    <row r="13" spans="1:29" ht="25.5" x14ac:dyDescent="0.2">
      <c r="A13" s="570" t="s">
        <v>232</v>
      </c>
      <c r="B13" s="564">
        <v>23.5</v>
      </c>
      <c r="C13" s="562" t="s">
        <v>233</v>
      </c>
      <c r="D13" s="563">
        <v>1</v>
      </c>
      <c r="E13" s="548" t="s">
        <v>219</v>
      </c>
      <c r="F13" s="563">
        <v>65</v>
      </c>
      <c r="G13" s="564">
        <v>3</v>
      </c>
      <c r="H13" s="565" t="s">
        <v>128</v>
      </c>
      <c r="I13" s="563" t="s">
        <v>129</v>
      </c>
      <c r="J13" s="563">
        <v>0.75</v>
      </c>
      <c r="K13" s="548" t="s">
        <v>219</v>
      </c>
      <c r="L13" s="563">
        <v>65</v>
      </c>
      <c r="M13" s="564">
        <v>27.5</v>
      </c>
      <c r="N13" s="554">
        <f t="shared" si="0"/>
        <v>38.5</v>
      </c>
      <c r="O13" s="555">
        <f t="shared" si="1"/>
        <v>17.5</v>
      </c>
      <c r="P13" s="564">
        <v>1.75</v>
      </c>
      <c r="Q13" s="565">
        <v>20</v>
      </c>
      <c r="R13" s="563">
        <v>3.5</v>
      </c>
      <c r="S13" s="563">
        <v>3.5</v>
      </c>
      <c r="T13" s="563" t="s">
        <v>6</v>
      </c>
      <c r="U13" s="563">
        <v>1.25</v>
      </c>
      <c r="V13" s="563">
        <v>1.375</v>
      </c>
      <c r="W13" s="563">
        <v>4</v>
      </c>
      <c r="X13" s="563" t="s">
        <v>179</v>
      </c>
      <c r="Y13" s="571" t="s">
        <v>180</v>
      </c>
      <c r="Z13" s="570">
        <f t="shared" si="2"/>
        <v>7</v>
      </c>
      <c r="AA13" s="563">
        <f t="shared" si="3"/>
        <v>7.375</v>
      </c>
      <c r="AB13" s="563">
        <f t="shared" si="4"/>
        <v>6.25</v>
      </c>
      <c r="AC13" s="572">
        <f t="shared" si="5"/>
        <v>6.4375</v>
      </c>
    </row>
    <row r="14" spans="1:29" ht="25.5" x14ac:dyDescent="0.2">
      <c r="A14" s="570" t="s">
        <v>234</v>
      </c>
      <c r="B14" s="564">
        <v>21</v>
      </c>
      <c r="C14" s="562" t="s">
        <v>235</v>
      </c>
      <c r="D14" s="563">
        <v>1</v>
      </c>
      <c r="E14" s="548" t="s">
        <v>219</v>
      </c>
      <c r="F14" s="563">
        <v>65</v>
      </c>
      <c r="G14" s="564">
        <v>3</v>
      </c>
      <c r="H14" s="565" t="s">
        <v>130</v>
      </c>
      <c r="I14" s="563" t="s">
        <v>131</v>
      </c>
      <c r="J14" s="563">
        <v>1</v>
      </c>
      <c r="K14" s="548" t="s">
        <v>219</v>
      </c>
      <c r="L14" s="563">
        <v>65</v>
      </c>
      <c r="M14" s="564">
        <v>25</v>
      </c>
      <c r="N14" s="554">
        <f t="shared" si="0"/>
        <v>31</v>
      </c>
      <c r="O14" s="555">
        <f t="shared" si="1"/>
        <v>13.5</v>
      </c>
      <c r="P14" s="564">
        <v>2</v>
      </c>
      <c r="Q14" s="565">
        <v>12</v>
      </c>
      <c r="R14" s="563">
        <v>4.5</v>
      </c>
      <c r="S14" s="563">
        <v>4.5</v>
      </c>
      <c r="T14" s="563" t="s">
        <v>6</v>
      </c>
      <c r="U14" s="563">
        <v>1.5</v>
      </c>
      <c r="V14" s="563">
        <v>1.625</v>
      </c>
      <c r="W14" s="563">
        <v>4.5</v>
      </c>
      <c r="X14" s="563" t="s">
        <v>179</v>
      </c>
      <c r="Y14" s="571" t="s">
        <v>180</v>
      </c>
      <c r="Z14" s="570">
        <f t="shared" si="2"/>
        <v>7.5</v>
      </c>
      <c r="AA14" s="563">
        <f t="shared" si="3"/>
        <v>7.875</v>
      </c>
      <c r="AB14" s="563">
        <f t="shared" si="4"/>
        <v>6.5</v>
      </c>
      <c r="AC14" s="572">
        <f t="shared" si="5"/>
        <v>6.6875</v>
      </c>
    </row>
    <row r="15" spans="1:29" ht="25.5" x14ac:dyDescent="0.2">
      <c r="A15" s="732" t="s">
        <v>236</v>
      </c>
      <c r="B15" s="573">
        <v>5</v>
      </c>
      <c r="C15" s="562" t="s">
        <v>237</v>
      </c>
      <c r="D15" s="574">
        <v>0.625</v>
      </c>
      <c r="E15" s="712" t="s">
        <v>219</v>
      </c>
      <c r="F15" s="712">
        <v>65</v>
      </c>
      <c r="G15" s="712">
        <v>2</v>
      </c>
      <c r="H15" s="721" t="s">
        <v>132</v>
      </c>
      <c r="I15" s="712" t="s">
        <v>133</v>
      </c>
      <c r="J15" s="712">
        <v>0.625</v>
      </c>
      <c r="K15" s="712" t="s">
        <v>219</v>
      </c>
      <c r="L15" s="712">
        <v>65</v>
      </c>
      <c r="M15" s="712">
        <v>9</v>
      </c>
      <c r="N15" s="721">
        <f t="shared" si="0"/>
        <v>16</v>
      </c>
      <c r="O15" s="712">
        <f>N15/2-P15</f>
        <v>6.5</v>
      </c>
      <c r="P15" s="712">
        <v>1.5</v>
      </c>
      <c r="Q15" s="721">
        <v>8</v>
      </c>
      <c r="R15" s="712">
        <v>3.5</v>
      </c>
      <c r="S15" s="712">
        <v>3</v>
      </c>
      <c r="T15" s="712" t="s">
        <v>6</v>
      </c>
      <c r="U15" s="712">
        <v>1</v>
      </c>
      <c r="V15" s="712">
        <v>1.125</v>
      </c>
      <c r="W15" s="712">
        <v>3</v>
      </c>
      <c r="X15" s="712" t="s">
        <v>179</v>
      </c>
      <c r="Y15" s="717" t="s">
        <v>180</v>
      </c>
      <c r="Z15" s="719">
        <f t="shared" si="2"/>
        <v>5.5</v>
      </c>
      <c r="AA15" s="712">
        <f t="shared" si="3"/>
        <v>5.875</v>
      </c>
      <c r="AB15" s="712">
        <f t="shared" si="4"/>
        <v>4.625</v>
      </c>
      <c r="AC15" s="715">
        <f t="shared" si="5"/>
        <v>4.8125</v>
      </c>
    </row>
    <row r="16" spans="1:29" ht="25.5" x14ac:dyDescent="0.2">
      <c r="A16" s="733"/>
      <c r="B16" s="573" t="s">
        <v>238</v>
      </c>
      <c r="C16" s="562" t="s">
        <v>239</v>
      </c>
      <c r="D16" s="574">
        <v>0.625</v>
      </c>
      <c r="E16" s="713"/>
      <c r="F16" s="713">
        <v>65</v>
      </c>
      <c r="G16" s="713">
        <v>2</v>
      </c>
      <c r="H16" s="722"/>
      <c r="I16" s="713" t="s">
        <v>133</v>
      </c>
      <c r="J16" s="713">
        <v>0.625</v>
      </c>
      <c r="K16" s="713" t="s">
        <v>219</v>
      </c>
      <c r="L16" s="713">
        <v>65</v>
      </c>
      <c r="M16" s="713">
        <v>9</v>
      </c>
      <c r="N16" s="722">
        <f>P16*2+R16*2+S16*(Q16/4-1)*2</f>
        <v>16</v>
      </c>
      <c r="O16" s="713">
        <f>N16/2-P16</f>
        <v>6.5</v>
      </c>
      <c r="P16" s="713">
        <v>1.5</v>
      </c>
      <c r="Q16" s="722">
        <v>8</v>
      </c>
      <c r="R16" s="713">
        <v>3.5</v>
      </c>
      <c r="S16" s="713">
        <v>3</v>
      </c>
      <c r="T16" s="713" t="s">
        <v>6</v>
      </c>
      <c r="U16" s="713">
        <v>1</v>
      </c>
      <c r="V16" s="713">
        <v>1.125</v>
      </c>
      <c r="W16" s="713">
        <v>3</v>
      </c>
      <c r="X16" s="713" t="s">
        <v>179</v>
      </c>
      <c r="Y16" s="718"/>
      <c r="Z16" s="720"/>
      <c r="AA16" s="714"/>
      <c r="AB16" s="714"/>
      <c r="AC16" s="716">
        <f t="shared" si="5"/>
        <v>0.1875</v>
      </c>
    </row>
    <row r="17" spans="1:29" ht="26.25" thickBot="1" x14ac:dyDescent="0.25">
      <c r="A17" s="570" t="s">
        <v>240</v>
      </c>
      <c r="B17" s="573">
        <v>12</v>
      </c>
      <c r="C17" s="562" t="s">
        <v>241</v>
      </c>
      <c r="D17" s="555">
        <v>0.75</v>
      </c>
      <c r="E17" s="575" t="s">
        <v>219</v>
      </c>
      <c r="F17" s="555">
        <v>65</v>
      </c>
      <c r="G17" s="576">
        <v>2.25</v>
      </c>
      <c r="H17" s="554" t="s">
        <v>242</v>
      </c>
      <c r="I17" s="555" t="s">
        <v>243</v>
      </c>
      <c r="J17" s="555">
        <v>0.75</v>
      </c>
      <c r="K17" s="575" t="s">
        <v>216</v>
      </c>
      <c r="L17" s="555">
        <v>50</v>
      </c>
      <c r="M17" s="577">
        <v>15</v>
      </c>
      <c r="N17" s="554">
        <f>P17*2+R17*2+S17*(Q17/4-1)*2</f>
        <v>24</v>
      </c>
      <c r="O17" s="555">
        <f>N17/2-P17</f>
        <v>10</v>
      </c>
      <c r="P17" s="576">
        <v>2</v>
      </c>
      <c r="Q17" s="554">
        <v>12</v>
      </c>
      <c r="R17" s="555">
        <v>3</v>
      </c>
      <c r="S17" s="555">
        <v>3.5</v>
      </c>
      <c r="T17" s="555" t="s">
        <v>6</v>
      </c>
      <c r="U17" s="555">
        <v>1.25</v>
      </c>
      <c r="V17" s="555">
        <v>1.375</v>
      </c>
      <c r="W17" s="555">
        <v>3.5</v>
      </c>
      <c r="X17" s="555" t="s">
        <v>179</v>
      </c>
      <c r="Y17" s="578" t="s">
        <v>180</v>
      </c>
      <c r="Z17" s="579">
        <f>2*P17+0.5+G17</f>
        <v>6.75</v>
      </c>
      <c r="AA17" s="580">
        <f>Z17+0.375</f>
        <v>7.125</v>
      </c>
      <c r="AB17" s="580">
        <f>Z17+D17-P17</f>
        <v>5.5</v>
      </c>
      <c r="AC17" s="581">
        <f t="shared" si="5"/>
        <v>5.6875</v>
      </c>
    </row>
  </sheetData>
  <mergeCells count="32">
    <mergeCell ref="Q3:Y3"/>
    <mergeCell ref="Z3:AC3"/>
    <mergeCell ref="I15:I16"/>
    <mergeCell ref="A3:B3"/>
    <mergeCell ref="C3:G3"/>
    <mergeCell ref="H3:M3"/>
    <mergeCell ref="N3:P3"/>
    <mergeCell ref="A15:A16"/>
    <mergeCell ref="E15:E16"/>
    <mergeCell ref="F15:F16"/>
    <mergeCell ref="G15:G16"/>
    <mergeCell ref="H15:H16"/>
    <mergeCell ref="U15:U16"/>
    <mergeCell ref="J15:J16"/>
    <mergeCell ref="K15:K16"/>
    <mergeCell ref="L15:L16"/>
    <mergeCell ref="M15:M16"/>
    <mergeCell ref="N15:N16"/>
    <mergeCell ref="O15:O16"/>
    <mergeCell ref="P15:P16"/>
    <mergeCell ref="Q15:Q16"/>
    <mergeCell ref="R15:R16"/>
    <mergeCell ref="S15:S16"/>
    <mergeCell ref="T15:T16"/>
    <mergeCell ref="AB15:AB16"/>
    <mergeCell ref="AC15:AC16"/>
    <mergeCell ref="V15:V16"/>
    <mergeCell ref="W15:W16"/>
    <mergeCell ref="X15:X16"/>
    <mergeCell ref="Y15:Y16"/>
    <mergeCell ref="Z15:Z16"/>
    <mergeCell ref="AA15:AA16"/>
  </mergeCell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ArmBracket101617</vt:lpstr>
      <vt:lpstr>ArmBracket110717</vt:lpstr>
      <vt:lpstr>FWTstdBracketsWithHex</vt:lpstr>
      <vt:lpstr>ElementMap</vt:lpstr>
      <vt:lpstr>FWT Std Arm Connections</vt:lpstr>
      <vt:lpstr>ElementMap</vt:lpstr>
      <vt:lpstr>ArmBracket101617!Print_Area</vt:lpstr>
      <vt:lpstr>ArmBracket110717!Print_Area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Rogers</dc:creator>
  <cp:lastModifiedBy>Mark Rogers</cp:lastModifiedBy>
  <cp:lastPrinted>2017-07-25T20:09:14Z</cp:lastPrinted>
  <dcterms:created xsi:type="dcterms:W3CDTF">2006-09-16T00:00:00Z</dcterms:created>
  <dcterms:modified xsi:type="dcterms:W3CDTF">2017-11-07T17:28:35Z</dcterms:modified>
</cp:coreProperties>
</file>