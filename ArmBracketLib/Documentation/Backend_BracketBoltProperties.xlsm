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Documentation\Arms\ConnectionDesignFlow\"/>
    </mc:Choice>
  </mc:AlternateContent>
  <bookViews>
    <workbookView xWindow="240" yWindow="105" windowWidth="14805" windowHeight="8010"/>
  </bookViews>
  <sheets>
    <sheet name="BktBoltProperties" sheetId="11" r:id="rId1"/>
    <sheet name="ArmToBktWeldSize" sheetId="12" r:id="rId2"/>
  </sheets>
  <functionGroups builtInGroupCount="18"/>
  <externalReferences>
    <externalReference r:id="rId3"/>
  </externalReferences>
  <definedNames>
    <definedName name="AVW">[1]Analyze!$U$85</definedName>
    <definedName name="Axial">[1]Analyze!$C$26</definedName>
    <definedName name="cos_22.5">[1]Arm!$H$71</definedName>
    <definedName name="cos_30">[1]Arm!$H$55</definedName>
    <definedName name="d_">[1]Analyze!$U$89</definedName>
    <definedName name="FaceDist">[1]Analyze!$R$90</definedName>
    <definedName name="Flat">[1]Analyze!$U$83</definedName>
    <definedName name="H_mom">[1]Analyze!$C$24</definedName>
    <definedName name="H_Shr">[1]Analyze!$C$28</definedName>
    <definedName name="Knuckles">[1]Analyze!$U$84</definedName>
    <definedName name="sin_30">[1]Arm!$H$54</definedName>
    <definedName name="t">[1]Arm!$N$15</definedName>
    <definedName name="tan_22.5">[1]Arm!$H$72</definedName>
    <definedName name="tan_30">[1]Arm!$H$56</definedName>
    <definedName name="Torq">[1]Analyze!$C$25</definedName>
    <definedName name="V_mom">[1]Analyze!$C$23</definedName>
    <definedName name="V_shr">[1]Analyze!$C$27</definedName>
    <definedName name="WD">[1]Analyze!$U$82</definedName>
    <definedName name="X_">[1]Analyze!$U$91</definedName>
  </definedNames>
  <calcPr calcId="152511"/>
</workbook>
</file>

<file path=xl/calcChain.xml><?xml version="1.0" encoding="utf-8"?>
<calcChain xmlns="http://schemas.openxmlformats.org/spreadsheetml/2006/main">
  <c r="R9" i="11" l="1"/>
  <c r="R8" i="11"/>
  <c r="R7" i="11"/>
  <c r="R6" i="11"/>
  <c r="R5" i="11"/>
  <c r="R4" i="11"/>
  <c r="R3" i="11"/>
  <c r="R2" i="11"/>
  <c r="Q9" i="11"/>
  <c r="Q8" i="11"/>
  <c r="Q7" i="11"/>
  <c r="Q6" i="11"/>
  <c r="Q5" i="11"/>
  <c r="Q4" i="11"/>
  <c r="Q3" i="11"/>
  <c r="Q2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M5" i="11"/>
  <c r="M15" i="11"/>
  <c r="M14" i="11"/>
  <c r="M12" i="11"/>
  <c r="M11" i="11"/>
  <c r="M10" i="11"/>
  <c r="M13" i="11"/>
  <c r="M8" i="11"/>
  <c r="M7" i="11"/>
  <c r="M6" i="11"/>
  <c r="M9" i="11"/>
  <c r="M4" i="11"/>
  <c r="M3" i="11"/>
  <c r="M2" i="11"/>
  <c r="O2" i="11" l="1"/>
  <c r="P2" i="11" s="1"/>
  <c r="O3" i="11"/>
  <c r="P3" i="11" s="1"/>
  <c r="O4" i="11"/>
  <c r="P4" i="11" s="1"/>
  <c r="O9" i="11"/>
  <c r="P9" i="11" s="1"/>
  <c r="O6" i="11"/>
  <c r="P6" i="11" s="1"/>
  <c r="O7" i="11"/>
  <c r="P7" i="11" s="1"/>
  <c r="O8" i="11"/>
  <c r="P8" i="11" s="1"/>
  <c r="O13" i="11"/>
  <c r="P13" i="11" s="1"/>
  <c r="O10" i="11"/>
  <c r="P10" i="11" s="1"/>
  <c r="O11" i="11"/>
  <c r="P11" i="11" s="1"/>
  <c r="O12" i="11"/>
  <c r="P12" i="11" s="1"/>
  <c r="O14" i="11"/>
  <c r="P14" i="11" s="1"/>
  <c r="O15" i="11"/>
  <c r="P15" i="11" s="1"/>
  <c r="O5" i="11"/>
  <c r="P5" i="11" s="1"/>
  <c r="N2" i="11"/>
  <c r="N3" i="11"/>
  <c r="N4" i="11"/>
  <c r="N9" i="11"/>
  <c r="N6" i="11"/>
  <c r="N7" i="11"/>
  <c r="N8" i="11"/>
  <c r="N13" i="11"/>
  <c r="N10" i="11"/>
  <c r="N11" i="11"/>
  <c r="N12" i="11"/>
  <c r="N14" i="11"/>
  <c r="N15" i="11"/>
  <c r="N5" i="11"/>
</calcChain>
</file>

<file path=xl/comments1.xml><?xml version="1.0" encoding="utf-8"?>
<comments xmlns="http://schemas.openxmlformats.org/spreadsheetml/2006/main">
  <authors>
    <author>Mark Rogers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BoltDiam</t>
        </r>
      </text>
    </comment>
    <comment ref="B1" authorId="0" shapeId="0">
      <text>
        <r>
          <rPr>
            <b/>
            <sz val="9"/>
            <color indexed="81"/>
            <rFont val="Tahoma"/>
            <charset val="1"/>
          </rPr>
          <t>MinEdgeDistance</t>
        </r>
      </text>
    </comment>
    <comment ref="C1" authorId="0" shapeId="0">
      <text>
        <r>
          <rPr>
            <b/>
            <sz val="9"/>
            <color indexed="81"/>
            <rFont val="Tahoma"/>
            <charset val="1"/>
          </rPr>
          <t>BoltSpacing</t>
        </r>
      </text>
    </comment>
    <comment ref="H1" authorId="0" shapeId="0">
      <text>
        <r>
          <rPr>
            <b/>
            <sz val="9"/>
            <color indexed="81"/>
            <rFont val="Tahoma"/>
            <charset val="1"/>
          </rPr>
          <t>ThreadLength</t>
        </r>
      </text>
    </comment>
    <comment ref="I1" authorId="0" shapeId="0">
      <text>
        <r>
          <rPr>
            <b/>
            <sz val="9"/>
            <color indexed="81"/>
            <rFont val="Tahoma"/>
            <charset val="1"/>
          </rPr>
          <t>MaxPlateThickness</t>
        </r>
      </text>
    </comment>
    <comment ref="J1" authorId="0" shapeId="0">
      <text>
        <r>
          <rPr>
            <b/>
            <sz val="9"/>
            <color indexed="81"/>
            <rFont val="Tahoma"/>
            <charset val="1"/>
          </rPr>
          <t>BoltToPoleFace</t>
        </r>
      </text>
    </comment>
  </commentList>
</comments>
</file>

<file path=xl/comments2.xml><?xml version="1.0" encoding="utf-8"?>
<comments xmlns="http://schemas.openxmlformats.org/spreadsheetml/2006/main">
  <authors>
    <author>Mark Rogers</author>
  </authors>
  <commentList>
    <comment ref="A2" authorId="0" shapeId="0">
      <text>
        <r>
          <rPr>
            <b/>
            <sz val="9"/>
            <color indexed="81"/>
            <rFont val="Tahoma"/>
            <charset val="1"/>
          </rPr>
          <t>ArmThickness</t>
        </r>
      </text>
    </comment>
    <comment ref="B2" authorId="0" shapeId="0">
      <text>
        <r>
          <rPr>
            <b/>
            <sz val="9"/>
            <color indexed="81"/>
            <rFont val="Tahoma"/>
            <charset val="1"/>
          </rPr>
          <t>Threshold</t>
        </r>
      </text>
    </comment>
    <comment ref="C2" authorId="0" shapeId="0">
      <text>
        <r>
          <rPr>
            <b/>
            <sz val="9"/>
            <color indexed="81"/>
            <rFont val="Tahoma"/>
            <charset val="1"/>
          </rPr>
          <t>PJB_1size</t>
        </r>
      </text>
    </comment>
    <comment ref="D2" authorId="0" shapeId="0">
      <text>
        <r>
          <rPr>
            <b/>
            <sz val="9"/>
            <color indexed="81"/>
            <rFont val="Tahoma"/>
            <charset val="1"/>
          </rPr>
          <t>PJB_2size</t>
        </r>
      </text>
    </comment>
    <comment ref="E2" authorId="0" shapeId="0">
      <text>
        <r>
          <rPr>
            <b/>
            <sz val="9"/>
            <color indexed="81"/>
            <rFont val="Tahoma"/>
            <charset val="1"/>
          </rPr>
          <t>CJPsize</t>
        </r>
      </text>
    </comment>
  </commentList>
</comments>
</file>

<file path=xl/sharedStrings.xml><?xml version="1.0" encoding="utf-8"?>
<sst xmlns="http://schemas.openxmlformats.org/spreadsheetml/2006/main" count="20" uniqueCount="18">
  <si>
    <t>Bolt Size</t>
  </si>
  <si>
    <t>Min. Edge</t>
  </si>
  <si>
    <t>Spacing</t>
  </si>
  <si>
    <t>Gross Area</t>
  </si>
  <si>
    <t>Tens. Area</t>
  </si>
  <si>
    <t>Thread</t>
  </si>
  <si>
    <t>Nut Pt-Pt</t>
  </si>
  <si>
    <t>Thread Ln</t>
  </si>
  <si>
    <t>Max. PL Thk</t>
  </si>
  <si>
    <t>F</t>
  </si>
  <si>
    <t>Arm to bracket weld</t>
  </si>
  <si>
    <t>PJP w/ Fillet (80%)</t>
  </si>
  <si>
    <t>CJP</t>
  </si>
  <si>
    <t>Shaft Thk</t>
  </si>
  <si>
    <t>Threashold</t>
  </si>
  <si>
    <t>space</t>
  </si>
  <si>
    <t>edge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</si>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</sst>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1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charset val="1"/>
    </font>
    <font>
      <b/>
      <sz val="11"/>
      <color theme="1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3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71" fontId="0" fillId="0" borderId="0" xfId="0" applyNumberForma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banskota\Desktop\arm%20connection%20design%202%202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5"/>
  <sheetViews>
    <sheetView tabSelected="1" workbookViewId="0">
      <selection activeCell="N24" sqref="N24"/>
    </sheetView>
  </sheetViews>
  <sheetFormatPr defaultRowHeight="15" x14ac:dyDescent="0.25"/>
  <cols>
    <col min="1" max="1" width="8.5703125" bestFit="1" customWidth="1"/>
    <col min="2" max="2" width="9.85546875" bestFit="1" customWidth="1"/>
    <col min="3" max="3" width="7.7109375" bestFit="1" customWidth="1"/>
    <col min="4" max="4" width="10.5703125" bestFit="1" customWidth="1"/>
    <col min="5" max="5" width="10.28515625" bestFit="1" customWidth="1"/>
    <col min="6" max="6" width="7.140625" bestFit="1" customWidth="1"/>
    <col min="8" max="8" width="9.5703125" bestFit="1" customWidth="1"/>
    <col min="9" max="9" width="11.42578125" bestFit="1" customWidth="1"/>
    <col min="10" max="10" width="2" bestFit="1" customWidth="1"/>
    <col min="17" max="18" width="9.140625" style="11"/>
  </cols>
  <sheetData>
    <row r="1" spans="1:1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M1" s="9" t="s">
        <v>15</v>
      </c>
      <c r="N1" s="10" t="s">
        <v>17</v>
      </c>
      <c r="O1" s="1" t="s">
        <v>16</v>
      </c>
      <c r="P1" s="10" t="s">
        <v>17</v>
      </c>
      <c r="Q1" s="11" t="s">
        <v>5</v>
      </c>
    </row>
    <row r="2" spans="1:18" x14ac:dyDescent="0.25">
      <c r="A2" s="3">
        <v>0.625</v>
      </c>
      <c r="B2" s="4">
        <v>1.25</v>
      </c>
      <c r="C2" s="4">
        <v>2</v>
      </c>
      <c r="D2" s="4">
        <v>0.307</v>
      </c>
      <c r="E2" s="4">
        <v>0.22600000000000001</v>
      </c>
      <c r="F2" s="4">
        <v>11</v>
      </c>
      <c r="G2" s="4">
        <v>1.2270000000000001</v>
      </c>
      <c r="H2" s="4">
        <v>1.25</v>
      </c>
      <c r="I2" s="3">
        <f>B2-A2/2</f>
        <v>0.9375</v>
      </c>
      <c r="J2" s="4">
        <v>3</v>
      </c>
      <c r="M2">
        <f>GetMinBoltSpacing(A2)</f>
        <v>2</v>
      </c>
      <c r="N2">
        <f>M2-C2</f>
        <v>0</v>
      </c>
      <c r="O2">
        <f>_xlfn.CEILING.MATH( M2/2,0.25)</f>
        <v>1</v>
      </c>
      <c r="P2">
        <f>O2-B2</f>
        <v>-0.25</v>
      </c>
      <c r="Q2" s="11">
        <f>A2+1</f>
        <v>1.625</v>
      </c>
      <c r="R2" s="11">
        <f>Q2-H2</f>
        <v>0.375</v>
      </c>
    </row>
    <row r="3" spans="1:18" x14ac:dyDescent="0.25">
      <c r="A3" s="3">
        <v>0.75</v>
      </c>
      <c r="B3" s="4">
        <v>1.5</v>
      </c>
      <c r="C3" s="4">
        <v>3</v>
      </c>
      <c r="D3" s="4">
        <v>0.442</v>
      </c>
      <c r="E3" s="4">
        <v>0.33400000000000002</v>
      </c>
      <c r="F3" s="4">
        <v>10</v>
      </c>
      <c r="G3" s="4">
        <v>1.4430000000000001</v>
      </c>
      <c r="H3" s="4">
        <v>1.375</v>
      </c>
      <c r="I3" s="3">
        <f t="shared" ref="I3:I15" si="0">B3-A3/2</f>
        <v>1.125</v>
      </c>
      <c r="J3" s="4">
        <v>3</v>
      </c>
      <c r="M3">
        <f>GetMinBoltSpacing(A3)</f>
        <v>3</v>
      </c>
      <c r="N3">
        <f>M3-C3</f>
        <v>0</v>
      </c>
      <c r="O3">
        <f t="shared" ref="O3:O15" si="1">_xlfn.CEILING.MATH( M3/2,0.25)</f>
        <v>1.5</v>
      </c>
      <c r="P3">
        <f>O3-B3</f>
        <v>0</v>
      </c>
      <c r="Q3" s="11">
        <f t="shared" ref="Q3:Q9" si="2">A3+1</f>
        <v>1.75</v>
      </c>
      <c r="R3" s="11">
        <f t="shared" ref="R3:R9" si="3">Q3-H3</f>
        <v>0.375</v>
      </c>
    </row>
    <row r="4" spans="1:18" x14ac:dyDescent="0.25">
      <c r="A4" s="3">
        <v>0.875</v>
      </c>
      <c r="B4" s="4">
        <v>1.5</v>
      </c>
      <c r="C4" s="4">
        <v>3</v>
      </c>
      <c r="D4" s="4">
        <v>0.60099999999999998</v>
      </c>
      <c r="E4" s="4">
        <v>0.46200000000000002</v>
      </c>
      <c r="F4" s="4">
        <v>9</v>
      </c>
      <c r="G4" s="4">
        <v>1.66</v>
      </c>
      <c r="H4" s="4">
        <v>1.5</v>
      </c>
      <c r="I4" s="3">
        <f t="shared" si="0"/>
        <v>1.0625</v>
      </c>
      <c r="J4" s="4">
        <v>3</v>
      </c>
      <c r="M4">
        <f>GetMinBoltSpacing(A4)</f>
        <v>3</v>
      </c>
      <c r="N4">
        <f>M4-C4</f>
        <v>0</v>
      </c>
      <c r="O4">
        <f t="shared" si="1"/>
        <v>1.5</v>
      </c>
      <c r="P4">
        <f t="shared" ref="P3:P15" si="4">O4-B4</f>
        <v>0</v>
      </c>
      <c r="Q4" s="11">
        <f t="shared" si="2"/>
        <v>1.875</v>
      </c>
      <c r="R4" s="11">
        <f t="shared" si="3"/>
        <v>0.375</v>
      </c>
    </row>
    <row r="5" spans="1:18" x14ac:dyDescent="0.25">
      <c r="A5" s="3">
        <v>1</v>
      </c>
      <c r="B5" s="4">
        <v>1.5</v>
      </c>
      <c r="C5" s="4">
        <v>3</v>
      </c>
      <c r="D5" s="4">
        <v>0.78500000000000003</v>
      </c>
      <c r="E5" s="4">
        <v>0.60599999999999998</v>
      </c>
      <c r="F5" s="4">
        <v>8</v>
      </c>
      <c r="G5" s="4">
        <v>1.8759999999999999</v>
      </c>
      <c r="H5" s="4">
        <v>1.75</v>
      </c>
      <c r="I5" s="3">
        <f t="shared" si="0"/>
        <v>1</v>
      </c>
      <c r="J5" s="4">
        <v>3</v>
      </c>
      <c r="M5">
        <f>GetMinBoltSpacing(A5)</f>
        <v>3</v>
      </c>
      <c r="N5">
        <f>M5-C5</f>
        <v>0</v>
      </c>
      <c r="O5">
        <f t="shared" si="1"/>
        <v>1.5</v>
      </c>
      <c r="P5">
        <f t="shared" si="4"/>
        <v>0</v>
      </c>
      <c r="Q5" s="11">
        <f t="shared" si="2"/>
        <v>2</v>
      </c>
      <c r="R5" s="11">
        <f t="shared" si="3"/>
        <v>0.25</v>
      </c>
    </row>
    <row r="6" spans="1:18" x14ac:dyDescent="0.25">
      <c r="A6" s="3">
        <v>1.125</v>
      </c>
      <c r="B6" s="4">
        <v>1.5</v>
      </c>
      <c r="C6" s="4">
        <v>3</v>
      </c>
      <c r="D6" s="4">
        <v>0.99399999999999999</v>
      </c>
      <c r="E6" s="4">
        <v>0.76300000000000001</v>
      </c>
      <c r="F6" s="4">
        <v>7</v>
      </c>
      <c r="G6" s="4">
        <v>2.093</v>
      </c>
      <c r="H6" s="4">
        <v>2</v>
      </c>
      <c r="I6" s="3">
        <f t="shared" si="0"/>
        <v>0.9375</v>
      </c>
      <c r="J6" s="4">
        <v>3</v>
      </c>
      <c r="M6">
        <f>GetMinBoltSpacing(A6)</f>
        <v>3</v>
      </c>
      <c r="N6">
        <f>M6-C6</f>
        <v>0</v>
      </c>
      <c r="O6">
        <f t="shared" si="1"/>
        <v>1.5</v>
      </c>
      <c r="P6">
        <f t="shared" si="4"/>
        <v>0</v>
      </c>
      <c r="Q6" s="11">
        <f t="shared" si="2"/>
        <v>2.125</v>
      </c>
      <c r="R6" s="11">
        <f t="shared" si="3"/>
        <v>0.125</v>
      </c>
    </row>
    <row r="7" spans="1:18" x14ac:dyDescent="0.25">
      <c r="A7" s="3">
        <v>1.25</v>
      </c>
      <c r="B7" s="4">
        <v>1.75</v>
      </c>
      <c r="C7" s="4">
        <v>3.5</v>
      </c>
      <c r="D7" s="4">
        <v>1.2270000000000001</v>
      </c>
      <c r="E7" s="4">
        <v>0.96899999999999997</v>
      </c>
      <c r="F7" s="4">
        <v>7</v>
      </c>
      <c r="G7" s="4">
        <v>2.3090000000000002</v>
      </c>
      <c r="H7" s="4">
        <v>2</v>
      </c>
      <c r="I7" s="3">
        <f t="shared" si="0"/>
        <v>1.125</v>
      </c>
      <c r="J7" s="4">
        <v>3</v>
      </c>
      <c r="M7">
        <f>GetMinBoltSpacing(A7)</f>
        <v>3.5</v>
      </c>
      <c r="N7">
        <f>M7-C7</f>
        <v>0</v>
      </c>
      <c r="O7">
        <f t="shared" si="1"/>
        <v>1.75</v>
      </c>
      <c r="P7">
        <f t="shared" si="4"/>
        <v>0</v>
      </c>
      <c r="Q7" s="11">
        <f t="shared" si="2"/>
        <v>2.25</v>
      </c>
      <c r="R7" s="11">
        <f t="shared" si="3"/>
        <v>0.25</v>
      </c>
    </row>
    <row r="8" spans="1:18" x14ac:dyDescent="0.25">
      <c r="A8" s="3">
        <v>1.375</v>
      </c>
      <c r="B8" s="4">
        <v>2</v>
      </c>
      <c r="C8" s="4">
        <v>3.75</v>
      </c>
      <c r="D8" s="4">
        <v>1.4850000000000001</v>
      </c>
      <c r="E8" s="4">
        <v>1.1599999999999999</v>
      </c>
      <c r="F8" s="4">
        <v>6</v>
      </c>
      <c r="G8" s="4">
        <v>2.5259999999999998</v>
      </c>
      <c r="H8" s="4">
        <v>2.25</v>
      </c>
      <c r="I8" s="3">
        <f t="shared" si="0"/>
        <v>1.3125</v>
      </c>
      <c r="J8" s="4">
        <v>3</v>
      </c>
      <c r="M8">
        <f>GetMinBoltSpacing(A8)</f>
        <v>3.75</v>
      </c>
      <c r="N8">
        <f>M8-C8</f>
        <v>0</v>
      </c>
      <c r="O8">
        <f t="shared" si="1"/>
        <v>2</v>
      </c>
      <c r="P8">
        <f t="shared" si="4"/>
        <v>0</v>
      </c>
      <c r="Q8" s="11">
        <f t="shared" si="2"/>
        <v>2.375</v>
      </c>
      <c r="R8" s="11">
        <f t="shared" si="3"/>
        <v>0.125</v>
      </c>
    </row>
    <row r="9" spans="1:18" x14ac:dyDescent="0.25">
      <c r="A9" s="3">
        <v>1.5</v>
      </c>
      <c r="B9" s="4">
        <v>2</v>
      </c>
      <c r="C9" s="4">
        <v>4</v>
      </c>
      <c r="D9" s="4">
        <v>1.7669999999999999</v>
      </c>
      <c r="E9" s="4">
        <v>1.41</v>
      </c>
      <c r="F9" s="4">
        <v>6</v>
      </c>
      <c r="G9" s="4">
        <v>2.742</v>
      </c>
      <c r="H9" s="4">
        <v>2.25</v>
      </c>
      <c r="I9" s="3">
        <f t="shared" si="0"/>
        <v>1.25</v>
      </c>
      <c r="J9" s="4">
        <v>3</v>
      </c>
      <c r="M9">
        <f>GetMinBoltSpacing(A9)</f>
        <v>4</v>
      </c>
      <c r="N9">
        <f>M9-C9</f>
        <v>0</v>
      </c>
      <c r="O9">
        <f t="shared" si="1"/>
        <v>2</v>
      </c>
      <c r="P9">
        <f t="shared" si="4"/>
        <v>0</v>
      </c>
      <c r="Q9" s="11">
        <f t="shared" si="2"/>
        <v>2.5</v>
      </c>
      <c r="R9" s="11">
        <f t="shared" si="3"/>
        <v>0.25</v>
      </c>
    </row>
    <row r="10" spans="1:18" x14ac:dyDescent="0.25">
      <c r="A10" s="3">
        <v>1.75</v>
      </c>
      <c r="B10" s="4">
        <v>2.5</v>
      </c>
      <c r="C10" s="4">
        <v>4.75</v>
      </c>
      <c r="D10" s="4">
        <v>2.4049999999999998</v>
      </c>
      <c r="E10" s="4">
        <v>1.9</v>
      </c>
      <c r="F10" s="4">
        <v>5</v>
      </c>
      <c r="G10" s="4">
        <v>3.1749999999999998</v>
      </c>
      <c r="H10" s="4">
        <v>99</v>
      </c>
      <c r="I10" s="3">
        <f t="shared" si="0"/>
        <v>1.625</v>
      </c>
      <c r="J10" s="4">
        <v>4</v>
      </c>
      <c r="M10">
        <f>GetMinBoltSpacing(A10)</f>
        <v>4.75</v>
      </c>
      <c r="N10">
        <f>M10-C10</f>
        <v>0</v>
      </c>
      <c r="O10">
        <f t="shared" si="1"/>
        <v>2.5</v>
      </c>
      <c r="P10">
        <f t="shared" si="4"/>
        <v>0</v>
      </c>
    </row>
    <row r="11" spans="1:18" x14ac:dyDescent="0.25">
      <c r="A11" s="3">
        <v>2</v>
      </c>
      <c r="B11" s="4">
        <v>2.75</v>
      </c>
      <c r="C11" s="4">
        <v>5.5</v>
      </c>
      <c r="D11" s="4">
        <v>3.1419999999999999</v>
      </c>
      <c r="E11" s="4">
        <v>2.5</v>
      </c>
      <c r="F11" s="4">
        <v>4.5</v>
      </c>
      <c r="G11" s="4">
        <v>3.6080000000000001</v>
      </c>
      <c r="H11" s="4">
        <v>99</v>
      </c>
      <c r="I11" s="3">
        <f t="shared" si="0"/>
        <v>1.75</v>
      </c>
      <c r="J11" s="4">
        <v>4</v>
      </c>
      <c r="M11">
        <f>GetMinBoltSpacing(A11)</f>
        <v>5.5</v>
      </c>
      <c r="N11">
        <f>M11-C11</f>
        <v>0</v>
      </c>
      <c r="O11">
        <f t="shared" si="1"/>
        <v>2.75</v>
      </c>
      <c r="P11">
        <f t="shared" si="4"/>
        <v>0</v>
      </c>
    </row>
    <row r="12" spans="1:18" x14ac:dyDescent="0.25">
      <c r="A12" s="3">
        <v>2.25</v>
      </c>
      <c r="B12" s="4">
        <v>3</v>
      </c>
      <c r="C12" s="4">
        <v>6</v>
      </c>
      <c r="D12" s="4">
        <v>3.976</v>
      </c>
      <c r="E12" s="4">
        <v>3.25</v>
      </c>
      <c r="F12" s="4">
        <v>4.5</v>
      </c>
      <c r="G12" s="4">
        <v>4.0410000000000004</v>
      </c>
      <c r="H12" s="4">
        <v>99</v>
      </c>
      <c r="I12" s="3">
        <f t="shared" si="0"/>
        <v>1.875</v>
      </c>
      <c r="J12" s="4">
        <v>4</v>
      </c>
      <c r="M12">
        <f>GetMinBoltSpacing(A12)</f>
        <v>6</v>
      </c>
      <c r="N12">
        <f>M12-C12</f>
        <v>0</v>
      </c>
      <c r="O12">
        <f t="shared" si="1"/>
        <v>3</v>
      </c>
      <c r="P12">
        <f t="shared" si="4"/>
        <v>0</v>
      </c>
    </row>
    <row r="13" spans="1:18" x14ac:dyDescent="0.25">
      <c r="A13" s="3">
        <v>2.5</v>
      </c>
      <c r="B13" s="4">
        <v>3.5</v>
      </c>
      <c r="C13" s="4">
        <v>6.75</v>
      </c>
      <c r="D13" s="4">
        <v>4.9089999999999998</v>
      </c>
      <c r="E13" s="4">
        <v>4</v>
      </c>
      <c r="F13" s="4">
        <v>4</v>
      </c>
      <c r="G13" s="4">
        <v>4.4740000000000002</v>
      </c>
      <c r="H13" s="4">
        <v>99</v>
      </c>
      <c r="I13" s="3">
        <f t="shared" si="0"/>
        <v>2.25</v>
      </c>
      <c r="J13" s="4">
        <v>5</v>
      </c>
      <c r="M13">
        <f>GetMinBoltSpacing(A13)</f>
        <v>6.75</v>
      </c>
      <c r="N13">
        <f>M13-C13</f>
        <v>0</v>
      </c>
      <c r="O13">
        <f t="shared" si="1"/>
        <v>3.5</v>
      </c>
      <c r="P13">
        <f t="shared" si="4"/>
        <v>0</v>
      </c>
    </row>
    <row r="14" spans="1:18" x14ac:dyDescent="0.25">
      <c r="A14" s="3">
        <v>2.75</v>
      </c>
      <c r="B14" s="4">
        <v>3.75</v>
      </c>
      <c r="C14" s="4">
        <v>7.5</v>
      </c>
      <c r="D14" s="4">
        <v>5.94</v>
      </c>
      <c r="E14" s="4">
        <v>4.93</v>
      </c>
      <c r="F14" s="4">
        <v>4</v>
      </c>
      <c r="G14" s="4">
        <v>4.907</v>
      </c>
      <c r="H14" s="4">
        <v>99</v>
      </c>
      <c r="I14" s="3">
        <f t="shared" si="0"/>
        <v>2.375</v>
      </c>
      <c r="J14" s="4">
        <v>5</v>
      </c>
      <c r="M14">
        <f>GetMinBoltSpacing(A14)</f>
        <v>7.5</v>
      </c>
      <c r="N14">
        <f>M14-C14</f>
        <v>0</v>
      </c>
      <c r="O14">
        <f t="shared" si="1"/>
        <v>3.75</v>
      </c>
      <c r="P14">
        <f t="shared" si="4"/>
        <v>0</v>
      </c>
    </row>
    <row r="15" spans="1:18" x14ac:dyDescent="0.25">
      <c r="A15" s="3">
        <v>3</v>
      </c>
      <c r="B15" s="4">
        <v>4</v>
      </c>
      <c r="C15" s="4">
        <v>8</v>
      </c>
      <c r="D15" s="4">
        <v>7.069</v>
      </c>
      <c r="E15" s="4">
        <v>5.97</v>
      </c>
      <c r="F15" s="4">
        <v>4</v>
      </c>
      <c r="G15" s="4">
        <v>5.34</v>
      </c>
      <c r="H15" s="4">
        <v>99</v>
      </c>
      <c r="I15" s="3">
        <f t="shared" si="0"/>
        <v>2.5</v>
      </c>
      <c r="J15" s="4">
        <v>5</v>
      </c>
      <c r="M15">
        <f>GetMinBoltSpacing(A15)</f>
        <v>8</v>
      </c>
      <c r="N15">
        <f>M15-C15</f>
        <v>0</v>
      </c>
      <c r="O15">
        <f t="shared" si="1"/>
        <v>4</v>
      </c>
      <c r="P15">
        <f t="shared" si="4"/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8"/>
  <sheetViews>
    <sheetView workbookViewId="0">
      <selection activeCell="E12" sqref="E12"/>
    </sheetView>
  </sheetViews>
  <sheetFormatPr defaultRowHeight="15" x14ac:dyDescent="0.25"/>
  <cols>
    <col min="1" max="1" width="9.140625" bestFit="1" customWidth="1"/>
    <col min="2" max="2" width="10.85546875" bestFit="1" customWidth="1"/>
    <col min="3" max="3" width="9.28515625" customWidth="1"/>
    <col min="4" max="4" width="10.28515625" customWidth="1"/>
    <col min="5" max="5" width="7" bestFit="1" customWidth="1"/>
  </cols>
  <sheetData>
    <row r="1" spans="1:5" x14ac:dyDescent="0.25">
      <c r="A1" s="7" t="s">
        <v>10</v>
      </c>
      <c r="B1" s="8"/>
      <c r="C1" s="5" t="s">
        <v>11</v>
      </c>
      <c r="D1" s="5"/>
      <c r="E1" s="6" t="s">
        <v>12</v>
      </c>
    </row>
    <row r="2" spans="1:5" x14ac:dyDescent="0.25">
      <c r="A2" s="4" t="s">
        <v>13</v>
      </c>
      <c r="B2" s="4" t="s">
        <v>14</v>
      </c>
      <c r="C2" s="4">
        <v>1</v>
      </c>
      <c r="D2" s="4">
        <v>2</v>
      </c>
      <c r="E2" s="4"/>
    </row>
    <row r="3" spans="1:5" x14ac:dyDescent="0.25">
      <c r="A3" s="4">
        <v>0.1875</v>
      </c>
      <c r="B3" s="4">
        <v>17</v>
      </c>
      <c r="C3" s="4">
        <v>0.375</v>
      </c>
      <c r="D3" s="4">
        <v>0.3125</v>
      </c>
      <c r="E3" s="4">
        <v>0.1875</v>
      </c>
    </row>
    <row r="4" spans="1:5" x14ac:dyDescent="0.25">
      <c r="A4" s="4">
        <v>0.25</v>
      </c>
      <c r="B4" s="4">
        <v>25</v>
      </c>
      <c r="C4" s="4">
        <v>0.4375</v>
      </c>
      <c r="D4" s="4">
        <v>0.375</v>
      </c>
      <c r="E4" s="4">
        <v>0.25</v>
      </c>
    </row>
    <row r="5" spans="1:5" x14ac:dyDescent="0.25">
      <c r="A5" s="4">
        <v>0.3125</v>
      </c>
      <c r="B5" s="4">
        <v>30</v>
      </c>
      <c r="C5" s="4">
        <v>0.5625</v>
      </c>
      <c r="D5" s="4">
        <v>0.5</v>
      </c>
      <c r="E5" s="4">
        <v>0.3125</v>
      </c>
    </row>
    <row r="6" spans="1:5" x14ac:dyDescent="0.25">
      <c r="A6" s="4">
        <v>0.375</v>
      </c>
      <c r="B6" s="4">
        <v>34</v>
      </c>
      <c r="C6" s="4">
        <v>0.6875</v>
      </c>
      <c r="D6" s="4">
        <v>0.625</v>
      </c>
      <c r="E6" s="4">
        <v>0.3125</v>
      </c>
    </row>
    <row r="7" spans="1:5" x14ac:dyDescent="0.25">
      <c r="A7" s="4">
        <v>0.4375</v>
      </c>
      <c r="B7" s="4">
        <v>43</v>
      </c>
      <c r="C7" s="4">
        <v>0.75</v>
      </c>
      <c r="D7" s="4">
        <v>0.6875</v>
      </c>
      <c r="E7" s="4">
        <v>0.375</v>
      </c>
    </row>
    <row r="8" spans="1:5" x14ac:dyDescent="0.25">
      <c r="A8" s="4">
        <v>0.5</v>
      </c>
      <c r="B8" s="4">
        <v>47</v>
      </c>
      <c r="C8" s="4">
        <v>0.875</v>
      </c>
      <c r="D8" s="4">
        <v>0.8125</v>
      </c>
      <c r="E8" s="4">
        <v>0.4375</v>
      </c>
    </row>
  </sheetData>
  <mergeCells count="2">
    <mergeCell ref="C1:D1"/>
    <mergeCell ref="A1:B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BktBoltProperties</vt:lpstr>
      <vt:lpstr>ArmToBktWeldSize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Rogers</dc:creator>
  <cp:lastModifiedBy>Mark Rogers</cp:lastModifiedBy>
  <cp:lastPrinted>2017-07-25T20:09:14Z</cp:lastPrinted>
  <dcterms:created xsi:type="dcterms:W3CDTF">2006-09-16T00:00:00Z</dcterms:created>
  <dcterms:modified xsi:type="dcterms:W3CDTF">2017-09-14T18:07:13Z</dcterms:modified>
</cp:coreProperties>
</file>